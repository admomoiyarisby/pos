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8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13.xml"/>
  <Override ContentType="application/vnd.openxmlformats-officedocument.spreadsheetml.pivotCacheDefinition+xml" PartName="/xl/pivotCache/pivotCacheDefinition26.xml"/>
  <Override ContentType="application/vnd.openxmlformats-officedocument.spreadsheetml.pivotCacheDefinition+xml" PartName="/xl/pivotCache/pivotCacheDefinition34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1.xml"/>
  <Override ContentType="application/vnd.openxmlformats-officedocument.spreadsheetml.pivotCacheDefinition+xml" PartName="/xl/pivotCache/pivotCacheDefinition19.xml"/>
  <Override ContentType="application/vnd.openxmlformats-officedocument.spreadsheetml.pivotCacheDefinition+xml" PartName="/xl/pivotCache/pivotCacheDefinition30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5.xml"/>
  <Override ContentType="application/vnd.openxmlformats-officedocument.spreadsheetml.pivotCacheDefinition+xml" PartName="/xl/pivotCache/pivotCacheDefinition28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6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0.xml"/>
  <Override ContentType="application/vnd.openxmlformats-officedocument.spreadsheetml.pivotCacheDefinition+xml" PartName="/xl/pivotCache/pivotCacheDefinition33.xml"/>
  <Override ContentType="application/vnd.openxmlformats-officedocument.spreadsheetml.pivotCacheDefinition+xml" PartName="/xl/pivotCache/pivotCacheDefinition24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2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15.xml"/>
  <Override ContentType="application/vnd.openxmlformats-officedocument.spreadsheetml.pivotCacheDefinition+xml" PartName="/xl/pivotCache/pivotCacheDefinition32.xml"/>
  <Override ContentType="application/vnd.openxmlformats-officedocument.spreadsheetml.pivotCacheDefinition+xml" PartName="/xl/pivotCache/pivotCacheDefinition3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17.xml"/>
  <Override ContentType="application/vnd.openxmlformats-officedocument.spreadsheetml.pivotCacheDefinition+xml" PartName="/xl/pivotCache/pivotCacheDefinition36.xml"/>
  <Override ContentType="application/vnd.openxmlformats-officedocument.spreadsheetml.pivotCacheDefinition+xml" PartName="/xl/pivotCache/pivotCacheDefinition23.xml"/>
  <Override ContentType="application/vnd.openxmlformats-officedocument.spreadsheetml.pivotCacheDefinition+xml" PartName="/xl/pivotCache/pivotCacheDefinition14.xml"/>
  <Override ContentType="application/vnd.openxmlformats-officedocument.spreadsheetml.pivotCacheDefinition+xml" PartName="/xl/pivotCache/pivotCacheDefinition27.xml"/>
  <Override ContentType="application/vnd.openxmlformats-officedocument.spreadsheetml.pivotCacheDefinition+xml" PartName="/xl/pivotCache/pivotCacheDefinition22.xml"/>
  <Override ContentType="application/vnd.openxmlformats-officedocument.spreadsheetml.pivotCacheDefinition+xml" PartName="/xl/pivotCache/pivotCacheDefinition35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4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HPP" sheetId="1" r:id="rId5"/>
    <sheet state="visible" name="MASTERFILE" sheetId="2" r:id="rId6"/>
    <sheet state="visible" name="25062026" sheetId="3" r:id="rId7"/>
    <sheet state="visible" name="24062026" sheetId="4" r:id="rId8"/>
    <sheet state="visible" name="23062026" sheetId="5" r:id="rId9"/>
    <sheet state="visible" name="22062026" sheetId="6" r:id="rId10"/>
    <sheet state="visible" name="21062026" sheetId="7" r:id="rId11"/>
    <sheet state="visible" name="20062026" sheetId="8" r:id="rId12"/>
    <sheet state="visible" name="19062026" sheetId="9" r:id="rId13"/>
    <sheet state="visible" name="18062026" sheetId="10" r:id="rId14"/>
    <sheet state="visible" name="17062026" sheetId="11" r:id="rId15"/>
    <sheet state="visible" name="16062026" sheetId="12" r:id="rId16"/>
    <sheet state="visible" name="15062026" sheetId="13" r:id="rId17"/>
    <sheet state="visible" name="14062026" sheetId="14" r:id="rId18"/>
    <sheet state="visible" name="13062026" sheetId="15" r:id="rId19"/>
    <sheet state="visible" name="12062026" sheetId="16" r:id="rId20"/>
    <sheet state="visible" name="11062026" sheetId="17" r:id="rId21"/>
    <sheet state="visible" name="10062026" sheetId="18" r:id="rId22"/>
    <sheet state="visible" name="09062026" sheetId="19" r:id="rId23"/>
    <sheet state="visible" name="08062026" sheetId="20" r:id="rId24"/>
    <sheet state="visible" name="07062026" sheetId="21" r:id="rId25"/>
    <sheet state="visible" name="06062026" sheetId="22" r:id="rId26"/>
    <sheet state="visible" name="05062026" sheetId="23" r:id="rId27"/>
    <sheet state="visible" name="04062026" sheetId="24" r:id="rId28"/>
    <sheet state="visible" name="03062026" sheetId="25" r:id="rId29"/>
    <sheet state="visible" name="02062026" sheetId="26" r:id="rId30"/>
    <sheet state="visible" name="01062026" sheetId="27" r:id="rId31"/>
    <sheet state="visible" name="31052026" sheetId="28" r:id="rId32"/>
    <sheet state="visible" name="30052026" sheetId="29" r:id="rId33"/>
    <sheet state="visible" name="29052026" sheetId="30" r:id="rId34"/>
    <sheet state="visible" name="28052026" sheetId="31" r:id="rId35"/>
    <sheet state="visible" name="26052026" sheetId="32" r:id="rId36"/>
    <sheet state="visible" name="SHOPEE" sheetId="33" r:id="rId37"/>
    <sheet state="visible" name="GRAB" sheetId="34" r:id="rId38"/>
    <sheet state="visible" name="GOJEK" sheetId="35" r:id="rId39"/>
    <sheet state="visible" name="OFFLINE" sheetId="36" r:id="rId40"/>
    <sheet state="visible" name="Keuangan" sheetId="37" r:id="rId41"/>
    <sheet state="visible" name="Rekap Data Penjualan" sheetId="38" r:id="rId42"/>
    <sheet state="visible" name="Audit Inventory" sheetId="39" r:id="rId43"/>
    <sheet state="visible" name="Rekap Stock Keluar Inventory" sheetId="40" r:id="rId44"/>
    <sheet state="visible" name="Shringkage" sheetId="41" r:id="rId45"/>
    <sheet state="visible" name="Pencatatan Manual" sheetId="42" r:id="rId46"/>
    <sheet state="visible" name="Slip Gaji" sheetId="43" r:id="rId47"/>
  </sheets>
  <definedNames>
    <definedName hidden="1" localSheetId="40" name="_xlnm._FilterDatabase">Shringkage!$P$1:$P$42</definedName>
  </definedNames>
  <calcPr/>
  <pivotCaches>
    <pivotCache cacheId="0" r:id="rId48"/>
    <pivotCache cacheId="1" r:id="rId49"/>
    <pivotCache cacheId="2" r:id="rId50"/>
    <pivotCache cacheId="3" r:id="rId51"/>
    <pivotCache cacheId="4" r:id="rId52"/>
    <pivotCache cacheId="5" r:id="rId53"/>
    <pivotCache cacheId="6" r:id="rId54"/>
    <pivotCache cacheId="7" r:id="rId55"/>
    <pivotCache cacheId="8" r:id="rId56"/>
    <pivotCache cacheId="9" r:id="rId57"/>
    <pivotCache cacheId="10" r:id="rId58"/>
    <pivotCache cacheId="11" r:id="rId59"/>
    <pivotCache cacheId="12" r:id="rId60"/>
    <pivotCache cacheId="13" r:id="rId61"/>
    <pivotCache cacheId="14" r:id="rId62"/>
    <pivotCache cacheId="15" r:id="rId63"/>
    <pivotCache cacheId="16" r:id="rId64"/>
    <pivotCache cacheId="17" r:id="rId65"/>
    <pivotCache cacheId="18" r:id="rId66"/>
    <pivotCache cacheId="19" r:id="rId67"/>
    <pivotCache cacheId="20" r:id="rId68"/>
    <pivotCache cacheId="21" r:id="rId69"/>
    <pivotCache cacheId="22" r:id="rId70"/>
    <pivotCache cacheId="23" r:id="rId71"/>
    <pivotCache cacheId="24" r:id="rId72"/>
    <pivotCache cacheId="25" r:id="rId73"/>
    <pivotCache cacheId="26" r:id="rId74"/>
    <pivotCache cacheId="27" r:id="rId75"/>
    <pivotCache cacheId="28" r:id="rId76"/>
    <pivotCache cacheId="29" r:id="rId77"/>
    <pivotCache cacheId="30" r:id="rId78"/>
    <pivotCache cacheId="31" r:id="rId79"/>
    <pivotCache cacheId="32" r:id="rId80"/>
    <pivotCache cacheId="33" r:id="rId81"/>
    <pivotCache cacheId="34" r:id="rId82"/>
    <pivotCache cacheId="35" r:id="rId83"/>
  </pivotCaches>
</workbook>
</file>

<file path=xl/sharedStrings.xml><?xml version="1.0" encoding="utf-8"?>
<sst xmlns="http://schemas.openxmlformats.org/spreadsheetml/2006/main" count="21167" uniqueCount="274">
  <si>
    <t>LIST HARGA POKOK PENJUALAN</t>
  </si>
  <si>
    <t>No.</t>
  </si>
  <si>
    <t>Nama Produk</t>
  </si>
  <si>
    <t>HPP</t>
  </si>
  <si>
    <t>Matcha Latte</t>
  </si>
  <si>
    <t>Hojicha Latte</t>
  </si>
  <si>
    <t>Choco Latte</t>
  </si>
  <si>
    <t>Matcha Tea</t>
  </si>
  <si>
    <t>Ice Tea</t>
  </si>
  <si>
    <t>Gyumeshi</t>
  </si>
  <si>
    <t>Karage Don</t>
  </si>
  <si>
    <t>Hot Honey Karage Don</t>
  </si>
  <si>
    <t>Chicken Katsu Don</t>
  </si>
  <si>
    <t>Gyuniku Ala Carte</t>
  </si>
  <si>
    <t>Karage Ala Carte</t>
  </si>
  <si>
    <t>Hot Honey Karage Ala Carte</t>
  </si>
  <si>
    <t>Curry Omurice</t>
  </si>
  <si>
    <t>Curry Karage Don</t>
  </si>
  <si>
    <t>Curry Katsu Don</t>
  </si>
  <si>
    <t>Miso Sup</t>
  </si>
  <si>
    <t>Curry Sauce</t>
  </si>
  <si>
    <t>Spicy Sauce</t>
  </si>
  <si>
    <t xml:space="preserve">Choco Ichigo Latte </t>
  </si>
  <si>
    <t>nasi putih</t>
  </si>
  <si>
    <t>saus tomat sachet</t>
  </si>
  <si>
    <t>saus sambal sachet</t>
  </si>
  <si>
    <t>cabe bubuk</t>
  </si>
  <si>
    <t>sendok plastik</t>
  </si>
  <si>
    <t>extra 2pcs karage</t>
  </si>
  <si>
    <t>extra beef 50gr</t>
  </si>
  <si>
    <t>Japanese Caramel Pudding</t>
  </si>
  <si>
    <t>Japanese Beef Curry Rice</t>
  </si>
  <si>
    <t>Katsu Bento</t>
  </si>
  <si>
    <t>Kaarage Bento</t>
  </si>
  <si>
    <t>Gyuniku Bento</t>
  </si>
  <si>
    <t>PLATFORM</t>
  </si>
  <si>
    <t>Tanggal</t>
  </si>
  <si>
    <t>Nama Item</t>
  </si>
  <si>
    <t>Jumlah</t>
  </si>
  <si>
    <t>Jumlah QR</t>
  </si>
  <si>
    <t>Total Jumlah</t>
  </si>
  <si>
    <t>Total</t>
  </si>
  <si>
    <t>Total HPP</t>
  </si>
  <si>
    <t>Uang Masuk</t>
  </si>
  <si>
    <t>Margin</t>
  </si>
  <si>
    <t>Gross Profit</t>
  </si>
  <si>
    <t>SHOPEE</t>
  </si>
  <si>
    <t>GRAB/ OFFLINE Q</t>
  </si>
  <si>
    <t>GOJEK</t>
  </si>
  <si>
    <t>Stock Opname Inventory</t>
  </si>
  <si>
    <t>TOTAL JUMLAH ITEM TERJUAL</t>
  </si>
  <si>
    <t>Menu</t>
  </si>
  <si>
    <t>No</t>
  </si>
  <si>
    <t>Data Penjualan</t>
  </si>
  <si>
    <t>SUM of Total Jumlah</t>
  </si>
  <si>
    <t>Bahan</t>
  </si>
  <si>
    <t>Berat</t>
  </si>
  <si>
    <t>Satuan</t>
  </si>
  <si>
    <t>Porsi</t>
  </si>
  <si>
    <t>Total Bahan Terpakai</t>
  </si>
  <si>
    <t>Daging Blackpepper</t>
  </si>
  <si>
    <t>gr</t>
  </si>
  <si>
    <t>Bowl Mangkok</t>
  </si>
  <si>
    <t>pcs</t>
  </si>
  <si>
    <t>Tutup Mangkok</t>
  </si>
  <si>
    <t>inner tray bowl</t>
  </si>
  <si>
    <t>Nasi Putih</t>
  </si>
  <si>
    <t>Ayam Karage</t>
  </si>
  <si>
    <t>Hot Honey Sauce</t>
  </si>
  <si>
    <t>thinwall 500ml</t>
  </si>
  <si>
    <t>porsi</t>
  </si>
  <si>
    <t>Telor Ayam</t>
  </si>
  <si>
    <t>Gula Pasir</t>
  </si>
  <si>
    <t>Dashi Halal</t>
  </si>
  <si>
    <t>Mirin Halal</t>
  </si>
  <si>
    <t>miso soup</t>
  </si>
  <si>
    <t>daun bawang</t>
  </si>
  <si>
    <t>Pcs</t>
  </si>
  <si>
    <t>wakame</t>
  </si>
  <si>
    <t>Mangkok soup 300ml</t>
  </si>
  <si>
    <t>Spicy Sauce Ayam Cincang</t>
  </si>
  <si>
    <t>Katsu Chicken</t>
  </si>
  <si>
    <t>saus manis jepang</t>
  </si>
  <si>
    <t>Bubuk Matcha latte</t>
  </si>
  <si>
    <t>Simple Syrup</t>
  </si>
  <si>
    <t>Air</t>
  </si>
  <si>
    <t>ml</t>
  </si>
  <si>
    <t>Es Batu</t>
  </si>
  <si>
    <t>Susu Fresh Milk</t>
  </si>
  <si>
    <t>Cup gelas PP 14Oz</t>
  </si>
  <si>
    <t>Sedotan</t>
  </si>
  <si>
    <t>Bubuk Hojicha</t>
  </si>
  <si>
    <t>SKM</t>
  </si>
  <si>
    <t>Strawberry Sauce</t>
  </si>
  <si>
    <t>Teh Wayang</t>
  </si>
  <si>
    <t>Beras</t>
  </si>
  <si>
    <t>Beras Ketan</t>
  </si>
  <si>
    <t>Cuka Nasi</t>
  </si>
  <si>
    <t>Egg Roll</t>
  </si>
  <si>
    <t>Bento Tray</t>
  </si>
  <si>
    <t>Edamame</t>
  </si>
  <si>
    <t>Gr</t>
  </si>
  <si>
    <t>garam</t>
  </si>
  <si>
    <t>Ml</t>
  </si>
  <si>
    <t>Kubis Mentah</t>
  </si>
  <si>
    <t>Wortel Mentah</t>
  </si>
  <si>
    <t>thousand island</t>
  </si>
  <si>
    <t>OFFLINE</t>
  </si>
  <si>
    <t>GRAB</t>
  </si>
  <si>
    <t>Jumlah Offline Q</t>
  </si>
  <si>
    <t>Laporan Keuangan Mulyorejo Juni  2026</t>
  </si>
  <si>
    <t>Hpp</t>
  </si>
  <si>
    <t>Omzet</t>
  </si>
  <si>
    <t>REKAP DATA PENJUALAN</t>
  </si>
  <si>
    <t>TOTAL</t>
  </si>
  <si>
    <t>Stok Keluar</t>
  </si>
  <si>
    <t>Satuan Inventory</t>
  </si>
  <si>
    <t>Nama Bahan</t>
  </si>
  <si>
    <t>Satuan Penjualan</t>
  </si>
  <si>
    <t>Peningkatan Hasil Olahan</t>
  </si>
  <si>
    <t>Total keluar</t>
  </si>
  <si>
    <t>Gram</t>
  </si>
  <si>
    <t>Susu Diamond</t>
  </si>
  <si>
    <t>ML</t>
  </si>
  <si>
    <t>NB: Stok Keluar agar sesuai harap copy link file Omoiyari Stock yang sesuai</t>
  </si>
  <si>
    <t>Matcha Powder</t>
  </si>
  <si>
    <t>Hojicha Powder</t>
  </si>
  <si>
    <t>Plastik Sealer Cup</t>
  </si>
  <si>
    <t>Saus Sambal Sachet</t>
  </si>
  <si>
    <t>Saus Tomat Sachet</t>
  </si>
  <si>
    <t>Dashi</t>
  </si>
  <si>
    <t>Sendok Makan</t>
  </si>
  <si>
    <t>Thinwall 300 ml</t>
  </si>
  <si>
    <t>Cabe bubuk</t>
  </si>
  <si>
    <t>Saus Katsu</t>
  </si>
  <si>
    <t>Daun Parsley</t>
  </si>
  <si>
    <t>Tutup Bowl</t>
  </si>
  <si>
    <t>Wijen</t>
  </si>
  <si>
    <t>Daun Bawang</t>
  </si>
  <si>
    <t>Inner Tray Bowl</t>
  </si>
  <si>
    <t>Minyak Goreng</t>
  </si>
  <si>
    <t>Plastik 12 x 25</t>
  </si>
  <si>
    <t>Pack</t>
  </si>
  <si>
    <t>Plastik Bawang 20</t>
  </si>
  <si>
    <t>Plastik Bawang 25</t>
  </si>
  <si>
    <t>Plastik Klip 100 Pcs</t>
  </si>
  <si>
    <t>Thinwall 500 ml</t>
  </si>
  <si>
    <t>Ayam Matang</t>
  </si>
  <si>
    <t>Daging Matang</t>
  </si>
  <si>
    <t>Spicy Minced Chicken Sauce</t>
  </si>
  <si>
    <t>Miso Soup</t>
  </si>
  <si>
    <t>Bubuk Choco latte</t>
  </si>
  <si>
    <t>Kabel Ties</t>
  </si>
  <si>
    <t>Battery AAA</t>
  </si>
  <si>
    <t>Tissue</t>
  </si>
  <si>
    <t>Wakame</t>
  </si>
  <si>
    <t>Plastik 20 x 35</t>
  </si>
  <si>
    <t>LPG</t>
  </si>
  <si>
    <t>Galon</t>
  </si>
  <si>
    <t>Sunlight</t>
  </si>
  <si>
    <t>Trash Bag</t>
  </si>
  <si>
    <t>Ayam Katsu</t>
  </si>
  <si>
    <t>Plastik Bawang 15</t>
  </si>
  <si>
    <t>Roll Kertas Nota</t>
  </si>
  <si>
    <t>Spons Cuci</t>
  </si>
  <si>
    <t>Isi Steples</t>
  </si>
  <si>
    <t>Tepung Ketan</t>
  </si>
  <si>
    <t>Isolasi Bening</t>
  </si>
  <si>
    <t>Lakban Bening</t>
  </si>
  <si>
    <t>Pudding Caramel</t>
  </si>
  <si>
    <t>Super Pel</t>
  </si>
  <si>
    <t>Garam</t>
  </si>
  <si>
    <t>Thousand Island</t>
  </si>
  <si>
    <t>White Coin</t>
  </si>
  <si>
    <t>SUM of Total Bahan Terpakai</t>
  </si>
  <si>
    <t>Laporan Keluar</t>
  </si>
  <si>
    <t>Spoiled</t>
  </si>
  <si>
    <t>Broken Stock</t>
  </si>
  <si>
    <t>Form Makan</t>
  </si>
  <si>
    <t>Makan Staff</t>
  </si>
  <si>
    <t>Variance</t>
  </si>
  <si>
    <t>Broken Stock Mei</t>
  </si>
  <si>
    <t>Selisih</t>
  </si>
  <si>
    <t>Presentase</t>
  </si>
  <si>
    <t>Batas Maximal Barang Keluar</t>
  </si>
  <si>
    <t>Toleransi Selisih</t>
  </si>
  <si>
    <t>Lewat Batas</t>
  </si>
  <si>
    <t>Harga</t>
  </si>
  <si>
    <t>Minus</t>
  </si>
  <si>
    <t>REKAP LAPORAN DATA OMOIYARI JUNI 2026</t>
  </si>
  <si>
    <t>Harga HPP Makan Pegawai</t>
  </si>
  <si>
    <t>Nasi</t>
  </si>
  <si>
    <t>Telor</t>
  </si>
  <si>
    <t>Nama Pegawai</t>
  </si>
  <si>
    <t>Katsu (Pcs)</t>
  </si>
  <si>
    <t>Karage (Pcs)</t>
  </si>
  <si>
    <t>Hot honey Karage (Pcs)</t>
  </si>
  <si>
    <t>Nasi (Pcs)</t>
  </si>
  <si>
    <t>Telor (Pcs)</t>
  </si>
  <si>
    <t>Beban Makan</t>
  </si>
  <si>
    <t>Rara</t>
  </si>
  <si>
    <t>Nofi</t>
  </si>
  <si>
    <t>Rizka</t>
  </si>
  <si>
    <t>Rincian Biaya Operasional</t>
  </si>
  <si>
    <t>Nomor</t>
  </si>
  <si>
    <t>Items</t>
  </si>
  <si>
    <t>Quantity</t>
  </si>
  <si>
    <t>Price</t>
  </si>
  <si>
    <t>Minyak 1 Liter</t>
  </si>
  <si>
    <t>Minyak 2 Liter</t>
  </si>
  <si>
    <t>PEX 15</t>
  </si>
  <si>
    <t>PEX 20</t>
  </si>
  <si>
    <t>PEX 25</t>
  </si>
  <si>
    <t>Plastik Klip</t>
  </si>
  <si>
    <t>Tomat 12 x 25</t>
  </si>
  <si>
    <t>Sealer cup</t>
  </si>
  <si>
    <t>Sunlight 1500</t>
  </si>
  <si>
    <t xml:space="preserve">Kable ties </t>
  </si>
  <si>
    <t>tissue</t>
  </si>
  <si>
    <t>batterai</t>
  </si>
  <si>
    <t>Tomat 20 x 35</t>
  </si>
  <si>
    <t>Wijen 100 gr</t>
  </si>
  <si>
    <t>Kresek Sampah</t>
  </si>
  <si>
    <t xml:space="preserve">Isi Steples </t>
  </si>
  <si>
    <t>Daun parsley (Gram)</t>
  </si>
  <si>
    <t>Tepung Ketan (Pack)</t>
  </si>
  <si>
    <t>OMOIYARI MULYOREJO</t>
  </si>
  <si>
    <t>JUNI 2026</t>
  </si>
  <si>
    <t>Biaya Makan Staff</t>
  </si>
  <si>
    <t>Biaya Operasional</t>
  </si>
  <si>
    <t>Biaya Gaji</t>
  </si>
  <si>
    <t>Biaya Listrik dan Air</t>
  </si>
  <si>
    <t>Wifi</t>
  </si>
  <si>
    <t>Biaya Sewa (Inc Service Charge)</t>
  </si>
  <si>
    <t>Piutang Penjualan</t>
  </si>
  <si>
    <t>Profit Margin</t>
  </si>
  <si>
    <t>Nett Profit</t>
  </si>
  <si>
    <t>Biaya Franchise (5%)</t>
  </si>
  <si>
    <t>Pusat</t>
  </si>
  <si>
    <t>Christopher</t>
  </si>
  <si>
    <t>SLIP GAJI KARYAWAN MULYOREJO</t>
  </si>
  <si>
    <t>Juni 2026</t>
  </si>
  <si>
    <t>Suryanti Rara (TL)</t>
  </si>
  <si>
    <t>Nofi (FT)</t>
  </si>
  <si>
    <t>Riska (FT)</t>
  </si>
  <si>
    <t>NIK</t>
  </si>
  <si>
    <t>2171034906959003</t>
  </si>
  <si>
    <t>3578136511040002</t>
  </si>
  <si>
    <t>3578166306040001</t>
  </si>
  <si>
    <t>Gaji per Jam Lama</t>
  </si>
  <si>
    <t>Jumlah Jam</t>
  </si>
  <si>
    <t>Gaji perhari Baru</t>
  </si>
  <si>
    <t>Jumlah Hari</t>
  </si>
  <si>
    <t>Jumlah Gaji</t>
  </si>
  <si>
    <t>Denda (Order)</t>
  </si>
  <si>
    <t>Denda Shrinkage</t>
  </si>
  <si>
    <t>Gantungan Gaji</t>
  </si>
  <si>
    <t>Kas Bon</t>
  </si>
  <si>
    <t>Bonus (Incentive)</t>
  </si>
  <si>
    <t>Gaji Pending (Rapel)</t>
  </si>
  <si>
    <t>Pencairan Gantungan Gaji</t>
  </si>
  <si>
    <t>Total Gaji</t>
  </si>
  <si>
    <t>Gantungan Gaji (Status)</t>
  </si>
  <si>
    <t>Lunas</t>
  </si>
  <si>
    <t>No Rekening</t>
  </si>
  <si>
    <t>Dana 3901085785224815</t>
  </si>
  <si>
    <t>Dana 3901087726403961</t>
  </si>
  <si>
    <t>Dana 39010882009675126</t>
  </si>
  <si>
    <t>Status</t>
  </si>
  <si>
    <t>Done</t>
  </si>
  <si>
    <t>Keterangan</t>
  </si>
  <si>
    <t>Bensin : 15k</t>
  </si>
  <si>
    <t>TOTAL DENDA SHRINKAGE</t>
  </si>
  <si>
    <t>(Rara, Nofi, Riska)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</si>
</sst>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 ]#,##0.00"/>
    <numFmt numFmtId="165" formatCode="dd/MM/yyyy"/>
    <numFmt numFmtId="166" formatCode="0.000"/>
    <numFmt numFmtId="167" formatCode="&quot;Rp&quot;#,##0.0"/>
    <numFmt numFmtId="168" formatCode="dd/mm/yyyy"/>
    <numFmt numFmtId="169" formatCode="[$Rp]#,##0.00"/>
    <numFmt numFmtId="170" formatCode="#,##0.0"/>
  </numFmts>
  <fonts count="40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/>
    <font>
      <sz val="12.0"/>
      <color rgb="FF000000"/>
      <name val="Arial"/>
      <scheme val="minor"/>
    </font>
    <font>
      <b/>
      <i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244062"/>
      <name val="Arial"/>
      <scheme val="minor"/>
    </font>
    <font>
      <b/>
      <i/>
      <sz val="12.0"/>
      <color theme="1"/>
      <name val="Arial"/>
    </font>
    <font>
      <b/>
      <sz val="12.0"/>
      <color rgb="FF000000"/>
      <name val="Arial"/>
    </font>
    <font>
      <color theme="1"/>
      <name val="Arial"/>
    </font>
    <font>
      <b/>
      <sz val="11.0"/>
      <color theme="1"/>
      <name val="Arial"/>
    </font>
    <font>
      <b/>
      <i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sz val="15.0"/>
      <color theme="1"/>
      <name val="Arial"/>
    </font>
    <font>
      <color theme="1"/>
      <name val="Arial"/>
      <scheme val="minor"/>
    </font>
    <font>
      <sz val="15.0"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000000"/>
      <name val="Calibri"/>
    </font>
    <font>
      <i/>
      <sz val="12.0"/>
      <color theme="1"/>
      <name val="Calibri"/>
    </font>
    <font>
      <sz val="12.0"/>
      <color rgb="FF244062"/>
      <name val="Arial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i/>
      <color theme="1"/>
      <name val="Arial"/>
    </font>
    <font>
      <color rgb="FFFFFFFF"/>
      <name val="Arial"/>
    </font>
    <font>
      <b/>
      <color theme="1"/>
      <name val="Arial"/>
    </font>
    <font>
      <color rgb="FFFF0000"/>
      <name val="Arial"/>
    </font>
    <font>
      <sz val="10.0"/>
      <color theme="1"/>
      <name val="Arial"/>
    </font>
    <font>
      <sz val="25.0"/>
      <color theme="1"/>
      <name val="Arial"/>
    </font>
    <font>
      <sz val="12.0"/>
      <color rgb="FFFF0000"/>
      <name val="Arial"/>
    </font>
    <font>
      <sz val="12.0"/>
      <color rgb="FF00FF00"/>
      <name val="Arial"/>
    </font>
    <font>
      <sz val="16.0"/>
      <color theme="1"/>
      <name val="Arial"/>
    </font>
    <font>
      <b/>
      <sz val="12.0"/>
      <color rgb="FFFF0000"/>
      <name val="Arial"/>
    </font>
    <font>
      <b/>
      <sz val="12.0"/>
      <color rgb="FF00FF00"/>
      <name val="Arial"/>
    </font>
    <font>
      <i/>
      <sz val="12.0"/>
      <color rgb="FFFF0000"/>
      <name val="Arial"/>
    </font>
    <font>
      <i/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F6F8"/>
        <bgColor rgb="FFF4F6F8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57BB8A"/>
        <bgColor rgb="FF57BB8A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8093B3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shrinkToFit="0" vertical="bottom" wrapText="1"/>
    </xf>
    <xf borderId="1" fillId="3" fontId="1" numFmtId="164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2" fillId="0" fontId="2" numFmtId="1" xfId="0" applyAlignment="1" applyBorder="1" applyFont="1" applyNumberFormat="1">
      <alignment horizontal="center" shrinkToFit="0" vertical="center" wrapText="1"/>
    </xf>
    <xf borderId="1" fillId="4" fontId="2" numFmtId="164" xfId="0" applyAlignment="1" applyBorder="1" applyFill="1" applyFont="1" applyNumberFormat="1">
      <alignment horizontal="center" readingOrder="0" vertical="bottom"/>
    </xf>
    <xf borderId="1" fillId="2" fontId="2" numFmtId="164" xfId="0" applyAlignment="1" applyBorder="1" applyFont="1" applyNumberFormat="1">
      <alignment horizontal="center" readingOrder="0" vertical="bottom"/>
    </xf>
    <xf borderId="2" fillId="2" fontId="2" numFmtId="1" xfId="0" applyAlignment="1" applyBorder="1" applyFont="1" applyNumberFormat="1">
      <alignment horizontal="center" shrinkToFit="0" wrapText="1"/>
    </xf>
    <xf borderId="2" fillId="0" fontId="2" numFmtId="1" xfId="0" applyAlignment="1" applyBorder="1" applyFont="1" applyNumberFormat="1">
      <alignment horizontal="center" readingOrder="0" shrinkToFit="0" vertical="center" wrapText="1"/>
    </xf>
    <xf borderId="1" fillId="4" fontId="2" numFmtId="164" xfId="0" applyAlignment="1" applyBorder="1" applyFont="1" applyNumberFormat="1">
      <alignment horizontal="center" readingOrder="0" shrinkToFit="0" vertical="bottom" wrapText="1"/>
    </xf>
    <xf borderId="1" fillId="2" fontId="2" numFmtId="164" xfId="0" applyAlignment="1" applyBorder="1" applyFont="1" applyNumberFormat="1">
      <alignment horizontal="center" readingOrder="0" shrinkToFit="0" vertical="bottom" wrapText="1"/>
    </xf>
    <xf borderId="2" fillId="0" fontId="2" numFmtId="0" xfId="0" applyAlignment="1" applyBorder="1" applyFont="1">
      <alignment horizontal="center" shrinkToFit="0" vertical="center" wrapText="1"/>
    </xf>
    <xf borderId="3" fillId="4" fontId="2" numFmtId="164" xfId="0" applyAlignment="1" applyBorder="1" applyFont="1" applyNumberFormat="1">
      <alignment horizontal="center" readingOrder="0" shrinkToFit="0" vertical="bottom" wrapText="1"/>
    </xf>
    <xf borderId="3" fillId="2" fontId="2" numFmtId="164" xfId="0" applyAlignment="1" applyBorder="1" applyFont="1" applyNumberFormat="1">
      <alignment horizontal="center" readingOrder="0" shrinkToFit="0" vertical="bottom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3" numFmtId="1" xfId="0" applyAlignment="1" applyBorder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center" vertical="center"/>
    </xf>
    <xf borderId="4" fillId="0" fontId="3" numFmtId="1" xfId="0" applyAlignment="1" applyBorder="1" applyFont="1" applyNumberForma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textRotation="90" vertical="center"/>
    </xf>
    <xf borderId="6" fillId="5" fontId="4" numFmtId="165" xfId="0" applyAlignment="1" applyBorder="1" applyFill="1" applyFont="1" applyNumberFormat="1">
      <alignment horizontal="center" readingOrder="0" textRotation="90" vertical="center"/>
    </xf>
    <xf borderId="7" fillId="6" fontId="4" numFmtId="1" xfId="0" applyAlignment="1" applyBorder="1" applyFill="1" applyFont="1" applyNumberFormat="1">
      <alignment horizontal="center" shrinkToFit="0" vertical="center" wrapText="1"/>
    </xf>
    <xf borderId="7" fillId="2" fontId="4" numFmtId="164" xfId="0" applyAlignment="1" applyBorder="1" applyFont="1" applyNumberFormat="1">
      <alignment horizontal="center" vertical="center"/>
    </xf>
    <xf borderId="7" fillId="5" fontId="4" numFmtId="1" xfId="0" applyAlignment="1" applyBorder="1" applyFont="1" applyNumberFormat="1">
      <alignment horizontal="center" readingOrder="0" vertical="center"/>
    </xf>
    <xf borderId="7" fillId="0" fontId="4" numFmtId="1" xfId="0" applyAlignment="1" applyBorder="1" applyFont="1" applyNumberFormat="1">
      <alignment horizontal="center" readingOrder="0" vertical="center"/>
    </xf>
    <xf borderId="6" fillId="2" fontId="4" numFmtId="164" xfId="0" applyAlignment="1" applyBorder="1" applyFont="1" applyNumberFormat="1">
      <alignment horizontal="center" vertical="center"/>
    </xf>
    <xf borderId="6" fillId="5" fontId="4" numFmtId="164" xfId="0" applyAlignment="1" applyBorder="1" applyFont="1" applyNumberFormat="1">
      <alignment horizontal="center" readingOrder="0" vertical="center"/>
    </xf>
    <xf borderId="6" fillId="2" fontId="4" numFmtId="10" xfId="0" applyAlignment="1" applyBorder="1" applyFont="1" applyNumberFormat="1">
      <alignment horizontal="center" vertical="center"/>
    </xf>
    <xf borderId="8" fillId="2" fontId="4" numFmtId="164" xfId="0" applyAlignment="1" applyBorder="1" applyFont="1" applyNumberForma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1" fillId="6" fontId="4" numFmtId="1" xfId="0" applyAlignment="1" applyBorder="1" applyFont="1" applyNumberFormat="1">
      <alignment horizontal="center" shrinkToFit="0" vertical="center" wrapText="1"/>
    </xf>
    <xf borderId="1" fillId="2" fontId="4" numFmtId="164" xfId="0" applyAlignment="1" applyBorder="1" applyFont="1" applyNumberFormat="1">
      <alignment horizontal="center" vertical="center"/>
    </xf>
    <xf borderId="1" fillId="5" fontId="4" numFmtId="1" xfId="0" applyAlignment="1" applyBorder="1" applyFont="1" applyNumberFormat="1">
      <alignment horizontal="center" readingOrder="0" vertical="center"/>
    </xf>
    <xf borderId="1" fillId="0" fontId="4" numFmtId="1" xfId="0" applyAlignment="1" applyBorder="1" applyFont="1" applyNumberFormat="1">
      <alignment horizontal="center" readingOrder="0" vertical="center"/>
    </xf>
    <xf borderId="11" fillId="0" fontId="5" numFmtId="0" xfId="0" applyBorder="1" applyFont="1"/>
    <xf borderId="1" fillId="6" fontId="4" numFmtId="1" xfId="0" applyAlignment="1" applyBorder="1" applyFont="1" applyNumberFormat="1">
      <alignment horizontal="center" readingOrder="0" shrinkToFit="0" vertical="center" wrapText="1"/>
    </xf>
    <xf borderId="1" fillId="5" fontId="4" numFmtId="1" xfId="0" applyAlignment="1" applyBorder="1" applyFont="1" applyNumberFormat="1">
      <alignment horizontal="center" readingOrder="0" vertical="center"/>
    </xf>
    <xf borderId="1" fillId="6" fontId="4" numFmtId="1" xfId="0" applyAlignment="1" applyBorder="1" applyFont="1" applyNumberFormat="1">
      <alignment horizontal="center" vertical="center"/>
    </xf>
    <xf borderId="1" fillId="6" fontId="4" numFmtId="1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4" fillId="5" fontId="4" numFmtId="1" xfId="0" applyAlignment="1" applyBorder="1" applyFont="1" applyNumberForma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12" fillId="0" fontId="5" numFmtId="0" xfId="0" applyBorder="1" applyFont="1"/>
    <xf borderId="13" fillId="0" fontId="5" numFmtId="0" xfId="0" applyBorder="1" applyFont="1"/>
    <xf borderId="14" fillId="6" fontId="4" numFmtId="0" xfId="0" applyAlignment="1" applyBorder="1" applyFont="1">
      <alignment horizontal="center" readingOrder="0" vertical="center"/>
    </xf>
    <xf borderId="14" fillId="2" fontId="4" numFmtId="164" xfId="0" applyAlignment="1" applyBorder="1" applyFont="1" applyNumberFormat="1">
      <alignment horizontal="center" vertical="center"/>
    </xf>
    <xf borderId="14" fillId="5" fontId="4" numFmtId="1" xfId="0" applyAlignment="1" applyBorder="1" applyFont="1" applyNumberFormat="1">
      <alignment horizontal="center" readingOrder="0" vertical="center"/>
    </xf>
    <xf borderId="14" fillId="0" fontId="4" numFmtId="1" xfId="0" applyAlignment="1" applyBorder="1" applyFont="1" applyNumberFormat="1">
      <alignment horizontal="center" readingOrder="0" vertical="center"/>
    </xf>
    <xf borderId="15" fillId="0" fontId="5" numFmtId="0" xfId="0" applyBorder="1" applyFont="1"/>
    <xf borderId="7" fillId="6" fontId="4" numFmtId="1" xfId="0" applyAlignment="1" applyBorder="1" applyFont="1" applyNumberFormat="1">
      <alignment horizontal="center" vertical="center"/>
    </xf>
    <xf borderId="7" fillId="2" fontId="4" numFmtId="1" xfId="0" applyAlignment="1" applyBorder="1" applyFont="1" applyNumberFormat="1">
      <alignment horizontal="center" readingOrder="0" vertical="center"/>
    </xf>
    <xf borderId="7" fillId="0" fontId="4" numFmtId="164" xfId="0" applyAlignment="1" applyBorder="1" applyFont="1" applyNumberFormat="1">
      <alignment horizontal="center" vertical="center"/>
    </xf>
    <xf borderId="1" fillId="2" fontId="4" numFmtId="1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vertical="center"/>
    </xf>
    <xf borderId="14" fillId="2" fontId="4" numFmtId="1" xfId="0" applyAlignment="1" applyBorder="1" applyFont="1" applyNumberFormat="1">
      <alignment horizontal="center" readingOrder="0" vertical="center"/>
    </xf>
    <xf borderId="14" fillId="0" fontId="4" numFmtId="164" xfId="0" applyAlignment="1" applyBorder="1" applyFont="1" applyNumberFormat="1">
      <alignment horizontal="center" vertical="center"/>
    </xf>
    <xf borderId="7" fillId="5" fontId="4" numFmtId="164" xfId="0" applyAlignment="1" applyBorder="1" applyFont="1" applyNumberFormat="1">
      <alignment horizontal="center" vertical="center"/>
    </xf>
    <xf borderId="7" fillId="2" fontId="4" numFmtId="1" xfId="0" applyAlignment="1" applyBorder="1" applyFont="1" applyNumberFormat="1">
      <alignment horizontal="center" vertical="center"/>
    </xf>
    <xf borderId="1" fillId="5" fontId="4" numFmtId="164" xfId="0" applyAlignment="1" applyBorder="1" applyFont="1" applyNumberFormat="1">
      <alignment horizontal="center" vertical="center"/>
    </xf>
    <xf borderId="1" fillId="2" fontId="4" numFmtId="1" xfId="0" applyAlignment="1" applyBorder="1" applyFont="1" applyNumberFormat="1">
      <alignment horizontal="center" vertical="center"/>
    </xf>
    <xf borderId="4" fillId="5" fontId="4" numFmtId="164" xfId="0" applyAlignment="1" applyBorder="1" applyFont="1" applyNumberFormat="1">
      <alignment horizontal="center" vertical="center"/>
    </xf>
    <xf borderId="14" fillId="5" fontId="4" numFmtId="164" xfId="0" applyAlignment="1" applyBorder="1" applyFont="1" applyNumberFormat="1">
      <alignment horizontal="center" vertical="center"/>
    </xf>
    <xf borderId="14" fillId="2" fontId="4" numFmtId="1" xfId="0" applyAlignment="1" applyBorder="1" applyFont="1" applyNumberFormat="1">
      <alignment horizontal="center" vertical="center"/>
    </xf>
    <xf borderId="2" fillId="5" fontId="4" numFmtId="1" xfId="0" applyAlignment="1" applyBorder="1" applyFont="1" applyNumberFormat="1">
      <alignment horizontal="center" readingOrder="0" vertical="center"/>
    </xf>
    <xf borderId="2" fillId="5" fontId="4" numFmtId="164" xfId="0" applyAlignment="1" applyBorder="1" applyFont="1" applyNumberFormat="1">
      <alignment horizontal="center" vertical="center"/>
    </xf>
    <xf borderId="2" fillId="2" fontId="4" numFmtId="1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 textRotation="0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16" fillId="0" fontId="3" numFmtId="0" xfId="0" applyAlignment="1" applyBorder="1" applyFont="1">
      <alignment horizontal="center" readingOrder="0" textRotation="0" vertical="center"/>
    </xf>
    <xf borderId="17" fillId="0" fontId="5" numFmtId="0" xfId="0" applyBorder="1" applyFont="1"/>
    <xf borderId="18" fillId="0" fontId="5" numFmtId="0" xfId="0" applyBorder="1" applyFont="1"/>
    <xf borderId="16" fillId="0" fontId="3" numFmtId="164" xfId="0" applyAlignment="1" applyBorder="1" applyFont="1" applyNumberFormat="1">
      <alignment horizontal="center" readingOrder="0" vertical="center"/>
    </xf>
    <xf borderId="19" fillId="7" fontId="6" numFmtId="0" xfId="0" applyAlignment="1" applyBorder="1" applyFill="1" applyFont="1">
      <alignment horizontal="center" readingOrder="0" vertical="center"/>
    </xf>
    <xf borderId="4" fillId="7" fontId="6" numFmtId="0" xfId="0" applyAlignment="1" applyBorder="1" applyFont="1">
      <alignment horizontal="center" readingOrder="0" vertical="center"/>
    </xf>
    <xf borderId="1" fillId="7" fontId="4" numFmtId="0" xfId="0" applyBorder="1" applyFont="1"/>
    <xf borderId="1" fillId="7" fontId="6" numFmtId="0" xfId="0" applyAlignment="1" applyBorder="1" applyFont="1">
      <alignment horizontal="center" readingOrder="0" vertical="center"/>
    </xf>
    <xf borderId="20" fillId="7" fontId="4" numFmtId="0" xfId="0" applyBorder="1" applyFont="1"/>
    <xf borderId="21" fillId="2" fontId="7" numFmtId="164" xfId="0" applyAlignment="1" applyBorder="1" applyFont="1" applyNumberFormat="1">
      <alignment horizontal="center" vertical="center"/>
    </xf>
    <xf borderId="20" fillId="2" fontId="8" numFmtId="4" xfId="0" applyAlignment="1" applyBorder="1" applyFont="1" applyNumberFormat="1">
      <alignment horizontal="center" vertical="center"/>
    </xf>
    <xf borderId="22" fillId="0" fontId="5" numFmtId="0" xfId="0" applyBorder="1" applyFont="1"/>
    <xf borderId="2" fillId="0" fontId="5" numFmtId="0" xfId="0" applyBorder="1" applyFont="1"/>
    <xf borderId="1" fillId="7" fontId="6" numFmtId="4" xfId="0" applyAlignment="1" applyBorder="1" applyFont="1" applyNumberFormat="1">
      <alignment horizontal="center" readingOrder="0" vertical="center"/>
    </xf>
    <xf borderId="20" fillId="7" fontId="6" numFmtId="0" xfId="0" applyAlignment="1" applyBorder="1" applyFont="1">
      <alignment horizontal="center" readingOrder="0" shrinkToFit="0" wrapText="1"/>
    </xf>
    <xf borderId="21" fillId="2" fontId="4" numFmtId="164" xfId="0" applyAlignment="1" applyBorder="1" applyFont="1" applyNumberFormat="1">
      <alignment horizontal="center" vertical="center"/>
    </xf>
    <xf borderId="20" fillId="2" fontId="4" numFmtId="4" xfId="0" applyAlignment="1" applyBorder="1" applyFont="1" applyNumberFormat="1">
      <alignment horizontal="center" vertical="center"/>
    </xf>
    <xf borderId="19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4" numFmtId="4" xfId="0" applyAlignment="1" applyBorder="1" applyFont="1" applyNumberFormat="1">
      <alignment horizontal="center" readingOrder="0" vertical="center"/>
    </xf>
    <xf borderId="4" fillId="2" fontId="4" numFmtId="4" xfId="0" applyAlignment="1" applyBorder="1" applyFont="1" applyNumberFormat="1">
      <alignment horizontal="center" vertical="center"/>
    </xf>
    <xf borderId="20" fillId="2" fontId="4" numFmtId="0" xfId="0" applyAlignment="1" applyBorder="1" applyFont="1">
      <alignment horizontal="center"/>
    </xf>
    <xf borderId="20" fillId="2" fontId="4" numFmtId="1" xfId="0" applyAlignment="1" applyBorder="1" applyFont="1" applyNumberFormat="1">
      <alignment horizontal="center"/>
    </xf>
    <xf borderId="20" fillId="2" fontId="4" numFmtId="4" xfId="0" applyAlignment="1" applyBorder="1" applyFont="1" applyNumberFormat="1">
      <alignment horizontal="center" readingOrder="0" vertical="center"/>
    </xf>
    <xf borderId="23" fillId="2" fontId="4" numFmtId="164" xfId="0" applyAlignment="1" applyBorder="1" applyFont="1" applyNumberFormat="1">
      <alignment horizontal="center" vertical="center"/>
    </xf>
    <xf borderId="24" fillId="2" fontId="4" numFmtId="4" xfId="0" applyAlignment="1" applyBorder="1" applyFont="1" applyNumberFormat="1">
      <alignment horizontal="center" readingOrder="0" vertical="center"/>
    </xf>
    <xf borderId="0" fillId="2" fontId="4" numFmtId="164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center" readingOrder="0" vertical="center"/>
    </xf>
    <xf borderId="21" fillId="2" fontId="4" numFmtId="0" xfId="0" applyAlignment="1" applyBorder="1" applyFont="1">
      <alignment horizontal="center" readingOrder="0" vertical="center"/>
    </xf>
    <xf borderId="4" fillId="2" fontId="4" numFmtId="4" xfId="0" applyAlignment="1" applyBorder="1" applyFont="1" applyNumberFormat="1">
      <alignment horizontal="center" readingOrder="0" vertical="center"/>
    </xf>
    <xf borderId="19" fillId="0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/>
    </xf>
    <xf borderId="1" fillId="0" fontId="4" numFmtId="166" xfId="0" applyAlignment="1" applyBorder="1" applyFont="1" applyNumberFormat="1">
      <alignment horizontal="center" readingOrder="0" shrinkToFit="0" vertical="center" wrapText="1"/>
    </xf>
    <xf borderId="1" fillId="0" fontId="4" numFmtId="167" xfId="0" applyAlignment="1" applyBorder="1" applyFont="1" applyNumberFormat="1">
      <alignment horizontal="center" readingOrder="0" shrinkToFit="0" vertical="center" wrapText="1"/>
    </xf>
    <xf borderId="4" fillId="0" fontId="4" numFmtId="4" xfId="0" applyAlignment="1" applyBorder="1" applyFont="1" applyNumberFormat="1">
      <alignment horizontal="center" vertical="center"/>
    </xf>
    <xf borderId="20" fillId="0" fontId="4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1" fillId="0" fontId="4" numFmtId="167" xfId="0" applyAlignment="1" applyBorder="1" applyFont="1" applyNumberFormat="1">
      <alignment horizontal="center" shrinkToFit="0" vertical="center" wrapText="1"/>
    </xf>
    <xf borderId="19" fillId="2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/>
    </xf>
    <xf borderId="1" fillId="0" fontId="4" numFmtId="4" xfId="0" applyAlignment="1" applyBorder="1" applyFont="1" applyNumberFormat="1">
      <alignment horizontal="center" readingOrder="0"/>
    </xf>
    <xf borderId="20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2" fontId="4" numFmtId="164" xfId="0" applyAlignment="1" applyBorder="1" applyFont="1" applyNumberFormat="1">
      <alignment horizontal="center" vertical="center"/>
    </xf>
    <xf borderId="4" fillId="0" fontId="4" numFmtId="4" xfId="0" applyAlignment="1" applyBorder="1" applyFont="1" applyNumberFormat="1">
      <alignment horizontal="center" readingOrder="0"/>
    </xf>
    <xf borderId="25" fillId="0" fontId="4" numFmtId="0" xfId="0" applyAlignment="1" applyBorder="1" applyFont="1">
      <alignment horizontal="center"/>
    </xf>
    <xf borderId="19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4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4" fillId="0" fontId="2" numFmtId="4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4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167" xfId="0" applyAlignment="1" applyBorder="1" applyFont="1" applyNumberFormat="1">
      <alignment horizontal="center" shrinkToFit="0" vertical="center" wrapText="1"/>
    </xf>
    <xf borderId="10" fillId="0" fontId="2" numFmtId="4" xfId="0" applyAlignment="1" applyBorder="1" applyFont="1" applyNumberFormat="1">
      <alignment horizontal="center" vertical="center"/>
    </xf>
    <xf borderId="26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4" fillId="0" fontId="2" numFmtId="164" xfId="0" applyAlignment="1" applyBorder="1" applyFont="1" applyNumberFormat="1">
      <alignment horizontal="center" vertical="center"/>
    </xf>
    <xf borderId="14" fillId="0" fontId="2" numFmtId="4" xfId="0" applyAlignment="1" applyBorder="1" applyFont="1" applyNumberFormat="1">
      <alignment horizontal="center" vertical="center"/>
    </xf>
    <xf borderId="24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 shrinkToFit="0" wrapText="1"/>
    </xf>
    <xf borderId="1" fillId="0" fontId="1" numFmtId="1" xfId="0" applyAlignment="1" applyBorder="1" applyFont="1" applyNumberFormat="1">
      <alignment horizontal="center"/>
    </xf>
    <xf borderId="1" fillId="2" fontId="10" numFmtId="164" xfId="0" applyAlignment="1" applyBorder="1" applyFont="1" applyNumberFormat="1">
      <alignment horizontal="center"/>
    </xf>
    <xf borderId="1" fillId="2" fontId="11" numFmtId="4" xfId="0" applyAlignment="1" applyBorder="1" applyFont="1" applyNumberFormat="1">
      <alignment horizontal="center"/>
    </xf>
    <xf borderId="0" fillId="0" fontId="4" numFmtId="0" xfId="0" applyFont="1"/>
    <xf borderId="4" fillId="5" fontId="2" numFmtId="165" xfId="0" applyAlignment="1" applyBorder="1" applyFont="1" applyNumberFormat="1">
      <alignment horizontal="center" readingOrder="0" vertical="center"/>
    </xf>
    <xf borderId="1" fillId="6" fontId="2" numFmtId="1" xfId="0" applyAlignment="1" applyBorder="1" applyFont="1" applyNumberFormat="1">
      <alignment horizontal="center" shrinkToFit="0" wrapText="1"/>
    </xf>
    <xf borderId="1" fillId="5" fontId="2" numFmtId="1" xfId="0" applyAlignment="1" applyBorder="1" applyFont="1" applyNumberFormat="1">
      <alignment horizontal="center" readingOrder="0"/>
    </xf>
    <xf borderId="1" fillId="5" fontId="2" numFmtId="1" xfId="0" applyBorder="1" applyFont="1" applyNumberFormat="1"/>
    <xf borderId="1" fillId="0" fontId="2" numFmtId="1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/>
    </xf>
    <xf borderId="1" fillId="2" fontId="2" numFmtId="4" xfId="0" applyAlignment="1" applyBorder="1" applyFont="1" applyNumberFormat="1">
      <alignment horizontal="center"/>
    </xf>
    <xf borderId="1" fillId="6" fontId="2" numFmtId="1" xfId="0" applyAlignment="1" applyBorder="1" applyFont="1" applyNumberFormat="1">
      <alignment horizontal="center" readingOrder="0" shrinkToFit="0" wrapText="1"/>
    </xf>
    <xf borderId="1" fillId="5" fontId="2" numFmtId="1" xfId="0" applyAlignment="1" applyBorder="1" applyFont="1" applyNumberFormat="1">
      <alignment horizontal="center" readingOrder="0"/>
    </xf>
    <xf borderId="1" fillId="5" fontId="2" numFmtId="1" xfId="0" applyBorder="1" applyFont="1" applyNumberFormat="1"/>
    <xf borderId="1" fillId="6" fontId="2" numFmtId="1" xfId="0" applyAlignment="1" applyBorder="1" applyFont="1" applyNumberFormat="1">
      <alignment horizontal="center"/>
    </xf>
    <xf borderId="1" fillId="6" fontId="2" numFmtId="1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5" fontId="2" numFmtId="1" xfId="0" applyAlignment="1" applyBorder="1" applyFont="1" applyNumberFormat="1">
      <alignment horizontal="center" readingOrder="0" vertical="center"/>
    </xf>
    <xf borderId="1" fillId="5" fontId="2" numFmtId="1" xfId="0" applyAlignment="1" applyBorder="1" applyFont="1" applyNumberFormat="1">
      <alignment horizontal="center" readingOrder="0" vertical="center"/>
    </xf>
    <xf borderId="4" fillId="5" fontId="2" numFmtId="165" xfId="0" applyAlignment="1" applyBorder="1" applyFont="1" applyNumberFormat="1">
      <alignment horizontal="center" vertical="center"/>
    </xf>
    <xf borderId="1" fillId="6" fontId="2" numFmtId="1" xfId="0" applyAlignment="1" applyBorder="1" applyFont="1" applyNumberFormat="1">
      <alignment horizontal="center" shrinkToFit="0" vertical="bottom" wrapText="1"/>
    </xf>
    <xf borderId="1" fillId="5" fontId="2" numFmtId="1" xfId="0" applyAlignment="1" applyBorder="1" applyFont="1" applyNumberFormat="1">
      <alignment horizontal="center" vertical="bottom"/>
    </xf>
    <xf borderId="1" fillId="5" fontId="12" numFmtId="1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horizontal="center" vertical="bottom"/>
    </xf>
    <xf borderId="1" fillId="5" fontId="2" numFmtId="1" xfId="0" applyAlignment="1" applyBorder="1" applyFont="1" applyNumberFormat="1">
      <alignment horizontal="center" vertical="bottom"/>
    </xf>
    <xf borderId="1" fillId="5" fontId="12" numFmtId="1" xfId="0" applyAlignment="1" applyBorder="1" applyFont="1" applyNumberFormat="1">
      <alignment vertical="bottom"/>
    </xf>
    <xf borderId="1" fillId="6" fontId="2" numFmtId="1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/>
    </xf>
    <xf borderId="1" fillId="5" fontId="2" numFmtId="1" xfId="0" applyAlignment="1" applyBorder="1" applyFont="1" applyNumberFormat="1">
      <alignment horizontal="center"/>
    </xf>
    <xf borderId="1" fillId="5" fontId="2" numFmtId="1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 readingOrder="0"/>
    </xf>
    <xf borderId="1" fillId="0" fontId="13" numFmtId="1" xfId="0" applyAlignment="1" applyBorder="1" applyFont="1" applyNumberFormat="1">
      <alignment horizontal="center" shrinkToFit="0" wrapText="1"/>
    </xf>
    <xf borderId="1" fillId="0" fontId="13" numFmtId="1" xfId="0" applyAlignment="1" applyBorder="1" applyFont="1" applyNumberFormat="1">
      <alignment horizontal="center"/>
    </xf>
    <xf borderId="1" fillId="2" fontId="14" numFmtId="164" xfId="0" applyAlignment="1" applyBorder="1" applyFont="1" applyNumberFormat="1">
      <alignment horizontal="center"/>
    </xf>
    <xf borderId="1" fillId="2" fontId="15" numFmtId="4" xfId="0" applyAlignment="1" applyBorder="1" applyFont="1" applyNumberFormat="1">
      <alignment horizontal="center"/>
    </xf>
    <xf borderId="4" fillId="5" fontId="16" numFmtId="165" xfId="0" applyAlignment="1" applyBorder="1" applyFont="1" applyNumberFormat="1">
      <alignment horizontal="center" readingOrder="0" vertical="center"/>
    </xf>
    <xf borderId="1" fillId="6" fontId="16" numFmtId="1" xfId="0" applyAlignment="1" applyBorder="1" applyFont="1" applyNumberFormat="1">
      <alignment horizontal="center" shrinkToFit="0" wrapText="1"/>
    </xf>
    <xf borderId="1" fillId="5" fontId="16" numFmtId="1" xfId="0" applyAlignment="1" applyBorder="1" applyFont="1" applyNumberFormat="1">
      <alignment horizontal="center" readingOrder="0"/>
    </xf>
    <xf borderId="1" fillId="0" fontId="16" numFmtId="1" xfId="0" applyAlignment="1" applyBorder="1" applyFont="1" applyNumberFormat="1">
      <alignment horizontal="center"/>
    </xf>
    <xf borderId="1" fillId="2" fontId="16" numFmtId="164" xfId="0" applyAlignment="1" applyBorder="1" applyFont="1" applyNumberFormat="1">
      <alignment horizontal="center"/>
    </xf>
    <xf borderId="1" fillId="2" fontId="16" numFmtId="4" xfId="0" applyAlignment="1" applyBorder="1" applyFont="1" applyNumberFormat="1">
      <alignment horizontal="center"/>
    </xf>
    <xf borderId="1" fillId="6" fontId="16" numFmtId="1" xfId="0" applyAlignment="1" applyBorder="1" applyFont="1" applyNumberFormat="1">
      <alignment horizontal="center" readingOrder="0" shrinkToFit="0" wrapText="1"/>
    </xf>
    <xf borderId="1" fillId="5" fontId="16" numFmtId="1" xfId="0" applyAlignment="1" applyBorder="1" applyFont="1" applyNumberFormat="1">
      <alignment horizontal="center" readingOrder="0"/>
    </xf>
    <xf borderId="1" fillId="6" fontId="16" numFmtId="1" xfId="0" applyAlignment="1" applyBorder="1" applyFont="1" applyNumberFormat="1">
      <alignment horizontal="center"/>
    </xf>
    <xf borderId="1" fillId="6" fontId="16" numFmtId="1" xfId="0" applyAlignment="1" applyBorder="1" applyFont="1" applyNumberFormat="1">
      <alignment horizontal="center" readingOrder="0"/>
    </xf>
    <xf borderId="1" fillId="6" fontId="16" numFmtId="0" xfId="0" applyAlignment="1" applyBorder="1" applyFont="1">
      <alignment horizontal="center" readingOrder="0"/>
    </xf>
    <xf borderId="1" fillId="5" fontId="16" numFmtId="1" xfId="0" applyAlignment="1" applyBorder="1" applyFont="1" applyNumberFormat="1">
      <alignment horizontal="center" readingOrder="0" vertical="center"/>
    </xf>
    <xf borderId="1" fillId="5" fontId="16" numFmtId="1" xfId="0" applyAlignment="1" applyBorder="1" applyFont="1" applyNumberFormat="1">
      <alignment horizontal="center" readingOrder="0" vertical="center"/>
    </xf>
    <xf borderId="1" fillId="5" fontId="16" numFmtId="1" xfId="0" applyAlignment="1" applyBorder="1" applyFont="1" applyNumberFormat="1">
      <alignment horizontal="center"/>
    </xf>
    <xf borderId="1" fillId="5" fontId="16" numFmtId="1" xfId="0" applyAlignment="1" applyBorder="1" applyFont="1" applyNumberFormat="1">
      <alignment horizontal="center"/>
    </xf>
    <xf borderId="27" fillId="8" fontId="17" numFmtId="0" xfId="0" applyAlignment="1" applyBorder="1" applyFill="1" applyFont="1">
      <alignment horizontal="center" readingOrder="0"/>
    </xf>
    <xf borderId="28" fillId="0" fontId="5" numFmtId="0" xfId="0" applyBorder="1" applyFont="1"/>
    <xf borderId="29" fillId="0" fontId="5" numFmtId="0" xfId="0" applyBorder="1" applyFont="1"/>
    <xf borderId="1" fillId="9" fontId="17" numFmtId="0" xfId="0" applyAlignment="1" applyBorder="1" applyFill="1" applyFont="1">
      <alignment horizontal="center" readingOrder="0"/>
    </xf>
    <xf borderId="1" fillId="9" fontId="17" numFmtId="10" xfId="0" applyAlignment="1" applyBorder="1" applyFont="1" applyNumberFormat="1">
      <alignment horizontal="center" readingOrder="0"/>
    </xf>
    <xf borderId="1" fillId="0" fontId="17" numFmtId="168" xfId="0" applyAlignment="1" applyBorder="1" applyFont="1" applyNumberFormat="1">
      <alignment horizontal="center" readingOrder="0"/>
    </xf>
    <xf borderId="1" fillId="0" fontId="17" numFmtId="164" xfId="0" applyAlignment="1" applyBorder="1" applyFont="1" applyNumberFormat="1">
      <alignment horizontal="center"/>
    </xf>
    <xf borderId="1" fillId="0" fontId="17" numFmtId="10" xfId="0" applyAlignment="1" applyBorder="1" applyFont="1" applyNumberFormat="1">
      <alignment horizontal="center"/>
    </xf>
    <xf borderId="1" fillId="0" fontId="17" numFmtId="0" xfId="0" applyAlignment="1" applyBorder="1" applyFont="1">
      <alignment horizontal="center" readingOrder="0"/>
    </xf>
    <xf borderId="1" fillId="0" fontId="17" numFmtId="10" xfId="0" applyAlignment="1" applyBorder="1" applyFont="1" applyNumberFormat="1">
      <alignment horizontal="center" readingOrder="0"/>
    </xf>
    <xf borderId="0" fillId="0" fontId="18" numFmtId="168" xfId="0" applyAlignment="1" applyFont="1" applyNumberFormat="1">
      <alignment horizontal="center" readingOrder="0"/>
    </xf>
    <xf borderId="0" fillId="0" fontId="19" numFmtId="164" xfId="0" applyAlignment="1" applyFont="1" applyNumberFormat="1">
      <alignment horizontal="center"/>
    </xf>
    <xf borderId="0" fillId="0" fontId="19" numFmtId="10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8" numFmtId="10" xfId="0" applyAlignment="1" applyFont="1" applyNumberFormat="1">
      <alignment horizontal="center"/>
    </xf>
    <xf borderId="0" fillId="2" fontId="20" numFmtId="164" xfId="0" applyAlignment="1" applyFont="1" applyNumberFormat="1">
      <alignment horizontal="center" readingOrder="0" vertical="center"/>
    </xf>
    <xf borderId="0" fillId="0" fontId="21" numFmtId="0" xfId="0" applyFont="1"/>
    <xf borderId="0" fillId="10" fontId="20" numFmtId="164" xfId="0" applyAlignment="1" applyFill="1" applyFont="1" applyNumberFormat="1">
      <alignment horizontal="center" readingOrder="0" vertical="center"/>
    </xf>
    <xf borderId="27" fillId="0" fontId="20" numFmtId="0" xfId="0" applyAlignment="1" applyBorder="1" applyFont="1">
      <alignment horizontal="center" readingOrder="0"/>
    </xf>
    <xf borderId="0" fillId="10" fontId="22" numFmtId="4" xfId="0" applyAlignment="1" applyFont="1" applyNumberFormat="1">
      <alignment horizontal="center" vertical="center"/>
    </xf>
    <xf borderId="1" fillId="0" fontId="20" numFmtId="0" xfId="0" applyAlignment="1" applyBorder="1" applyFont="1">
      <alignment horizontal="center" readingOrder="0"/>
    </xf>
    <xf borderId="0" fillId="0" fontId="23" numFmtId="0" xfId="0" applyFont="1"/>
    <xf borderId="0" fillId="10" fontId="21" numFmtId="4" xfId="0" applyAlignment="1" applyFont="1" applyNumberFormat="1">
      <alignment horizontal="center" vertical="center"/>
    </xf>
    <xf borderId="1" fillId="2" fontId="21" numFmtId="4" xfId="0" applyAlignment="1" applyBorder="1" applyFont="1" applyNumberFormat="1">
      <alignment horizontal="center"/>
    </xf>
    <xf borderId="4" fillId="2" fontId="16" numFmtId="164" xfId="0" applyAlignment="1" applyBorder="1" applyFont="1" applyNumberFormat="1">
      <alignment horizontal="center"/>
    </xf>
    <xf borderId="4" fillId="2" fontId="16" numFmtId="4" xfId="0" applyAlignment="1" applyBorder="1" applyFont="1" applyNumberFormat="1">
      <alignment horizontal="center"/>
    </xf>
    <xf borderId="4" fillId="2" fontId="21" numFmtId="4" xfId="0" applyAlignment="1" applyBorder="1" applyFont="1" applyNumberFormat="1">
      <alignment horizontal="center"/>
    </xf>
    <xf borderId="17" fillId="2" fontId="16" numFmtId="164" xfId="0" applyAlignment="1" applyBorder="1" applyFont="1" applyNumberFormat="1">
      <alignment horizontal="center"/>
    </xf>
    <xf borderId="17" fillId="2" fontId="16" numFmtId="4" xfId="0" applyAlignment="1" applyBorder="1" applyFont="1" applyNumberFormat="1">
      <alignment horizontal="center"/>
    </xf>
    <xf borderId="17" fillId="0" fontId="21" numFmtId="0" xfId="0" applyBorder="1" applyFont="1"/>
    <xf borderId="17" fillId="10" fontId="21" numFmtId="4" xfId="0" applyAlignment="1" applyBorder="1" applyFont="1" applyNumberFormat="1">
      <alignment horizontal="center" vertical="center"/>
    </xf>
    <xf borderId="17" fillId="2" fontId="21" numFmtId="4" xfId="0" applyAlignment="1" applyBorder="1" applyFont="1" applyNumberFormat="1">
      <alignment horizontal="center"/>
    </xf>
    <xf borderId="0" fillId="2" fontId="16" numFmtId="164" xfId="0" applyAlignment="1" applyFont="1" applyNumberFormat="1">
      <alignment horizontal="center"/>
    </xf>
    <xf borderId="0" fillId="2" fontId="16" numFmtId="4" xfId="0" applyAlignment="1" applyFont="1" applyNumberFormat="1">
      <alignment horizontal="center"/>
    </xf>
    <xf borderId="0" fillId="2" fontId="21" numFmtId="4" xfId="0" applyAlignment="1" applyFont="1" applyNumberFormat="1">
      <alignment horizontal="center"/>
    </xf>
    <xf borderId="4" fillId="7" fontId="2" numFmtId="0" xfId="0" applyAlignment="1" applyBorder="1" applyFont="1">
      <alignment horizontal="center" vertical="center"/>
    </xf>
    <xf borderId="0" fillId="7" fontId="12" numFmtId="0" xfId="0" applyAlignment="1" applyFont="1">
      <alignment vertical="center"/>
    </xf>
    <xf borderId="1" fillId="7" fontId="2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4" fillId="7" fontId="2" numFmtId="4" xfId="0" applyAlignment="1" applyBorder="1" applyFont="1" applyNumberFormat="1">
      <alignment horizontal="center" vertical="center"/>
    </xf>
    <xf borderId="4" fillId="7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4" xfId="0" applyAlignment="1" applyBorder="1" applyFont="1" applyNumberFormat="1">
      <alignment horizontal="center" vertical="center"/>
    </xf>
    <xf borderId="4" fillId="2" fontId="2" numFmtId="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4" xfId="0" applyAlignment="1" applyBorder="1" applyFont="1" applyNumberFormat="1">
      <alignment horizontal="center" shrinkToFit="0" wrapText="1"/>
    </xf>
    <xf borderId="1" fillId="2" fontId="2" numFmtId="4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horizontal="center" vertical="center"/>
    </xf>
    <xf borderId="1" fillId="2" fontId="2" numFmtId="167" xfId="0" applyAlignment="1" applyBorder="1" applyFont="1" applyNumberFormat="1">
      <alignment horizontal="center" vertical="center"/>
    </xf>
    <xf borderId="4" fillId="2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 readingOrder="0" shrinkToFit="0" vertical="center" wrapText="1"/>
    </xf>
    <xf borderId="3" fillId="0" fontId="24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1" fillId="0" fontId="2" numFmtId="4" xfId="0" applyAlignment="1" applyBorder="1" applyFont="1" applyNumberFormat="1">
      <alignment horizontal="center" readingOrder="0" vertical="center"/>
    </xf>
    <xf borderId="0" fillId="0" fontId="12" numFmtId="164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4" xfId="0" applyAlignment="1" applyFont="1" applyNumberFormat="1">
      <alignment vertical="center"/>
    </xf>
    <xf borderId="1" fillId="0" fontId="25" numFmtId="0" xfId="0" applyAlignment="1" applyBorder="1" applyFont="1">
      <alignment horizontal="center" readingOrder="0"/>
    </xf>
    <xf borderId="1" fillId="0" fontId="25" numFmtId="4" xfId="0" applyAlignment="1" applyBorder="1" applyFont="1" applyNumberFormat="1">
      <alignment horizontal="center" readingOrder="0"/>
    </xf>
    <xf borderId="1" fillId="0" fontId="25" numFmtId="0" xfId="0" applyAlignment="1" applyBorder="1" applyFont="1">
      <alignment horizontal="center" readingOrder="0" vertical="center"/>
    </xf>
    <xf borderId="0" fillId="0" fontId="25" numFmtId="4" xfId="0" applyAlignment="1" applyFont="1" applyNumberFormat="1">
      <alignment horizontal="center" readingOrder="0" vertical="center"/>
    </xf>
    <xf borderId="0" fillId="0" fontId="25" numFmtId="0" xfId="0" applyFont="1"/>
    <xf borderId="1" fillId="0" fontId="25" numFmtId="0" xfId="0" applyAlignment="1" applyBorder="1" applyFont="1">
      <alignment horizontal="center" readingOrder="0" shrinkToFit="0" wrapText="1"/>
    </xf>
    <xf borderId="1" fillId="0" fontId="25" numFmtId="4" xfId="0" applyAlignment="1" applyBorder="1" applyFont="1" applyNumberFormat="1">
      <alignment horizontal="center"/>
    </xf>
    <xf borderId="1" fillId="0" fontId="25" numFmtId="169" xfId="0" applyAlignment="1" applyBorder="1" applyFont="1" applyNumberFormat="1">
      <alignment horizontal="center" readingOrder="0" shrinkToFit="0" wrapText="1"/>
    </xf>
    <xf borderId="1" fillId="0" fontId="26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 readingOrder="0" vertical="center"/>
    </xf>
    <xf borderId="1" fillId="0" fontId="25" numFmtId="4" xfId="0" applyAlignment="1" applyBorder="1" applyFont="1" applyNumberFormat="1">
      <alignment horizontal="center" readingOrder="0" vertical="center"/>
    </xf>
    <xf borderId="1" fillId="0" fontId="26" numFmtId="0" xfId="0" applyAlignment="1" applyBorder="1" applyFont="1">
      <alignment horizontal="center"/>
    </xf>
    <xf borderId="0" fillId="0" fontId="26" numFmtId="0" xfId="0" applyAlignment="1" applyFont="1">
      <alignment readingOrder="0"/>
    </xf>
    <xf borderId="1" fillId="0" fontId="25" numFmtId="16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readingOrder="0"/>
    </xf>
    <xf borderId="29" fillId="0" fontId="25" numFmtId="0" xfId="0" applyAlignment="1" applyBorder="1" applyFont="1">
      <alignment horizontal="center" readingOrder="0" shrinkToFit="0" wrapText="1"/>
    </xf>
    <xf borderId="0" fillId="0" fontId="25" numFmtId="169" xfId="0" applyAlignment="1" applyFont="1" applyNumberFormat="1">
      <alignment horizontal="center" readingOrder="0"/>
    </xf>
    <xf borderId="29" fillId="0" fontId="25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center" readingOrder="0" vertical="center"/>
    </xf>
    <xf borderId="1" fillId="0" fontId="25" numFmtId="169" xfId="0" applyAlignment="1" applyBorder="1" applyFont="1" applyNumberFormat="1">
      <alignment horizontal="center"/>
    </xf>
    <xf borderId="1" fillId="0" fontId="26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wrapText="1"/>
    </xf>
    <xf borderId="1" fillId="0" fontId="25" numFmtId="4" xfId="0" applyAlignment="1" applyBorder="1" applyFont="1" applyNumberFormat="1">
      <alignment horizontal="center" readingOrder="0" shrinkToFit="0" wrapText="1"/>
    </xf>
    <xf borderId="1" fillId="0" fontId="26" numFmtId="0" xfId="0" applyAlignment="1" applyBorder="1" applyFont="1">
      <alignment horizontal="center" readingOrder="0"/>
    </xf>
    <xf borderId="30" fillId="11" fontId="27" numFmtId="0" xfId="0" applyAlignment="1" applyBorder="1" applyFill="1" applyFont="1">
      <alignment horizontal="center" vertical="bottom"/>
    </xf>
    <xf borderId="30" fillId="12" fontId="28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9" fontId="12" numFmtId="0" xfId="0" applyAlignment="1" applyBorder="1" applyFont="1">
      <alignment horizontal="center" vertical="bottom"/>
    </xf>
    <xf borderId="1" fillId="13" fontId="12" numFmtId="0" xfId="0" applyAlignment="1" applyBorder="1" applyFill="1" applyFont="1">
      <alignment horizontal="center" vertical="bottom"/>
    </xf>
    <xf borderId="1" fillId="14" fontId="12" numFmtId="0" xfId="0" applyAlignment="1" applyBorder="1" applyFill="1" applyFont="1">
      <alignment horizontal="center" vertical="bottom"/>
    </xf>
    <xf borderId="1" fillId="0" fontId="12" numFmtId="4" xfId="0" applyAlignment="1" applyBorder="1" applyFont="1" applyNumberFormat="1">
      <alignment horizontal="center" vertical="bottom"/>
    </xf>
    <xf borderId="1" fillId="0" fontId="29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1" fillId="15" fontId="12" numFmtId="0" xfId="0" applyAlignment="1" applyBorder="1" applyFill="1" applyFont="1">
      <alignment horizontal="center" vertical="bottom"/>
    </xf>
    <xf borderId="1" fillId="2" fontId="12" numFmtId="0" xfId="0" applyAlignment="1" applyBorder="1" applyFont="1">
      <alignment horizontal="center" vertical="bottom"/>
    </xf>
    <xf borderId="1" fillId="14" fontId="12" numFmtId="4" xfId="0" applyAlignment="1" applyBorder="1" applyFont="1" applyNumberFormat="1">
      <alignment horizontal="center" vertical="bottom"/>
    </xf>
    <xf borderId="1" fillId="0" fontId="12" numFmtId="9" xfId="0" applyAlignment="1" applyBorder="1" applyFont="1" applyNumberFormat="1">
      <alignment horizontal="center" vertical="bottom"/>
    </xf>
    <xf borderId="1" fillId="2" fontId="30" numFmtId="4" xfId="0" applyAlignment="1" applyBorder="1" applyFont="1" applyNumberFormat="1">
      <alignment horizontal="center" vertical="bottom"/>
    </xf>
    <xf borderId="1" fillId="0" fontId="12" numFmtId="169" xfId="0" applyAlignment="1" applyBorder="1" applyFont="1" applyNumberFormat="1">
      <alignment horizontal="center" vertical="bottom"/>
    </xf>
    <xf borderId="1" fillId="0" fontId="12" numFmtId="169" xfId="0" applyAlignment="1" applyBorder="1" applyFont="1" applyNumberFormat="1">
      <alignment horizontal="right" vertical="bottom"/>
    </xf>
    <xf borderId="0" fillId="0" fontId="30" numFmtId="169" xfId="0" applyAlignment="1" applyFont="1" applyNumberFormat="1">
      <alignment horizontal="right" vertical="bottom"/>
    </xf>
    <xf borderId="1" fillId="0" fontId="12" numFmtId="0" xfId="0" applyAlignment="1" applyBorder="1" applyFont="1">
      <alignment horizontal="center" readingOrder="0" vertical="bottom"/>
    </xf>
    <xf borderId="1" fillId="9" fontId="12" numFmtId="0" xfId="0" applyAlignment="1" applyBorder="1" applyFont="1">
      <alignment horizontal="center" readingOrder="0" vertical="bottom"/>
    </xf>
    <xf borderId="1" fillId="13" fontId="12" numFmtId="0" xfId="0" applyAlignment="1" applyBorder="1" applyFont="1">
      <alignment horizontal="center" readingOrder="0" vertical="bottom"/>
    </xf>
    <xf borderId="1" fillId="15" fontId="12" numFmtId="164" xfId="0" applyAlignment="1" applyBorder="1" applyFont="1" applyNumberFormat="1">
      <alignment horizontal="center" vertical="bottom"/>
    </xf>
    <xf borderId="1" fillId="14" fontId="12" numFmtId="4" xfId="0" applyAlignment="1" applyBorder="1" applyFont="1" applyNumberFormat="1">
      <alignment vertical="bottom"/>
    </xf>
    <xf borderId="0" fillId="0" fontId="12" numFmtId="0" xfId="0" applyAlignment="1" applyFont="1">
      <alignment horizontal="center" vertical="bottom"/>
    </xf>
    <xf borderId="1" fillId="16" fontId="12" numFmtId="169" xfId="0" applyAlignment="1" applyBorder="1" applyFill="1" applyFont="1" applyNumberFormat="1">
      <alignment horizontal="center" vertical="bottom"/>
    </xf>
    <xf borderId="0" fillId="0" fontId="30" numFmtId="169" xfId="0" applyAlignment="1" applyFont="1" applyNumberFormat="1">
      <alignment vertical="bottom"/>
    </xf>
    <xf borderId="1" fillId="14" fontId="12" numFmtId="0" xfId="0" applyAlignment="1" applyBorder="1" applyFont="1">
      <alignment horizontal="center" readingOrder="0" vertical="bottom"/>
    </xf>
    <xf borderId="1" fillId="15" fontId="12" numFmtId="0" xfId="0" applyAlignment="1" applyBorder="1" applyFont="1">
      <alignment horizontal="center" readingOrder="0" vertical="bottom"/>
    </xf>
    <xf borderId="1" fillId="0" fontId="12" numFmtId="169" xfId="0" applyAlignment="1" applyBorder="1" applyFont="1" applyNumberFormat="1">
      <alignment readingOrder="0" vertical="bottom"/>
    </xf>
    <xf borderId="1" fillId="0" fontId="31" numFmtId="169" xfId="0" applyAlignment="1" applyBorder="1" applyFont="1" applyNumberFormat="1">
      <alignment horizontal="center" readingOrder="0"/>
    </xf>
    <xf borderId="1" fillId="14" fontId="12" numFmtId="4" xfId="0" applyAlignment="1" applyBorder="1" applyFont="1" applyNumberFormat="1">
      <alignment horizontal="center" readingOrder="0" vertical="bottom"/>
    </xf>
    <xf borderId="0" fillId="0" fontId="32" numFmtId="0" xfId="0" applyAlignment="1" applyFont="1">
      <alignment horizontal="center" readingOrder="0" vertical="center"/>
    </xf>
    <xf borderId="5" fillId="17" fontId="2" numFmtId="0" xfId="0" applyAlignment="1" applyBorder="1" applyFill="1" applyFont="1">
      <alignment horizontal="center" vertical="center"/>
    </xf>
    <xf borderId="8" fillId="17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32" fillId="2" fontId="2" numFmtId="164" xfId="0" applyAlignment="1" applyBorder="1" applyFont="1" applyNumberFormat="1">
      <alignment horizontal="center" vertical="center"/>
    </xf>
    <xf borderId="21" fillId="2" fontId="2" numFmtId="0" xfId="0" applyAlignment="1" applyBorder="1" applyFont="1">
      <alignment horizontal="center" shrinkToFit="0" vertical="center" wrapText="1"/>
    </xf>
    <xf borderId="20" fillId="2" fontId="2" numFmtId="164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2" fontId="2" numFmtId="164" xfId="0" applyAlignment="1" applyBorder="1" applyFont="1" applyNumberFormat="1">
      <alignment horizontal="center" vertical="center"/>
    </xf>
    <xf borderId="0" fillId="0" fontId="12" numFmtId="169" xfId="0" applyAlignment="1" applyFont="1" applyNumberFormat="1">
      <alignment vertical="center"/>
    </xf>
    <xf borderId="0" fillId="0" fontId="4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16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4" fillId="0" fontId="2" numFmtId="4" xfId="0" applyAlignment="1" applyBorder="1" applyFont="1" applyNumberFormat="1">
      <alignment horizontal="center" readingOrder="0" vertical="center"/>
    </xf>
    <xf borderId="4" fillId="0" fontId="2" numFmtId="169" xfId="0" applyAlignment="1" applyBorder="1" applyFont="1" applyNumberFormat="1">
      <alignment horizontal="center" vertical="center"/>
    </xf>
    <xf borderId="0" fillId="0" fontId="33" numFmtId="164" xfId="0" applyAlignment="1" applyFont="1" applyNumberFormat="1">
      <alignment horizontal="center" vertical="center"/>
    </xf>
    <xf borderId="0" fillId="2" fontId="12" numFmtId="0" xfId="0" applyAlignment="1" applyFont="1">
      <alignment vertical="center"/>
    </xf>
    <xf borderId="0" fillId="2" fontId="12" numFmtId="164" xfId="0" applyAlignment="1" applyFont="1" applyNumberFormat="1">
      <alignment vertical="center"/>
    </xf>
    <xf borderId="0" fillId="2" fontId="12" numFmtId="4" xfId="0" applyAlignment="1" applyFont="1" applyNumberFormat="1">
      <alignment vertical="center"/>
    </xf>
    <xf borderId="0" fillId="0" fontId="1" numFmtId="4" xfId="0" applyAlignment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170" xfId="0" applyAlignment="1" applyBorder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readingOrder="0" vertical="center"/>
    </xf>
    <xf borderId="33" fillId="0" fontId="2" numFmtId="0" xfId="0" applyAlignment="1" applyBorder="1" applyFont="1">
      <alignment horizontal="center" vertical="center"/>
    </xf>
    <xf borderId="33" fillId="0" fontId="33" numFmtId="169" xfId="0" applyAlignment="1" applyBorder="1" applyFont="1" applyNumberFormat="1">
      <alignment horizontal="center" vertical="center"/>
    </xf>
    <xf borderId="33" fillId="0" fontId="12" numFmtId="0" xfId="0" applyAlignment="1" applyBorder="1" applyFont="1">
      <alignment vertical="center"/>
    </xf>
    <xf borderId="0" fillId="0" fontId="2" numFmtId="164" xfId="0" applyAlignment="1" applyFont="1" applyNumberFormat="1">
      <alignment vertical="center"/>
    </xf>
    <xf borderId="33" fillId="0" fontId="2" numFmtId="0" xfId="0" applyAlignment="1" applyBorder="1" applyFont="1">
      <alignment horizontal="center" vertical="center"/>
    </xf>
    <xf borderId="33" fillId="0" fontId="12" numFmtId="169" xfId="0" applyAlignment="1" applyBorder="1" applyFont="1" applyNumberFormat="1">
      <alignment vertical="center"/>
    </xf>
    <xf borderId="33" fillId="0" fontId="2" numFmtId="164" xfId="0" applyAlignment="1" applyBorder="1" applyFont="1" applyNumberFormat="1">
      <alignment horizontal="center" vertical="center"/>
    </xf>
    <xf borderId="33" fillId="0" fontId="34" numFmtId="164" xfId="0" applyAlignment="1" applyBorder="1" applyFont="1" applyNumberFormat="1">
      <alignment horizontal="center" vertical="center"/>
    </xf>
    <xf borderId="0" fillId="18" fontId="2" numFmtId="164" xfId="0" applyAlignment="1" applyFill="1" applyFont="1" applyNumberFormat="1">
      <alignment horizontal="center" vertical="center"/>
    </xf>
    <xf borderId="0" fillId="0" fontId="35" numFmtId="0" xfId="0" applyAlignment="1" applyFont="1">
      <alignment vertical="bottom"/>
    </xf>
    <xf borderId="0" fillId="0" fontId="35" numFmtId="0" xfId="0" applyAlignment="1" applyFont="1">
      <alignment readingOrder="0" vertical="bottom"/>
    </xf>
    <xf borderId="0" fillId="0" fontId="12" numFmtId="169" xfId="0" applyAlignment="1" applyFont="1" applyNumberFormat="1">
      <alignment vertical="bottom"/>
    </xf>
    <xf borderId="0" fillId="0" fontId="12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1" fillId="2" fontId="2" numFmtId="164" xfId="0" applyAlignment="1" applyBorder="1" applyFont="1" applyNumberFormat="1">
      <alignment horizontal="center" vertical="bottom"/>
    </xf>
    <xf borderId="1" fillId="0" fontId="2" numFmtId="4" xfId="0" applyAlignment="1" applyBorder="1" applyFont="1" applyNumberFormat="1">
      <alignment horizontal="center" readingOrder="0" vertical="bottom"/>
    </xf>
    <xf borderId="1" fillId="2" fontId="2" numFmtId="164" xfId="0" applyAlignment="1" applyBorder="1" applyFont="1" applyNumberFormat="1">
      <alignment horizontal="center" readingOrder="0" vertical="bottom"/>
    </xf>
    <xf borderId="0" fillId="0" fontId="12" numFmtId="4" xfId="0" applyAlignment="1" applyFont="1" applyNumberFormat="1">
      <alignment vertical="bottom"/>
    </xf>
    <xf borderId="1" fillId="0" fontId="36" numFmtId="0" xfId="0" applyAlignment="1" applyBorder="1" applyFont="1">
      <alignment vertical="bottom"/>
    </xf>
    <xf borderId="1" fillId="0" fontId="37" numFmtId="0" xfId="0" applyAlignment="1" applyBorder="1" applyFont="1">
      <alignment vertical="bottom"/>
    </xf>
    <xf borderId="1" fillId="19" fontId="1" numFmtId="169" xfId="0" applyAlignment="1" applyBorder="1" applyFill="1" applyFont="1" applyNumberFormat="1">
      <alignment horizontal="center" vertical="bottom"/>
    </xf>
    <xf borderId="0" fillId="0" fontId="12" numFmtId="16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left" readingOrder="0" vertical="bottom"/>
    </xf>
    <xf borderId="0" fillId="0" fontId="2" numFmtId="0" xfId="0" applyAlignment="1" applyFont="1">
      <alignment horizontal="center" vertical="bottom"/>
    </xf>
    <xf borderId="1" fillId="0" fontId="38" numFmtId="164" xfId="0" applyAlignment="1" applyBorder="1" applyFont="1" applyNumberFormat="1">
      <alignment vertical="bottom"/>
    </xf>
    <xf borderId="1" fillId="0" fontId="39" numFmtId="164" xfId="0" applyAlignment="1" applyBorder="1" applyFont="1" applyNumberFormat="1">
      <alignment horizontal="center" readingOrder="0" vertical="bottom"/>
    </xf>
    <xf borderId="1" fillId="0" fontId="39" numFmtId="164" xfId="0" applyAlignment="1" applyBorder="1" applyFont="1" applyNumberFormat="1">
      <alignment horizontal="center" vertical="bottom"/>
    </xf>
    <xf borderId="1" fillId="0" fontId="12" numFmtId="164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2" fontId="36" numFmtId="169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LIST HPP-style">
      <tableStyleElement dxfId="1" type="headerRow"/>
      <tableStyleElement dxfId="2" type="firstRowStripe"/>
      <tableStyleElement dxfId="3" type="secondRowStripe"/>
    </tableStyle>
    <tableStyle count="3" pivot="0" name="Rekap Data Penjualan-style">
      <tableStyleElement dxfId="1" type="headerRow"/>
      <tableStyleElement dxfId="2" type="firstRowStripe"/>
      <tableStyleElement dxfId="3" type="secondRowStripe"/>
    </tableStyle>
    <tableStyle count="3" pivot="0" name="Rekap Data Penjualan-style 2">
      <tableStyleElement dxfId="1" type="headerRow"/>
      <tableStyleElement dxfId="2" type="firstRowStripe"/>
      <tableStyleElement dxfId="3" type="secondRowStripe"/>
    </tableStyle>
    <tableStyle count="3" pivot="0" name="Rekap Stock Keluar Invent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3" Type="http://schemas.openxmlformats.org/officeDocument/2006/relationships/pivotCacheDefinition" Target="pivotCache/pivotCacheDefinition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pivotCacheDefinition" Target="pivotCache/pivotCacheDefinition33.xml"/><Relationship Id="rId82" Type="http://schemas.openxmlformats.org/officeDocument/2006/relationships/pivotCacheDefinition" Target="pivotCache/pivotCacheDefinition35.xml"/><Relationship Id="rId81" Type="http://schemas.openxmlformats.org/officeDocument/2006/relationships/pivotCacheDefinition" Target="pivotCache/pivotCacheDefinition3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pivotCacheDefinition" Target="pivotCache/pivotCacheDefinition1.xml"/><Relationship Id="rId47" Type="http://schemas.openxmlformats.org/officeDocument/2006/relationships/worksheet" Target="worksheets/sheet43.xml"/><Relationship Id="rId4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pivotCacheDefinition" Target="pivotCache/pivotCacheDefinition26.xml"/><Relationship Id="rId72" Type="http://schemas.openxmlformats.org/officeDocument/2006/relationships/pivotCacheDefinition" Target="pivotCache/pivotCacheDefinition25.xml"/><Relationship Id="rId31" Type="http://schemas.openxmlformats.org/officeDocument/2006/relationships/worksheet" Target="worksheets/sheet27.xml"/><Relationship Id="rId75" Type="http://schemas.openxmlformats.org/officeDocument/2006/relationships/pivotCacheDefinition" Target="pivotCache/pivotCacheDefinition28.xml"/><Relationship Id="rId30" Type="http://schemas.openxmlformats.org/officeDocument/2006/relationships/worksheet" Target="worksheets/sheet26.xml"/><Relationship Id="rId74" Type="http://schemas.openxmlformats.org/officeDocument/2006/relationships/pivotCacheDefinition" Target="pivotCache/pivotCacheDefinition27.xml"/><Relationship Id="rId33" Type="http://schemas.openxmlformats.org/officeDocument/2006/relationships/worksheet" Target="worksheets/sheet29.xml"/><Relationship Id="rId77" Type="http://schemas.openxmlformats.org/officeDocument/2006/relationships/pivotCacheDefinition" Target="pivotCache/pivotCacheDefinition30.xml"/><Relationship Id="rId32" Type="http://schemas.openxmlformats.org/officeDocument/2006/relationships/worksheet" Target="worksheets/sheet28.xml"/><Relationship Id="rId76" Type="http://schemas.openxmlformats.org/officeDocument/2006/relationships/pivotCacheDefinition" Target="pivotCache/pivotCacheDefinition29.xml"/><Relationship Id="rId35" Type="http://schemas.openxmlformats.org/officeDocument/2006/relationships/worksheet" Target="worksheets/sheet31.xml"/><Relationship Id="rId79" Type="http://schemas.openxmlformats.org/officeDocument/2006/relationships/pivotCacheDefinition" Target="pivotCache/pivotCacheDefinition32.xml"/><Relationship Id="rId34" Type="http://schemas.openxmlformats.org/officeDocument/2006/relationships/worksheet" Target="worksheets/sheet30.xml"/><Relationship Id="rId78" Type="http://schemas.openxmlformats.org/officeDocument/2006/relationships/pivotCacheDefinition" Target="pivotCache/pivotCacheDefinition31.xml"/><Relationship Id="rId71" Type="http://schemas.openxmlformats.org/officeDocument/2006/relationships/pivotCacheDefinition" Target="pivotCache/pivotCacheDefinition24.xml"/><Relationship Id="rId70" Type="http://schemas.openxmlformats.org/officeDocument/2006/relationships/pivotCacheDefinition" Target="pivotCache/pivotCacheDefinition23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pivotCacheDefinition" Target="pivotCache/pivotCacheDefinition15.xml"/><Relationship Id="rId61" Type="http://schemas.openxmlformats.org/officeDocument/2006/relationships/pivotCacheDefinition" Target="pivotCache/pivotCacheDefinition14.xml"/><Relationship Id="rId20" Type="http://schemas.openxmlformats.org/officeDocument/2006/relationships/worksheet" Target="worksheets/sheet16.xml"/><Relationship Id="rId64" Type="http://schemas.openxmlformats.org/officeDocument/2006/relationships/pivotCacheDefinition" Target="pivotCache/pivotCacheDefinition17.xml"/><Relationship Id="rId63" Type="http://schemas.openxmlformats.org/officeDocument/2006/relationships/pivotCacheDefinition" Target="pivotCache/pivotCacheDefinition16.xml"/><Relationship Id="rId22" Type="http://schemas.openxmlformats.org/officeDocument/2006/relationships/worksheet" Target="worksheets/sheet18.xml"/><Relationship Id="rId66" Type="http://schemas.openxmlformats.org/officeDocument/2006/relationships/pivotCacheDefinition" Target="pivotCache/pivotCacheDefinition19.xml"/><Relationship Id="rId21" Type="http://schemas.openxmlformats.org/officeDocument/2006/relationships/worksheet" Target="worksheets/sheet17.xml"/><Relationship Id="rId65" Type="http://schemas.openxmlformats.org/officeDocument/2006/relationships/pivotCacheDefinition" Target="pivotCache/pivotCacheDefinition18.xml"/><Relationship Id="rId24" Type="http://schemas.openxmlformats.org/officeDocument/2006/relationships/worksheet" Target="worksheets/sheet20.xml"/><Relationship Id="rId68" Type="http://schemas.openxmlformats.org/officeDocument/2006/relationships/pivotCacheDefinition" Target="pivotCache/pivotCacheDefinition21.xml"/><Relationship Id="rId23" Type="http://schemas.openxmlformats.org/officeDocument/2006/relationships/worksheet" Target="worksheets/sheet19.xml"/><Relationship Id="rId67" Type="http://schemas.openxmlformats.org/officeDocument/2006/relationships/pivotCacheDefinition" Target="pivotCache/pivotCacheDefinition20.xml"/><Relationship Id="rId60" Type="http://schemas.openxmlformats.org/officeDocument/2006/relationships/pivotCacheDefinition" Target="pivotCache/pivotCacheDefinition13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pivotCacheDefinition" Target="pivotCache/pivotCacheDefinition22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pivotCacheDefinition" Target="pivotCache/pivotCacheDefinition4.xml"/><Relationship Id="rId50" Type="http://schemas.openxmlformats.org/officeDocument/2006/relationships/pivotCacheDefinition" Target="pivotCache/pivotCacheDefinition3.xml"/><Relationship Id="rId53" Type="http://schemas.openxmlformats.org/officeDocument/2006/relationships/pivotCacheDefinition" Target="pivotCache/pivotCacheDefinition6.xml"/><Relationship Id="rId52" Type="http://schemas.openxmlformats.org/officeDocument/2006/relationships/pivotCacheDefinition" Target="pivotCache/pivotCacheDefinition5.xml"/><Relationship Id="rId11" Type="http://schemas.openxmlformats.org/officeDocument/2006/relationships/worksheet" Target="worksheets/sheet7.xml"/><Relationship Id="rId55" Type="http://schemas.openxmlformats.org/officeDocument/2006/relationships/pivotCacheDefinition" Target="pivotCache/pivotCacheDefinition8.xml"/><Relationship Id="rId10" Type="http://schemas.openxmlformats.org/officeDocument/2006/relationships/worksheet" Target="worksheets/sheet6.xml"/><Relationship Id="rId54" Type="http://schemas.openxmlformats.org/officeDocument/2006/relationships/pivotCacheDefinition" Target="pivotCache/pivotCacheDefinition7.xml"/><Relationship Id="rId13" Type="http://schemas.openxmlformats.org/officeDocument/2006/relationships/worksheet" Target="worksheets/sheet9.xml"/><Relationship Id="rId57" Type="http://schemas.openxmlformats.org/officeDocument/2006/relationships/pivotCacheDefinition" Target="pivotCache/pivotCacheDefinition10.xml"/><Relationship Id="rId12" Type="http://schemas.openxmlformats.org/officeDocument/2006/relationships/worksheet" Target="worksheets/sheet8.xml"/><Relationship Id="rId56" Type="http://schemas.openxmlformats.org/officeDocument/2006/relationships/pivotCacheDefinition" Target="pivotCache/pivotCacheDefinition9.xml"/><Relationship Id="rId15" Type="http://schemas.openxmlformats.org/officeDocument/2006/relationships/worksheet" Target="worksheets/sheet11.xml"/><Relationship Id="rId59" Type="http://schemas.openxmlformats.org/officeDocument/2006/relationships/pivotCacheDefinition" Target="pivotCache/pivotCacheDefinition12.xml"/><Relationship Id="rId14" Type="http://schemas.openxmlformats.org/officeDocument/2006/relationships/worksheet" Target="worksheets/sheet10.xml"/><Relationship Id="rId58" Type="http://schemas.openxmlformats.org/officeDocument/2006/relationships/pivotCacheDefinition" Target="pivotCache/pivotCacheDefinition11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MASTERFILE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0">
      <sharedItems containsString="0" containsBlank="1"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</sharedItems>
    </cacheField>
    <cacheField name="Total" numFmtId="164">
      <sharedItems containsSemiMixedTypes="0" containsString="0" containsNumber="1" containsInteger="1">
        <n v="0.0"/>
      </sharedItems>
    </cacheField>
    <cacheField name="Total HPP" numFmtId="164">
      <sharedItems containsString="0" containsBlank="1" containsNumber="1" containsInteger="1">
        <n v="0.0"/>
        <m/>
      </sharedItems>
    </cacheField>
    <cacheField name="Uang Masuk" numFmtId="0">
      <sharedItems containsString="0" containsBlank="1">
        <m/>
      </sharedItems>
    </cacheField>
    <cacheField name="Margin" numFmtId="10">
      <sharedItems containsBlank="1">
        <e v="#DIV/0!"/>
        <m/>
      </sharedItems>
    </cacheField>
    <cacheField name="Gross Profit" numFmtId="16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25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1.0"/>
        <n v="0.0"/>
        <n v="3.0"/>
        <n v="7.0"/>
        <n v="5.0"/>
        <n v="19.0"/>
        <n v="2.0"/>
        <n v="28.0"/>
        <n v="29.0"/>
        <n v="13.0"/>
        <n v="53.0"/>
        <n v="8.0"/>
        <n v="4.0"/>
        <n v="9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1.0"/>
        <n v="0.0"/>
        <n v="3.0"/>
        <n v="7.0"/>
        <n v="5.0"/>
        <n v="19.0"/>
        <n v="2.0"/>
        <n v="28.0"/>
        <n v="29.0"/>
        <n v="13.0"/>
        <n v="53.0"/>
        <n v="8.0"/>
        <n v="4.0"/>
        <n v="9.0"/>
      </sharedItems>
    </cacheField>
    <cacheField name="Total" numFmtId="164">
      <sharedItems containsSemiMixedTypes="0" containsString="0" containsNumber="1">
        <n v="8805.63"/>
        <n v="0.0"/>
        <n v="11244.630000000001"/>
        <n v="10140.41"/>
        <n v="58350.0"/>
        <n v="177653.04"/>
        <n v="19980.32"/>
        <n v="208465.6"/>
        <n v="65101.119999999995"/>
        <n v="12187.0"/>
        <n v="8625.0"/>
        <n v="2113.16"/>
        <n v="6580.0"/>
        <n v="8584.0"/>
        <n v="3243.5"/>
        <n v="11024.0"/>
        <n v="13871.0"/>
        <n v="23340.0"/>
        <n v="74801.28"/>
        <n v="14890.4"/>
        <n v="14155.0"/>
        <n v="1741.0"/>
        <n v="705.0"/>
        <n v="1184.0"/>
        <n v="998.0"/>
        <n v="1872.0"/>
        <n v="2897.26"/>
        <n v="470.0"/>
        <n v="592.0"/>
        <n v="499.0"/>
        <n v="416.0"/>
      </sharedItems>
    </cacheField>
    <cacheField name="Total HPP" numFmtId="164">
      <sharedItems containsString="0" containsBlank="1" containsNumber="1">
        <n v="625968.41"/>
        <m/>
        <n v="153667.0"/>
        <n v="19764.66"/>
        <n v="0.0"/>
      </sharedItems>
    </cacheField>
    <cacheField name="Uang Masuk" numFmtId="164">
      <sharedItems containsString="0" containsBlank="1" containsNumber="1" containsInteger="1">
        <n v="1014574.0"/>
        <m/>
        <n v="323442.0"/>
        <n v="19439.0"/>
      </sharedItems>
    </cacheField>
    <cacheField name="Margin">
      <sharedItems containsBlank="1" containsMixedTypes="1" containsNumber="1">
        <n v="0.38302340686830133"/>
        <m/>
        <n v="0.5249009095912095"/>
        <n v="-0.016752919388857444"/>
        <e v="#DIV/0!"/>
      </sharedItems>
    </cacheField>
    <cacheField name="Gross Profit" numFmtId="164">
      <sharedItems containsString="0" containsBlank="1" containsNumber="1">
        <n v="388605.58999999997"/>
        <m/>
        <n v="169775.0"/>
        <n v="-325.65999999999985"/>
        <n v="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24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2.0"/>
        <n v="0.0"/>
        <n v="6.0"/>
        <n v="4.0"/>
        <n v="20.0"/>
        <n v="1.0"/>
        <n v="3.0"/>
        <n v="14.0"/>
        <n v="18.0"/>
        <n v="21.0"/>
        <n v="32.0"/>
        <n v="8.0"/>
        <n v="5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2.0"/>
        <n v="0.0"/>
        <n v="6.0"/>
        <n v="4.0"/>
        <n v="20.0"/>
        <n v="1.0"/>
        <n v="3.0"/>
        <n v="14.0"/>
        <n v="18.0"/>
        <n v="21.0"/>
        <n v="32.0"/>
        <n v="8.0"/>
        <n v="5.0"/>
      </sharedItems>
    </cacheField>
    <cacheField name="Total" numFmtId="164">
      <sharedItems containsSemiMixedTypes="0" containsString="0" containsNumber="1">
        <n v="17611.26"/>
        <n v="0.0"/>
        <n v="7496.42"/>
        <n v="2897.26"/>
        <n v="23340.0"/>
        <n v="56100.96"/>
        <n v="39960.64"/>
        <n v="148904.0"/>
        <n v="14155.0"/>
        <n v="27900.48"/>
        <n v="3290.0"/>
        <n v="5328.0"/>
        <n v="5239.5"/>
        <n v="6656.0"/>
        <n v="2064.84"/>
        <n v="3748.21"/>
        <n v="1448.63"/>
        <n v="19980.32"/>
        <n v="29780.8"/>
        <n v="18600.32"/>
        <n v="8625.0"/>
        <n v="940.0"/>
        <n v="2368.0"/>
        <n v="998.0"/>
        <n v="1248.0"/>
        <n v="9350.16"/>
        <n v="9990.16"/>
        <n v="748.5"/>
        <n v="1040.0"/>
      </sharedItems>
    </cacheField>
    <cacheField name="Total HPP" numFmtId="164">
      <sharedItems containsString="0" containsBlank="1" containsNumber="1">
        <n v="360944.36"/>
        <m/>
        <n v="87737.28"/>
        <n v="68089.19"/>
        <n v="0.0"/>
      </sharedItems>
    </cacheField>
    <cacheField name="Uang Masuk" numFmtId="164">
      <sharedItems containsString="0" containsBlank="1" containsNumber="1" containsInteger="1">
        <n v="561388.0"/>
        <m/>
        <n v="169646.0"/>
        <n v="114232.0"/>
      </sharedItems>
    </cacheField>
    <cacheField name="Margin">
      <sharedItems containsBlank="1" containsMixedTypes="1" containsNumber="1">
        <n v="0.3570500972589368"/>
        <m/>
        <n v="0.4828214045718732"/>
        <n v="0.40393943903634705"/>
        <e v="#DIV/0!"/>
      </sharedItems>
    </cacheField>
    <cacheField name="Gross Profit" numFmtId="164">
      <sharedItems containsString="0" containsBlank="1" containsNumber="1">
        <n v="200443.64"/>
        <m/>
        <n v="81908.72"/>
        <n v="46142.81"/>
        <n v="0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23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1.0"/>
        <n v="0.0"/>
        <n v="4.0"/>
        <n v="10.0"/>
        <n v="37.0"/>
        <n v="2.0"/>
        <n v="3.0"/>
        <n v="12.0"/>
        <n v="28.0"/>
        <n v="33.0"/>
        <n v="50.0"/>
        <n v="5.0"/>
        <n v="9.0"/>
        <n v="17.0"/>
        <n v="6.0"/>
        <m/>
      </sharedItems>
    </cacheField>
    <cacheField name="Jumlah QR" numFmtId="0">
      <sharedItems containsString="0" containsBlank="1" containsNumber="1" containsInteger="1">
        <m/>
        <n v="0.0"/>
        <n v="1.0"/>
      </sharedItems>
    </cacheField>
    <cacheField name="Total Jumlah" numFmtId="1">
      <sharedItems containsSemiMixedTypes="0" containsString="0" containsNumber="1" containsInteger="1">
        <n v="1.0"/>
        <n v="0.0"/>
        <n v="4.0"/>
        <n v="10.0"/>
        <n v="37.0"/>
        <n v="2.0"/>
        <n v="3.0"/>
        <n v="12.0"/>
        <n v="28.0"/>
        <n v="33.0"/>
        <n v="50.0"/>
        <n v="5.0"/>
        <n v="9.0"/>
        <n v="17.0"/>
        <n v="6.0"/>
      </sharedItems>
    </cacheField>
    <cacheField name="Total" numFmtId="164">
      <sharedItems containsSemiMixedTypes="0" containsString="0" containsNumber="1">
        <n v="8805.63"/>
        <n v="0.0"/>
        <n v="3748.21"/>
        <n v="5794.52"/>
        <n v="116700.0"/>
        <n v="37400.64"/>
        <n v="39960.64"/>
        <n v="275472.39999999997"/>
        <n v="17260.0"/>
        <n v="28310.0"/>
        <n v="27900.48"/>
        <n v="6964.0"/>
        <n v="2820.0"/>
        <n v="8288.0"/>
        <n v="8233.5"/>
        <n v="10400.0"/>
        <n v="10324.2"/>
        <n v="1448.63"/>
        <n v="18700.32"/>
        <n v="29970.48"/>
        <n v="67006.8"/>
        <n v="11550.16"/>
        <n v="18600.32"/>
        <n v="5223.0"/>
        <n v="2200.0"/>
        <n v="1175.0"/>
        <n v="888.0"/>
        <n v="2245.5"/>
        <n v="3536.0"/>
        <n v="2064.84"/>
        <n v="2897.26"/>
        <n v="11670.0"/>
        <n v="19980.32"/>
        <n v="14890.4"/>
        <n v="2875.0"/>
        <n v="470.0"/>
        <n v="748.5"/>
        <n v="1248.0"/>
        <n v="4129.68"/>
      </sharedItems>
    </cacheField>
    <cacheField name="Total HPP" numFmtId="164">
      <sharedItems containsString="0" containsBlank="1" containsNumber="1">
        <n v="608382.22"/>
        <m/>
        <n v="164609.05000000002"/>
        <n v="77609.48000000001"/>
        <n v="0.0"/>
      </sharedItems>
    </cacheField>
    <cacheField name="Uang Masuk" numFmtId="164">
      <sharedItems containsString="0" containsBlank="1" containsNumber="1" containsInteger="1">
        <n v="977502.0"/>
        <m/>
        <n v="236017.0"/>
        <n v="162602.0"/>
      </sharedItems>
    </cacheField>
    <cacheField name="Margin">
      <sharedItems containsBlank="1" containsMixedTypes="1" containsNumber="1">
        <n v="0.37761537060793743"/>
        <m/>
        <n v="0.3025542651588656"/>
        <n v="0.5227027957835696"/>
        <e v="#DIV/0!"/>
      </sharedItems>
    </cacheField>
    <cacheField name="Gross Profit" numFmtId="164">
      <sharedItems containsString="0" containsBlank="1" containsNumber="1">
        <n v="369119.78"/>
        <m/>
        <n v="71407.94999999998"/>
        <n v="84992.51999999999"/>
        <n v="0.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22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1.0"/>
        <n v="0.0"/>
        <n v="5.0"/>
        <n v="6.0"/>
        <n v="9.0"/>
        <n v="17.0"/>
        <n v="3.0"/>
        <n v="22.0"/>
        <n v="7.0"/>
        <n v="15.0"/>
        <n v="25.0"/>
        <n v="56.0"/>
        <n v="2.0"/>
        <n v="18.0"/>
        <n v="4.0"/>
        <n v="21.0"/>
        <n v="30.0"/>
        <n v="32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1.0"/>
        <n v="0.0"/>
        <n v="5.0"/>
        <n v="6.0"/>
        <n v="9.0"/>
        <n v="17.0"/>
        <n v="3.0"/>
        <n v="22.0"/>
        <n v="7.0"/>
        <n v="15.0"/>
        <n v="25.0"/>
        <n v="56.0"/>
        <n v="2.0"/>
        <n v="18.0"/>
        <n v="4.0"/>
        <n v="21.0"/>
        <n v="30.0"/>
        <n v="32.0"/>
      </sharedItems>
    </cacheField>
    <cacheField name="Total" numFmtId="164">
      <sharedItems containsSemiMixedTypes="0" containsString="0" containsNumber="1">
        <n v="8805.63"/>
        <n v="0.0"/>
        <n v="18741.05"/>
        <n v="8691.78"/>
        <n v="105030.0"/>
        <n v="158952.72"/>
        <n v="29970.48"/>
        <n v="163794.4"/>
        <n v="15435.0"/>
        <n v="55800.96"/>
        <n v="12187.0"/>
        <n v="2875.0"/>
        <n v="3525.0"/>
        <n v="6512.0"/>
        <n v="6237.5"/>
        <n v="11648.0"/>
        <n v="2064.84"/>
        <n v="2897.26"/>
        <n v="81690.0"/>
        <n v="9350.16"/>
        <n v="59940.96"/>
        <n v="134013.6"/>
        <n v="17260.0"/>
        <n v="42465.0"/>
        <n v="46305.0"/>
        <n v="11550.16"/>
        <n v="37200.64"/>
        <n v="8705.0"/>
        <n v="5750.0"/>
        <n v="6339.48"/>
        <n v="3995.0"/>
        <n v="6216.0"/>
        <n v="7485.0"/>
        <n v="6656.0"/>
        <n v="69355.0"/>
        <n v="22335.6"/>
        <n v="9300.16"/>
        <n v="1741.0"/>
        <n v="235.0"/>
        <n v="499.0"/>
        <n v="832.0"/>
      </sharedItems>
    </cacheField>
    <cacheField name="Total HPP" numFmtId="164">
      <sharedItems containsString="0" containsBlank="1" containsNumber="1">
        <n v="610271.3599999999"/>
        <m/>
        <n v="557174.26"/>
        <n v="37817.759999999995"/>
        <n v="0.0"/>
      </sharedItems>
    </cacheField>
    <cacheField name="Uang Masuk" numFmtId="164">
      <sharedItems containsString="0" containsBlank="1" containsNumber="1" containsInteger="1">
        <n v="971818.0"/>
        <m/>
        <n v="1012498.0"/>
        <n v="61912.0"/>
      </sharedItems>
    </cacheField>
    <cacheField name="Margin">
      <sharedItems containsBlank="1" containsMixedTypes="1" containsNumber="1">
        <n v="0.37203122395345645"/>
        <m/>
        <n v="0.449703347562168"/>
        <n v="0.38916914330016805"/>
        <e v="#DIV/0!"/>
      </sharedItems>
    </cacheField>
    <cacheField name="Gross Profit" numFmtId="164">
      <sharedItems containsString="0" containsBlank="1" containsNumber="1">
        <n v="361546.64000000013"/>
        <m/>
        <n v="455323.74"/>
        <n v="24094.240000000005"/>
        <n v="0.0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21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2.0"/>
        <n v="0.0"/>
        <n v="3.0"/>
        <n v="5.0"/>
        <n v="14.0"/>
        <n v="39.0"/>
        <n v="1.0"/>
        <n v="34.0"/>
        <n v="27.0"/>
        <n v="50.0"/>
        <n v="52.0"/>
        <n v="46.0"/>
        <n v="7.0"/>
        <n v="45.0"/>
        <n v="48.0"/>
        <n v="51.0"/>
        <m/>
      </sharedItems>
    </cacheField>
    <cacheField name="Jumlah QR" numFmtId="0">
      <sharedItems containsString="0" containsBlank="1" containsNumber="1" containsInteger="1">
        <m/>
        <n v="1.0"/>
        <n v="0.0"/>
      </sharedItems>
    </cacheField>
    <cacheField name="Total Jumlah" numFmtId="1">
      <sharedItems containsSemiMixedTypes="0" containsString="0" containsNumber="1" containsInteger="1">
        <n v="2.0"/>
        <n v="0.0"/>
        <n v="3.0"/>
        <n v="5.0"/>
        <n v="14.0"/>
        <n v="39.0"/>
        <n v="1.0"/>
        <n v="34.0"/>
        <n v="27.0"/>
        <n v="50.0"/>
        <n v="52.0"/>
        <n v="46.0"/>
        <n v="7.0"/>
        <n v="45.0"/>
        <n v="48.0"/>
        <n v="51.0"/>
      </sharedItems>
    </cacheField>
    <cacheField name="Total" numFmtId="164">
      <sharedItems containsSemiMixedTypes="0" containsString="0" containsNumber="1">
        <n v="17611.26"/>
        <n v="0.0"/>
        <n v="11244.630000000001"/>
        <n v="2897.26"/>
        <n v="58350.0"/>
        <n v="130902.23999999999"/>
        <n v="19980.32"/>
        <n v="290362.8"/>
        <n v="28310.0"/>
        <n v="30870.0"/>
        <n v="11550.16"/>
        <n v="27900.48"/>
        <n v="8705.0"/>
        <n v="2875.0"/>
        <n v="7990.0"/>
        <n v="7992.0"/>
        <n v="12475.0"/>
        <n v="10816.0"/>
        <n v="27742.0"/>
        <n v="8805.63"/>
        <n v="1448.63"/>
        <n v="9990.16"/>
        <n v="342479.2"/>
        <n v="14155.0"/>
        <n v="46500.8"/>
        <n v="12187.0"/>
        <n v="2200.0"/>
        <n v="5750.0"/>
        <n v="2113.16"/>
        <n v="10575.0"/>
        <n v="14208.0"/>
        <n v="11477.0"/>
        <n v="10608.0"/>
        <n v="22335.6"/>
        <n v="235.0"/>
        <n v="249.5"/>
        <n v="624.0"/>
      </sharedItems>
    </cacheField>
    <cacheField name="Total HPP" numFmtId="164">
      <sharedItems containsString="0" containsBlank="1" containsNumber="1">
        <n v="708574.15"/>
        <m/>
        <n v="593267.74"/>
        <n v="32249.729999999996"/>
        <n v="0.0"/>
      </sharedItems>
    </cacheField>
    <cacheField name="Uang Masuk" numFmtId="164">
      <sharedItems containsString="0" containsBlank="1" containsNumber="1" containsInteger="1">
        <n v="1103513.0"/>
        <m/>
        <n v="1052812.0"/>
        <n v="62872.0"/>
      </sharedItems>
    </cacheField>
    <cacheField name="Margin">
      <sharedItems containsBlank="1" containsMixedTypes="1" containsNumber="1">
        <n v="0.3578923401899207"/>
        <m/>
        <n v="0.43649223223139555"/>
        <n v="0.48705735462527044"/>
        <e v="#DIV/0!"/>
      </sharedItems>
    </cacheField>
    <cacheField name="Gross Profit" numFmtId="164">
      <sharedItems containsString="0" containsBlank="1" containsNumber="1">
        <n v="394938.85"/>
        <m/>
        <n v="459544.26"/>
        <n v="30622.270000000004"/>
        <n v="0.0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20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1.0"/>
        <n v="0.0"/>
        <n v="2.0"/>
        <n v="3.0"/>
        <n v="7.0"/>
        <n v="23.0"/>
        <n v="11.0"/>
        <n v="12.0"/>
        <n v="16.0"/>
        <n v="38.0"/>
        <n v="6.0"/>
        <n v="10.0"/>
        <n v="4.0"/>
        <n v="9.0"/>
        <n v="8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1.0"/>
        <n v="0.0"/>
        <n v="2.0"/>
        <n v="3.0"/>
        <n v="7.0"/>
        <n v="23.0"/>
        <n v="11.0"/>
        <n v="12.0"/>
        <n v="16.0"/>
        <n v="38.0"/>
        <n v="6.0"/>
        <n v="10.0"/>
        <n v="4.0"/>
        <n v="9.0"/>
        <n v="8.0"/>
      </sharedItems>
    </cacheField>
    <cacheField name="Total" numFmtId="164">
      <sharedItems containsSemiMixedTypes="0" containsString="0" containsNumber="1">
        <n v="8805.63"/>
        <n v="0.0"/>
        <n v="3748.21"/>
        <n v="2897.26"/>
        <n v="35010.0"/>
        <n v="65451.119999999995"/>
        <n v="29970.48"/>
        <n v="171239.6"/>
        <n v="18600.32"/>
        <n v="3482.0"/>
        <n v="2875.0"/>
        <n v="2585.0"/>
        <n v="3552.0"/>
        <n v="3992.0"/>
        <n v="7904.0"/>
        <n v="4129.68"/>
        <n v="10521.31"/>
        <n v="7496.42"/>
        <n v="1448.63"/>
        <n v="70020.0"/>
        <n v="9350.16"/>
        <n v="9990.16"/>
        <n v="74452.0"/>
        <n v="23100.32"/>
        <n v="37200.64"/>
        <n v="5223.0"/>
        <n v="2200.0"/>
        <n v="2350.0"/>
        <n v="592.0"/>
        <n v="2245.5"/>
        <n v="4784.0"/>
        <n v="16518.72"/>
        <n v="27742.0"/>
        <n v="14616.31"/>
        <n v="22335.6"/>
        <n v="235.0"/>
        <n v="249.5"/>
        <n v="832.0"/>
        <n v="13871.0"/>
      </sharedItems>
    </cacheField>
    <cacheField name="Total HPP" numFmtId="164">
      <sharedItems containsString="0" containsBlank="1" containsNumber="1">
        <n v="374763.61000000004"/>
        <m/>
        <n v="321010.49000000005"/>
        <n v="41271.31"/>
        <n v="0.0"/>
      </sharedItems>
    </cacheField>
    <cacheField name="Uang Masuk" numFmtId="164">
      <sharedItems containsString="0" containsBlank="1" containsNumber="1" containsInteger="1">
        <n v="547221.0"/>
        <m/>
        <n v="538745.0"/>
        <n v="74682.0"/>
      </sharedItems>
    </cacheField>
    <cacheField name="Margin">
      <sharedItems containsBlank="1" containsMixedTypes="1" containsNumber="1">
        <n v="0.31515126429724"/>
        <m/>
        <n v="0.4041513331910272"/>
        <n v="0.44737272702927083"/>
        <e v="#DIV/0!"/>
      </sharedItems>
    </cacheField>
    <cacheField name="Gross Profit" numFmtId="164">
      <sharedItems containsString="0" containsBlank="1" containsNumber="1">
        <n v="172457.38999999996"/>
        <m/>
        <n v="217734.50999999995"/>
        <n v="33410.69"/>
        <n v="0.0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9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2.0"/>
        <n v="5.0"/>
        <n v="18.0"/>
        <n v="3.0"/>
        <n v="22.0"/>
        <n v="6.0"/>
        <n v="8.0"/>
        <n v="13.0"/>
        <n v="23.0"/>
        <n v="35.0"/>
        <n v="56.0"/>
        <n v="10.0"/>
        <n v="9.0"/>
        <n v="12.0"/>
        <m/>
        <n v="20.0"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2.0"/>
        <n v="5.0"/>
        <n v="18.0"/>
        <n v="3.0"/>
        <n v="22.0"/>
        <n v="6.0"/>
        <n v="8.0"/>
        <n v="13.0"/>
        <n v="23.0"/>
        <n v="35.0"/>
        <n v="56.0"/>
        <n v="10.0"/>
        <n v="9.0"/>
        <n v="12.0"/>
        <n v="20.0"/>
      </sharedItems>
    </cacheField>
    <cacheField name="Total" numFmtId="164">
      <sharedItems containsSemiMixedTypes="0" containsString="0" containsNumber="1">
        <n v="0.0"/>
        <n v="6013.63"/>
        <n v="7496.42"/>
        <n v="2897.26"/>
        <n v="58350.0"/>
        <n v="168302.88"/>
        <n v="29970.48"/>
        <n v="163794.4"/>
        <n v="55800.96"/>
        <n v="13928.0"/>
        <n v="2875.0"/>
        <n v="3055.0"/>
        <n v="6808.0"/>
        <n v="8732.5"/>
        <n v="11648.0"/>
        <n v="21042.62"/>
        <n v="12796.31"/>
        <n v="11670.0"/>
        <n v="74452.0"/>
        <n v="18600.32"/>
        <n v="1410.0"/>
        <n v="2960.0"/>
        <n v="2245.5"/>
        <n v="2496.0"/>
        <n v="31563.93"/>
        <n v="1448.63"/>
        <n v="7445.2"/>
        <n v="9300.16"/>
        <n v="499.0"/>
        <n v="624.0"/>
        <n v="13871.0"/>
        <n v="93501.6"/>
        <n v="99901.6"/>
        <n v="4700.0"/>
        <n v="5920.0"/>
        <n v="4990.0"/>
        <n v="4160.0"/>
      </sharedItems>
    </cacheField>
    <cacheField name="Total HPP" numFmtId="164">
      <sharedItems containsString="0" containsBlank="1" containsNumber="1">
        <n v="573511.4600000001"/>
        <m/>
        <n v="152894.16999999998"/>
        <n v="39201.619999999995"/>
        <n v="213173.2"/>
      </sharedItems>
    </cacheField>
    <cacheField name="Uang Masuk" numFmtId="164">
      <sharedItems containsString="0" containsBlank="1" containsNumber="1" containsInteger="1">
        <n v="921835.0"/>
        <m/>
        <n v="100180.0"/>
        <n v="87717.0"/>
        <n v="420000.0"/>
      </sharedItems>
    </cacheField>
    <cacheField name="Margin" numFmtId="10">
      <sharedItems containsString="0" containsBlank="1" containsNumber="1">
        <n v="0.3778588793005255"/>
        <m/>
        <n v="-0.5261945498103412"/>
        <n v="0.5530898229533614"/>
        <n v="0.4924447619047619"/>
      </sharedItems>
    </cacheField>
    <cacheField name="Gross Profit" numFmtId="164">
      <sharedItems containsString="0" containsBlank="1" containsNumber="1">
        <n v="348323.5399999999"/>
        <m/>
        <n v="-52714.169999999984"/>
        <n v="48515.380000000005"/>
        <n v="206826.8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8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4.0"/>
        <n v="8.0"/>
        <n v="6.0"/>
        <n v="7.0"/>
        <n v="30.0"/>
        <n v="3.0"/>
        <n v="22.0"/>
        <n v="26.0"/>
        <n v="37.0"/>
        <n v="54.0"/>
        <n v="2.0"/>
        <n v="15.0"/>
        <n v="12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4.0"/>
        <n v="8.0"/>
        <n v="6.0"/>
        <n v="7.0"/>
        <n v="30.0"/>
        <n v="3.0"/>
        <n v="22.0"/>
        <n v="26.0"/>
        <n v="37.0"/>
        <n v="54.0"/>
        <n v="2.0"/>
        <n v="15.0"/>
        <n v="12.0"/>
      </sharedItems>
    </cacheField>
    <cacheField name="Total" numFmtId="164">
      <sharedItems containsSemiMixedTypes="0" containsString="0" containsNumber="1">
        <n v="0.0"/>
        <n v="6013.63"/>
        <n v="5794.52"/>
        <n v="93360.0"/>
        <n v="56100.96"/>
        <n v="69931.12"/>
        <n v="223356.0"/>
        <n v="34650.479999999996"/>
        <n v="55800.96"/>
        <n v="10446.0"/>
        <n v="2875.0"/>
        <n v="5170.0"/>
        <n v="7696.0"/>
        <n v="9231.5"/>
        <n v="11232.0"/>
        <n v="31563.93"/>
        <n v="29232.62"/>
        <n v="7131.43"/>
        <n v="2897.26"/>
        <n v="11670.0"/>
        <n v="9990.16"/>
        <n v="111678.0"/>
        <n v="17260.0"/>
        <n v="14155.0"/>
        <n v="11550.16"/>
        <n v="18600.32"/>
        <n v="5223.0"/>
        <n v="5750.0"/>
        <n v="1880.0"/>
        <n v="1776.0"/>
        <n v="2994.0"/>
        <n v="4576.0"/>
      </sharedItems>
    </cacheField>
    <cacheField name="Total HPP" numFmtId="164">
      <sharedItems containsString="0" containsBlank="1" containsNumber="1">
        <n v="652454.72"/>
        <m/>
        <n v="264708.89"/>
        <n v="0.0"/>
      </sharedItems>
    </cacheField>
    <cacheField name="Uang Masuk" numFmtId="164">
      <sharedItems containsString="0" containsBlank="1" containsNumber="1" containsInteger="1">
        <n v="1072185.0"/>
        <m/>
        <n v="547574.0"/>
      </sharedItems>
    </cacheField>
    <cacheField name="Margin">
      <sharedItems containsBlank="1" containsMixedTypes="1" containsNumber="1">
        <n v="0.3914718821845111"/>
        <m/>
        <n v="0.516578782045897"/>
        <e v="#DIV/0!"/>
      </sharedItems>
    </cacheField>
    <cacheField name="Gross Profit" numFmtId="164">
      <sharedItems containsString="0" containsBlank="1" containsNumber="1">
        <n v="419730.28"/>
        <m/>
        <n v="282865.11"/>
        <n v="0.0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7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2.0"/>
        <n v="7.0"/>
        <n v="3.0"/>
        <n v="4.0"/>
        <n v="27.0"/>
        <n v="6.0"/>
        <n v="1.0"/>
        <n v="15.0"/>
        <n v="21.0"/>
        <n v="25.0"/>
        <n v="44.0"/>
        <n v="9.0"/>
        <n v="8.0"/>
        <n v="11.0"/>
        <n v="13.0"/>
        <n v="24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2.0"/>
        <n v="7.0"/>
        <n v="3.0"/>
        <n v="4.0"/>
        <n v="27.0"/>
        <n v="6.0"/>
        <n v="1.0"/>
        <n v="15.0"/>
        <n v="21.0"/>
        <n v="25.0"/>
        <n v="44.0"/>
        <n v="9.0"/>
        <n v="8.0"/>
        <n v="11.0"/>
        <n v="13.0"/>
        <n v="24.0"/>
      </sharedItems>
    </cacheField>
    <cacheField name="Total" numFmtId="164">
      <sharedItems containsSemiMixedTypes="0" containsString="0" containsNumber="1">
        <n v="0.0"/>
        <n v="7496.42"/>
        <n v="10140.41"/>
        <n v="35010.0"/>
        <n v="37400.64"/>
        <n v="29970.48"/>
        <n v="201020.4"/>
        <n v="34650.479999999996"/>
        <n v="55800.96"/>
        <n v="1741.0"/>
        <n v="2875.0"/>
        <n v="3525.0"/>
        <n v="6216.0"/>
        <n v="6237.5"/>
        <n v="9152.0"/>
        <n v="17122.559999999998"/>
        <n v="4129.68"/>
        <n v="94691.79"/>
        <n v="12796.31"/>
        <n v="8805.63"/>
        <n v="11670.0"/>
        <n v="9350.16"/>
        <n v="59561.6"/>
        <n v="14155.0"/>
        <n v="18459.18"/>
        <n v="37200.64"/>
        <n v="5223.0"/>
        <n v="2585.0"/>
        <n v="3848.0"/>
        <n v="2245.5"/>
        <n v="4992.0"/>
        <n v="2446.08"/>
        <n v="4095.0"/>
        <n v="63127.86"/>
        <n v="3748.21"/>
        <n v="22335.6"/>
        <n v="470.0"/>
        <n v="592.0"/>
        <n v="748.5"/>
        <n v="624.0"/>
      </sharedItems>
    </cacheField>
    <cacheField name="Total HPP" numFmtId="164">
      <sharedItems containsString="0" containsBlank="1" containsNumber="1">
        <n v="569976.63"/>
        <m/>
        <n v="282415.13"/>
        <n v="28518.309999999998"/>
        <n v="0.0"/>
      </sharedItems>
    </cacheField>
    <cacheField name="Uang Masuk" numFmtId="164">
      <sharedItems containsString="0" containsBlank="1" containsNumber="1" containsInteger="1">
        <n v="907481.0"/>
        <m/>
        <n v="469582.0"/>
        <n v="66475.0"/>
      </sharedItems>
    </cacheField>
    <cacheField name="Margin">
      <sharedItems containsBlank="1" containsMixedTypes="1" containsNumber="1">
        <n v="0.37191342849051384"/>
        <m/>
        <n v="0.3985818664258851"/>
        <n v="0.5709919518616021"/>
        <e v="#DIV/0!"/>
      </sharedItems>
    </cacheField>
    <cacheField name="Gross Profit" numFmtId="164">
      <sharedItems containsString="0" containsBlank="1" containsNumber="1">
        <n v="337504.37"/>
        <m/>
        <n v="187166.87"/>
        <n v="37956.69"/>
        <n v="0.0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6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2.0"/>
        <n v="5.0"/>
        <n v="12.0"/>
        <n v="4.0"/>
        <n v="11.0"/>
        <n v="39.0"/>
        <n v="1.0"/>
        <n v="7.0"/>
        <n v="18.0"/>
        <n v="35.0"/>
        <n v="66.0"/>
        <n v="3.0"/>
        <n v="21.0"/>
        <n v="13.0"/>
        <n v="14.0"/>
        <n v="20.0"/>
        <n v="28.0"/>
        <n v="6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2.0"/>
        <n v="5.0"/>
        <n v="12.0"/>
        <n v="4.0"/>
        <n v="11.0"/>
        <n v="39.0"/>
        <n v="1.0"/>
        <n v="7.0"/>
        <n v="18.0"/>
        <n v="35.0"/>
        <n v="66.0"/>
        <n v="3.0"/>
        <n v="21.0"/>
        <n v="13.0"/>
        <n v="14.0"/>
        <n v="20.0"/>
        <n v="28.0"/>
        <n v="6.0"/>
      </sharedItems>
    </cacheField>
    <cacheField name="Total" numFmtId="164">
      <sharedItems containsSemiMixedTypes="0" containsString="0" containsNumber="1">
        <n v="0.0"/>
        <n v="12027.26"/>
        <n v="14262.86"/>
        <n v="18741.05"/>
        <n v="17383.56"/>
        <n v="46680.0"/>
        <n v="102851.76"/>
        <n v="19980.32"/>
        <n v="290362.8"/>
        <n v="34520.0"/>
        <n v="18459.18"/>
        <n v="11550.16"/>
        <n v="37200.64"/>
        <n v="12187.0"/>
        <n v="2875.0"/>
        <n v="4230.0"/>
        <n v="11544.0"/>
        <n v="8732.5"/>
        <n v="13728.0"/>
        <n v="6194.52"/>
        <n v="52606.549999999996"/>
        <n v="38388.93"/>
        <n v="14616.31"/>
        <n v="8805.63"/>
        <n v="7496.42"/>
        <n v="4345.89"/>
        <n v="11670.0"/>
        <n v="156349.19999999998"/>
        <n v="17260.0"/>
        <n v="28310.0"/>
        <n v="46500.8"/>
        <n v="3482.0"/>
        <n v="5750.0"/>
        <n v="3055.0"/>
        <n v="4144.0"/>
        <n v="4990.0"/>
        <n v="5824.0"/>
        <n v="10324.2"/>
        <n v="27742.0"/>
        <n v="10521.31"/>
        <n v="12796.31"/>
        <n v="29232.62"/>
        <n v="18700.32"/>
        <n v="14890.4"/>
        <n v="705.0"/>
        <n v="296.0"/>
        <n v="249.5"/>
        <n v="1248.0"/>
        <n v="13871.0"/>
      </sharedItems>
    </cacheField>
    <cacheField name="Total HPP" numFmtId="164">
      <sharedItems containsString="0" containsBlank="1" containsNumber="1">
        <n v="789122.4000000003"/>
        <m/>
        <n v="398599.38"/>
        <n v="61630.22"/>
        <n v="0.0"/>
      </sharedItems>
    </cacheField>
    <cacheField name="Uang Masuk" numFmtId="164">
      <sharedItems containsString="0" containsBlank="1" containsNumber="1" containsInteger="1">
        <n v="1301577.0"/>
        <m/>
        <n v="583516.0"/>
        <n v="151000.0"/>
      </sharedItems>
    </cacheField>
    <cacheField name="Margin">
      <sharedItems containsBlank="1" containsMixedTypes="1" containsNumber="1">
        <n v="0.3937182356479868"/>
        <m/>
        <n v="0.31690068481412675"/>
        <n v="0.5918528476821192"/>
        <e v="#DIV/0!"/>
      </sharedItems>
    </cacheField>
    <cacheField name="Gross Profit" numFmtId="164">
      <sharedItems containsString="0" containsBlank="1" containsNumber="1">
        <n v="512454.59999999974"/>
        <m/>
        <n v="184916.62"/>
        <n v="89369.78"/>
        <n v="0.0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5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2.0"/>
        <n v="15.0"/>
        <n v="9.0"/>
        <n v="29.0"/>
        <n v="6.0"/>
        <n v="12.0"/>
        <n v="21.0"/>
        <n v="16.0"/>
        <n v="39.0"/>
        <n v="3.0"/>
        <n v="5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2.0"/>
        <n v="15.0"/>
        <n v="9.0"/>
        <n v="29.0"/>
        <n v="6.0"/>
        <n v="12.0"/>
        <n v="21.0"/>
        <n v="16.0"/>
        <n v="39.0"/>
        <n v="3.0"/>
        <n v="5.0"/>
      </sharedItems>
    </cacheField>
    <cacheField name="Total" numFmtId="164">
      <sharedItems containsSemiMixedTypes="0" containsString="0" containsNumber="1">
        <n v="0.0"/>
        <n v="6013.63"/>
        <n v="7496.42"/>
        <n v="21729.45"/>
        <n v="23340.0"/>
        <n v="84151.44"/>
        <n v="9990.16"/>
        <n v="215910.8"/>
        <n v="9229.59"/>
        <n v="10446.0"/>
        <n v="2820.0"/>
        <n v="6216.0"/>
        <n v="3992.0"/>
        <n v="8112.0"/>
        <n v="2064.84"/>
        <n v="21042.62"/>
        <n v="3748.21"/>
        <n v="2897.26"/>
        <n v="14890.4"/>
        <n v="14155.0"/>
        <n v="11550.16"/>
        <n v="18600.32"/>
        <n v="3482.0"/>
        <n v="705.0"/>
        <n v="1480.0"/>
        <n v="748.5"/>
        <n v="1248.0"/>
        <n v="10521.31"/>
        <n v="22335.6"/>
        <n v="592.0"/>
        <n v="249.5"/>
        <n v="1040.0"/>
        <n v="13871.0"/>
      </sharedItems>
    </cacheField>
    <cacheField name="Total HPP" numFmtId="164">
      <sharedItems containsString="0" containsBlank="1" containsNumber="1">
        <n v="432554.95000000007"/>
        <m/>
        <n v="94016.32"/>
        <n v="53386.47"/>
        <n v="0.0"/>
      </sharedItems>
    </cacheField>
    <cacheField name="Uang Masuk" numFmtId="164">
      <sharedItems containsString="0" containsBlank="1" containsNumber="1" containsInteger="1">
        <n v="665818.0"/>
        <m/>
        <n v="161316.0"/>
        <n v="127945.0"/>
      </sharedItems>
    </cacheField>
    <cacheField name="Margin">
      <sharedItems containsBlank="1" containsMixedTypes="1" containsNumber="1">
        <n v="0.35034055853100987"/>
        <m/>
        <n v="0.41719159909742365"/>
        <n v="0.5827389112509281"/>
        <e v="#DIV/0!"/>
      </sharedItems>
    </cacheField>
    <cacheField name="Gross Profit" numFmtId="164">
      <sharedItems containsString="0" containsBlank="1" containsNumber="1">
        <n v="233263.04999999993"/>
        <m/>
        <n v="67299.68"/>
        <n v="74558.53"/>
        <n v="0.0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4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2.0"/>
        <n v="15.0"/>
        <n v="3.0"/>
        <n v="10.0"/>
        <n v="40.0"/>
        <n v="1.0"/>
        <n v="7.0"/>
        <n v="28.0"/>
        <n v="26.0"/>
        <n v="51.0"/>
        <n v="4.0"/>
        <n v="9.0"/>
        <n v="13.0"/>
        <n v="11.0"/>
        <n v="14.0"/>
        <n v="6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2.0"/>
        <n v="15.0"/>
        <n v="3.0"/>
        <n v="10.0"/>
        <n v="40.0"/>
        <n v="1.0"/>
        <n v="7.0"/>
        <n v="28.0"/>
        <n v="26.0"/>
        <n v="51.0"/>
        <n v="4.0"/>
        <n v="9.0"/>
        <n v="13.0"/>
        <n v="11.0"/>
        <n v="14.0"/>
        <n v="6.0"/>
      </sharedItems>
    </cacheField>
    <cacheField name="Total" numFmtId="164">
      <sharedItems containsSemiMixedTypes="0" containsString="0" containsNumber="1">
        <n v="0.0"/>
        <n v="7496.42"/>
        <n v="21729.45"/>
        <n v="35010.0"/>
        <n v="93501.6"/>
        <n v="297808.0"/>
        <n v="9229.59"/>
        <n v="12187.0"/>
        <n v="6580.0"/>
        <n v="8288.0"/>
        <n v="6487.0"/>
        <n v="10608.0"/>
        <n v="2446.08"/>
        <n v="31563.93"/>
        <n v="14616.31"/>
        <n v="12027.26"/>
        <n v="7131.43"/>
        <n v="14486.300000000001"/>
        <n v="46680.0"/>
        <n v="18700.32"/>
        <n v="67006.8"/>
        <n v="17260.0"/>
        <n v="14155.0"/>
        <n v="15435.0"/>
        <n v="11550.16"/>
        <n v="9300.16"/>
        <n v="1741.0"/>
        <n v="3055.0"/>
        <n v="3256.0"/>
        <n v="499.0"/>
        <n v="2912.0"/>
        <n v="13871.0"/>
        <n v="6013.63"/>
        <n v="2897.26"/>
        <n v="39960.64"/>
        <n v="22335.6"/>
        <n v="888.0"/>
        <n v="748.5"/>
        <n v="1248.0"/>
      </sharedItems>
    </cacheField>
    <cacheField name="Total HPP" numFmtId="164">
      <sharedItems containsString="0" containsBlank="1" containsNumber="1">
        <n v="557551.3800000001"/>
        <m/>
        <n v="305246.67"/>
        <n v="92264.22"/>
        <n v="0.0"/>
      </sharedItems>
    </cacheField>
    <cacheField name="Uang Masuk" numFmtId="164">
      <sharedItems containsString="0" containsBlank="1" containsNumber="1" containsInteger="1">
        <n v="865369.0"/>
        <m/>
        <n v="480751.0"/>
        <n v="189434.0"/>
      </sharedItems>
    </cacheField>
    <cacheField name="Margin">
      <sharedItems containsBlank="1" containsMixedTypes="1" containsNumber="1">
        <n v="0.35570677942010853"/>
        <m/>
        <n v="0.36506284958325624"/>
        <n v="0.5129479396518049"/>
        <e v="#DIV/0!"/>
      </sharedItems>
    </cacheField>
    <cacheField name="Gross Profit" numFmtId="164">
      <sharedItems containsString="0" containsBlank="1" containsNumber="1">
        <n v="307817.6199999999"/>
        <m/>
        <n v="175504.33000000002"/>
        <n v="97169.78"/>
        <n v="0.0"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3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6.0"/>
        <n v="2.0"/>
        <n v="5.0"/>
        <n v="21.0"/>
        <n v="1.0"/>
        <n v="4.0"/>
        <n v="13.0"/>
        <n v="8.0"/>
        <n v="16.0"/>
        <n v="31.0"/>
        <n v="12.0"/>
        <n v="3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6.0"/>
        <n v="2.0"/>
        <n v="5.0"/>
        <n v="21.0"/>
        <n v="1.0"/>
        <n v="4.0"/>
        <n v="13.0"/>
        <n v="8.0"/>
        <n v="16.0"/>
        <n v="31.0"/>
        <n v="12.0"/>
        <n v="3.0"/>
      </sharedItems>
    </cacheField>
    <cacheField name="Total" numFmtId="164">
      <sharedItems containsSemiMixedTypes="0" containsString="0" containsNumber="1">
        <n v="0.0"/>
        <n v="8691.78"/>
        <n v="23340.0"/>
        <n v="46750.8"/>
        <n v="156349.19999999998"/>
        <n v="14155.0"/>
        <n v="18459.18"/>
        <n v="9300.16"/>
        <n v="6964.0"/>
        <n v="2875.0"/>
        <n v="2113.16"/>
        <n v="3055.0"/>
        <n v="2368.0"/>
        <n v="3992.0"/>
        <n v="6448.0"/>
        <n v="4129.68"/>
        <n v="10521.31"/>
        <n v="12796.31"/>
        <n v="6013.63"/>
        <n v="3748.21"/>
        <n v="2897.26"/>
        <n v="11670.0"/>
        <n v="9990.16"/>
        <n v="14890.4"/>
        <n v="9229.59"/>
        <n v="37200.64"/>
        <n v="2820.0"/>
        <n v="3848.0"/>
        <n v="2994.0"/>
        <n v="3328.0"/>
        <n v="2446.08"/>
        <n v="6194.52"/>
        <n v="63127.86"/>
        <n v="29232.62"/>
        <n v="9350.16"/>
        <n v="1741.0"/>
        <n v="940.0"/>
        <n v="592.0"/>
        <n v="748.5"/>
        <n v="1248.0"/>
      </sharedItems>
    </cacheField>
    <cacheField name="Total HPP" numFmtId="164">
      <sharedItems containsString="0" containsBlank="1" containsNumber="1">
        <n v="332308.5799999999"/>
        <m/>
        <n v="223785.96999999997"/>
        <n v="77923.91999999998"/>
        <n v="0.0"/>
      </sharedItems>
    </cacheField>
    <cacheField name="Uang Masuk" numFmtId="164">
      <sharedItems containsString="0" containsBlank="1" containsNumber="1" containsInteger="1">
        <n v="513337.0"/>
        <m/>
        <n v="382521.0"/>
        <n v="169565.0"/>
      </sharedItems>
    </cacheField>
    <cacheField name="Margin">
      <sharedItems containsBlank="1" containsMixedTypes="1" containsNumber="1">
        <n v="0.35265024730342853"/>
        <m/>
        <n v="0.41497075977528036"/>
        <n v="0.5404480877539588"/>
        <e v="#DIV/0!"/>
      </sharedItems>
    </cacheField>
    <cacheField name="Gross Profit" numFmtId="164">
      <sharedItems containsString="0" containsBlank="1" containsNumber="1">
        <n v="181028.4200000001"/>
        <m/>
        <n v="158735.03000000003"/>
        <n v="91641.08000000002"/>
        <n v="0.0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2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7.0"/>
        <n v="1.0"/>
        <n v="2.0"/>
        <n v="20.0"/>
        <n v="3.0"/>
        <n v="9.0"/>
        <n v="11.0"/>
        <n v="12.0"/>
        <n v="10.0"/>
        <n v="26.0"/>
        <n v="6.0"/>
        <n v="8.0"/>
        <n v="19.0"/>
        <n v="25.0"/>
        <n v="15.0"/>
        <n v="5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7.0"/>
        <n v="1.0"/>
        <n v="2.0"/>
        <n v="20.0"/>
        <n v="3.0"/>
        <n v="9.0"/>
        <n v="11.0"/>
        <n v="12.0"/>
        <n v="10.0"/>
        <n v="26.0"/>
        <n v="6.0"/>
        <n v="8.0"/>
        <n v="19.0"/>
        <n v="25.0"/>
        <n v="15.0"/>
        <n v="5.0"/>
      </sharedItems>
    </cacheField>
    <cacheField name="Total" numFmtId="164">
      <sharedItems containsSemiMixedTypes="0" containsString="0" containsNumber="1">
        <n v="0.0"/>
        <n v="10140.41"/>
        <n v="11670.0"/>
        <n v="18700.32"/>
        <n v="9990.16"/>
        <n v="148904.0"/>
        <n v="9229.59"/>
        <n v="27900.48"/>
        <n v="15669.0"/>
        <n v="4226.32"/>
        <n v="2585.0"/>
        <n v="3552.0"/>
        <n v="2495.0"/>
        <n v="5408.0"/>
        <n v="4129.68"/>
        <n v="10521.31"/>
        <n v="7131.43"/>
        <n v="8691.78"/>
        <n v="9350.16"/>
        <n v="44671.2"/>
        <n v="28310.0"/>
        <n v="30870.0"/>
        <n v="73836.72"/>
        <n v="9300.16"/>
        <n v="5223.0"/>
        <n v="1410.0"/>
        <n v="5624.0"/>
        <n v="1746.5"/>
        <n v="5200.0"/>
        <n v="14676.48"/>
        <n v="13871.0"/>
        <n v="219244.65"/>
        <n v="7445.2"/>
        <n v="592.0"/>
        <n v="1247.5"/>
        <n v="1248.0"/>
      </sharedItems>
    </cacheField>
    <cacheField name="Total HPP" numFmtId="164">
      <sharedItems containsString="0" containsBlank="1" containsNumber="1">
        <n v="285121.27"/>
        <m/>
        <n v="483286.76"/>
        <n v="60193.34"/>
        <n v="0.0"/>
      </sharedItems>
    </cacheField>
    <cacheField name="Uang Masuk" numFmtId="164">
      <sharedItems containsString="0" containsBlank="1" containsNumber="1" containsInteger="1">
        <n v="462620.0"/>
        <m/>
        <n v="982650.0"/>
        <n v="126268.0"/>
      </sharedItems>
    </cacheField>
    <cacheField name="Margin">
      <sharedItems containsBlank="1" containsMixedTypes="1" containsNumber="1">
        <n v="0.38368148804634467"/>
        <m/>
        <n v="0.508180165877983"/>
        <n v="0.5232890360186271"/>
        <e v="#DIV/0!"/>
      </sharedItems>
    </cacheField>
    <cacheField name="Gross Profit" numFmtId="164">
      <sharedItems containsString="0" containsBlank="1" containsNumber="1">
        <n v="177498.72999999998"/>
        <m/>
        <n v="499363.24"/>
        <n v="66074.66"/>
        <n v="0.0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1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8.0"/>
        <n v="2.0"/>
        <n v="5.0"/>
        <n v="10.0"/>
        <n v="4.0"/>
        <n v="3.0"/>
        <n v="7.0"/>
        <n v="14.0"/>
        <n v="19.0"/>
        <n v="12.0"/>
        <n v="9.0"/>
        <m/>
      </sharedItems>
    </cacheField>
    <cacheField name="Jumlah QR" numFmtId="0">
      <sharedItems containsString="0" containsBlank="1" containsNumber="1" containsInteger="1">
        <m/>
        <n v="0.0"/>
        <n v="4.0"/>
      </sharedItems>
    </cacheField>
    <cacheField name="Total Jumlah" numFmtId="1">
      <sharedItems containsSemiMixedTypes="0" containsString="0" containsNumber="1" containsInteger="1">
        <n v="0.0"/>
        <n v="1.0"/>
        <n v="8.0"/>
        <n v="2.0"/>
        <n v="5.0"/>
        <n v="10.0"/>
        <n v="4.0"/>
        <n v="3.0"/>
        <n v="7.0"/>
        <n v="14.0"/>
        <n v="19.0"/>
        <n v="12.0"/>
        <n v="9.0"/>
      </sharedItems>
    </cacheField>
    <cacheField name="Total" numFmtId="164">
      <sharedItems containsSemiMixedTypes="0" containsString="0" containsNumber="1">
        <n v="0.0"/>
        <n v="7131.43"/>
        <n v="3748.21"/>
        <n v="11589.04"/>
        <n v="23340.0"/>
        <n v="46750.8"/>
        <n v="9990.16"/>
        <n v="74452.0"/>
        <n v="9300.16"/>
        <n v="6964.0"/>
        <n v="705.0"/>
        <n v="2072.0"/>
        <n v="3493.0"/>
        <n v="3952.0"/>
        <n v="2064.84"/>
        <n v="21042.62"/>
        <n v="8150.63"/>
        <n v="6013.63"/>
        <n v="5794.52"/>
        <n v="29780.8"/>
        <n v="17260.0"/>
        <n v="28310.0"/>
        <n v="30870.0"/>
        <n v="9229.59"/>
        <n v="1741.0"/>
        <n v="2200.0"/>
        <n v="2113.16"/>
        <n v="470.0"/>
        <n v="3552.0"/>
        <n v="748.5"/>
        <n v="1872.0"/>
        <n v="8259.36"/>
        <n v="13871.0"/>
        <n v="12796.31"/>
        <n v="21394.29"/>
        <n v="4345.89"/>
        <n v="18700.32"/>
        <n v="29970.48"/>
        <n v="22335.6"/>
        <n v="18459.18"/>
        <n v="1175.0"/>
        <n v="888.0"/>
      </sharedItems>
    </cacheField>
    <cacheField name="Total HPP" numFmtId="164">
      <sharedItems containsString="0" containsBlank="1" containsNumber="1">
        <n v="226595.26"/>
        <m/>
        <n v="193022.65999999997"/>
        <n v="134454.55"/>
        <n v="0.0"/>
      </sharedItems>
    </cacheField>
    <cacheField name="Uang Masuk" numFmtId="164">
      <sharedItems containsString="0" containsBlank="1" containsNumber="1" containsInteger="1">
        <n v="337446.0"/>
        <m/>
        <n v="342083.0"/>
        <n v="273811.0"/>
      </sharedItems>
    </cacheField>
    <cacheField name="Margin">
      <sharedItems containsBlank="1" containsMixedTypes="1" containsNumber="1">
        <n v="0.3284991969085424"/>
        <m/>
        <n v="0.43574319682650126"/>
        <n v="0.508951247393275"/>
        <e v="#DIV/0!"/>
      </sharedItems>
    </cacheField>
    <cacheField name="Gross Profit" numFmtId="164">
      <sharedItems containsString="0" containsBlank="1" containsNumber="1">
        <n v="110850.73999999999"/>
        <m/>
        <n v="149060.34000000003"/>
        <n v="139356.45"/>
        <n v="0.0"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10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13.0"/>
        <n v="3.0"/>
        <n v="8.0"/>
        <n v="17.0"/>
        <n v="2.0"/>
        <n v="6.0"/>
        <n v="15.0"/>
        <n v="21.0"/>
        <n v="29.0"/>
        <n v="4.0"/>
        <n v="7.0"/>
        <n v="9.0"/>
        <n v="5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13.0"/>
        <n v="3.0"/>
        <n v="8.0"/>
        <n v="17.0"/>
        <n v="2.0"/>
        <n v="6.0"/>
        <n v="15.0"/>
        <n v="21.0"/>
        <n v="29.0"/>
        <n v="4.0"/>
        <n v="7.0"/>
        <n v="9.0"/>
        <n v="5.0"/>
      </sharedItems>
    </cacheField>
    <cacheField name="Total" numFmtId="164">
      <sharedItems containsSemiMixedTypes="0" containsString="0" containsNumber="1">
        <n v="0.0"/>
        <n v="3748.21"/>
        <n v="18832.190000000002"/>
        <n v="35010.0"/>
        <n v="74801.28"/>
        <n v="9990.16"/>
        <n v="126568.4"/>
        <n v="14155.0"/>
        <n v="23100.32"/>
        <n v="10446.0"/>
        <n v="2875.0"/>
        <n v="3525.0"/>
        <n v="3848.0"/>
        <n v="5239.5"/>
        <n v="6032.0"/>
        <n v="4129.68"/>
        <n v="31563.93"/>
        <n v="12796.31"/>
        <n v="14616.31"/>
        <n v="6013.63"/>
        <n v="5794.52"/>
        <n v="19980.32"/>
        <n v="14890.4"/>
        <n v="17260.0"/>
        <n v="28310.0"/>
        <n v="15435.0"/>
        <n v="11550.16"/>
        <n v="1741.0"/>
        <n v="3055.0"/>
        <n v="2072.0"/>
        <n v="1746.5"/>
        <n v="1872.0"/>
        <n v="13871.0"/>
        <n v="29232.62"/>
        <n v="4345.89"/>
        <n v="9350.16"/>
        <n v="29780.8"/>
        <n v="9300.16"/>
        <n v="470.0"/>
        <n v="1480.0"/>
        <n v="1247.5"/>
      </sharedItems>
    </cacheField>
    <cacheField name="Total HPP" numFmtId="164">
      <sharedItems containsString="0" containsBlank="1" containsNumber="1">
        <n v="401277.29"/>
        <m/>
        <n v="204388.08"/>
        <n v="114955.30000000002"/>
        <n v="0.0"/>
      </sharedItems>
    </cacheField>
    <cacheField name="Uang Masuk" numFmtId="164">
      <sharedItems containsString="0" containsBlank="1" containsNumber="1" containsInteger="1">
        <n v="611236.0"/>
        <m/>
        <n v="328199.0"/>
        <n v="235384.0"/>
      </sharedItems>
    </cacheField>
    <cacheField name="Margin">
      <sharedItems containsBlank="1" containsMixedTypes="1" containsNumber="1">
        <n v="0.34349859955892653"/>
        <m/>
        <n v="0.3772434407173697"/>
        <n v="0.5116265336641402"/>
        <e v="#DIV/0!"/>
      </sharedItems>
    </cacheField>
    <cacheField name="Gross Profit" numFmtId="164">
      <sharedItems containsString="0" containsBlank="1" containsNumber="1">
        <n v="209958.71000000002"/>
        <m/>
        <n v="123810.92000000001"/>
        <n v="120428.69999999998"/>
        <n v="0.0"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9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2.0"/>
        <n v="0.0"/>
        <n v="1.0"/>
        <n v="7.0"/>
        <n v="4.0"/>
        <n v="3.0"/>
        <n v="19.0"/>
        <n v="21.0"/>
        <n v="24.0"/>
        <n v="26.0"/>
        <n v="29.0"/>
        <n v="9.0"/>
        <n v="11.0"/>
        <n v="6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2.0"/>
        <n v="0.0"/>
        <n v="1.0"/>
        <n v="7.0"/>
        <n v="4.0"/>
        <n v="3.0"/>
        <n v="19.0"/>
        <n v="21.0"/>
        <n v="24.0"/>
        <n v="26.0"/>
        <n v="29.0"/>
        <n v="9.0"/>
        <n v="11.0"/>
        <n v="6.0"/>
      </sharedItems>
    </cacheField>
    <cacheField name="Total" numFmtId="164">
      <sharedItems containsSemiMixedTypes="0" containsString="0" containsNumber="1">
        <n v="17611.26"/>
        <n v="0.0"/>
        <n v="7131.43"/>
        <n v="3748.21"/>
        <n v="10140.41"/>
        <n v="11670.0"/>
        <n v="37400.64"/>
        <n v="29970.48"/>
        <n v="141458.8"/>
        <n v="28310.0"/>
        <n v="30870.0"/>
        <n v="9300.16"/>
        <n v="12187.0"/>
        <n v="8625.0"/>
        <n v="6339.48"/>
        <n v="4935.0"/>
        <n v="7104.0"/>
        <n v="6487.0"/>
        <n v="6032.0"/>
        <n v="6194.52"/>
        <n v="21042.62"/>
        <n v="8805.63"/>
        <n v="7496.42"/>
        <n v="2897.26"/>
        <n v="35010.0"/>
        <n v="18700.32"/>
        <n v="14890.4"/>
        <n v="14155.0"/>
        <n v="9229.59"/>
        <n v="11550.16"/>
        <n v="1741.0"/>
        <n v="2875.0"/>
        <n v="940.0"/>
        <n v="2664.0"/>
        <n v="998.0"/>
        <n v="2288.0"/>
        <n v="2446.08"/>
        <n v="31563.93"/>
        <n v="19980.32"/>
        <n v="22335.6"/>
        <n v="470.0"/>
        <n v="249.5"/>
        <n v="1248.0"/>
      </sharedItems>
    </cacheField>
    <cacheField name="Total HPP" numFmtId="164">
      <sharedItems containsString="0" containsBlank="1" containsNumber="1">
        <n v="406558.00999999995"/>
        <m/>
        <n v="168250.78999999998"/>
        <n v="57331.78999999999"/>
        <n v="0.0"/>
      </sharedItems>
    </cacheField>
    <cacheField name="Uang Masuk" numFmtId="164">
      <sharedItems containsString="0" containsBlank="1" containsNumber="1" containsInteger="1">
        <n v="655146.0"/>
        <m/>
        <n v="260818.0"/>
        <n v="118086.0"/>
      </sharedItems>
    </cacheField>
    <cacheField name="Margin">
      <sharedItems containsBlank="1" containsMixedTypes="1" containsNumber="1">
        <n v="0.37943907159625495"/>
        <m/>
        <n v="0.3549111257658598"/>
        <n v="0.5144912182646546"/>
        <e v="#DIV/0!"/>
      </sharedItems>
    </cacheField>
    <cacheField name="Gross Profit" numFmtId="164">
      <sharedItems containsString="0" containsBlank="1" containsNumber="1">
        <n v="248587.99000000005"/>
        <m/>
        <n v="92567.21000000002"/>
        <n v="60754.21000000001"/>
        <n v="0.0"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8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9.0"/>
        <n v="2.0"/>
        <n v="8.0"/>
        <n v="3.0"/>
        <n v="5.0"/>
        <n v="17.0"/>
        <n v="19.0"/>
        <n v="23.0"/>
        <n v="26.0"/>
        <n v="7.0"/>
        <n v="10.0"/>
        <n v="13.0"/>
        <n v="4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9.0"/>
        <n v="2.0"/>
        <n v="8.0"/>
        <n v="3.0"/>
        <n v="5.0"/>
        <n v="17.0"/>
        <n v="19.0"/>
        <n v="23.0"/>
        <n v="26.0"/>
        <n v="7.0"/>
        <n v="10.0"/>
        <n v="13.0"/>
        <n v="4.0"/>
      </sharedItems>
    </cacheField>
    <cacheField name="Total" numFmtId="164">
      <sharedItems containsSemiMixedTypes="0" containsString="0" containsNumber="1">
        <n v="0.0"/>
        <n v="8150.63"/>
        <n v="6013.63"/>
        <n v="3748.21"/>
        <n v="13037.670000000002"/>
        <n v="23340.0"/>
        <n v="84151.44"/>
        <n v="9990.16"/>
        <n v="59561.6"/>
        <n v="14155.0"/>
        <n v="15435.0"/>
        <n v="18459.18"/>
        <n v="23100.32"/>
        <n v="27900.48"/>
        <n v="8705.0"/>
        <n v="3995.0"/>
        <n v="5624.0"/>
        <n v="5738.5"/>
        <n v="5408.0"/>
        <n v="6194.52"/>
        <n v="94691.79"/>
        <n v="8805.63"/>
        <n v="2897.26"/>
        <n v="9350.16"/>
        <n v="14890.4"/>
        <n v="11550.16"/>
        <n v="5223.0"/>
        <n v="2875.0"/>
        <n v="1175.0"/>
        <n v="2072.0"/>
        <n v="2495.0"/>
        <n v="2704.0"/>
        <n v="21042.62"/>
        <n v="12796.31"/>
        <n v="73081.55"/>
        <n v="5794.52"/>
        <n v="19980.32"/>
        <n v="22335.6"/>
        <n v="30870.0"/>
        <n v="499.0"/>
        <n v="1040.0"/>
      </sharedItems>
    </cacheField>
    <cacheField name="Total HPP" numFmtId="164">
      <sharedItems containsString="0" containsBlank="1" containsNumber="1">
        <n v="437400.13"/>
        <m/>
        <n v="247623.72999999998"/>
        <n v="80519.44"/>
        <n v="0.0"/>
      </sharedItems>
    </cacheField>
    <cacheField name="Uang Masuk" numFmtId="164">
      <sharedItems containsString="0" containsBlank="1" containsNumber="1" containsInteger="1">
        <n v="721234.0"/>
        <m/>
        <n v="403041.0"/>
        <n v="160296.0"/>
      </sharedItems>
    </cacheField>
    <cacheField name="Margin">
      <sharedItems containsBlank="1" containsMixedTypes="1" containsNumber="1">
        <n v="0.39353922582684675"/>
        <m/>
        <n v="0.38561156309159617"/>
        <n v="0.497682786844338"/>
        <e v="#DIV/0!"/>
      </sharedItems>
    </cacheField>
    <cacheField name="Gross Profit" numFmtId="164">
      <sharedItems containsString="0" containsBlank="1" containsNumber="1">
        <n v="283833.87"/>
        <m/>
        <n v="155417.27000000002"/>
        <n v="79776.56"/>
        <n v="0.0"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7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14.0"/>
        <n v="5.0"/>
        <n v="6.0"/>
        <n v="12.0"/>
        <n v="15.0"/>
        <n v="21.0"/>
        <n v="27.0"/>
        <n v="3.0"/>
        <n v="2.0"/>
        <n v="10.0"/>
        <n v="8.0"/>
        <n v="4.0"/>
        <n v="7.0"/>
        <n v="20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14.0"/>
        <n v="5.0"/>
        <n v="6.0"/>
        <n v="12.0"/>
        <n v="15.0"/>
        <n v="21.0"/>
        <n v="27.0"/>
        <n v="3.0"/>
        <n v="2.0"/>
        <n v="10.0"/>
        <n v="8.0"/>
        <n v="4.0"/>
        <n v="7.0"/>
        <n v="20.0"/>
      </sharedItems>
    </cacheField>
    <cacheField name="Total" numFmtId="164">
      <sharedItems containsSemiMixedTypes="0" containsString="0" containsNumber="1">
        <n v="0.0"/>
        <n v="6013.63"/>
        <n v="20280.82"/>
        <n v="58350.0"/>
        <n v="56100.96"/>
        <n v="9990.16"/>
        <n v="89342.4"/>
        <n v="9229.59"/>
        <n v="8705.0"/>
        <n v="2820.0"/>
        <n v="4440.0"/>
        <n v="5239.5"/>
        <n v="5616.0"/>
        <n v="13871.0"/>
        <n v="31563.93"/>
        <n v="12796.31"/>
        <n v="12027.26"/>
        <n v="7131.43"/>
        <n v="3748.21"/>
        <n v="14486.300000000001"/>
        <n v="35010.0"/>
        <n v="59940.96"/>
        <n v="59561.6"/>
        <n v="17260.0"/>
        <n v="56620.0"/>
        <n v="27688.77"/>
        <n v="18600.32"/>
        <n v="13928.0"/>
        <n v="2875.0"/>
        <n v="2113.16"/>
        <n v="3290.0"/>
        <n v="3552.0"/>
        <n v="1746.5"/>
        <n v="4160.0"/>
        <n v="2064.84"/>
        <n v="14616.31"/>
        <n v="14262.86"/>
        <n v="8691.78"/>
        <n v="29970.48"/>
        <n v="29780.8"/>
        <n v="18459.18"/>
        <n v="9300.16"/>
        <n v="235.0"/>
        <n v="888.0"/>
        <n v="748.5"/>
        <n v="2080.0"/>
        <n v="4129.68"/>
      </sharedItems>
    </cacheField>
    <cacheField name="Total HPP" numFmtId="164">
      <sharedItems containsString="0" containsBlank="1" containsNumber="1">
        <n v="334359.3"/>
        <m/>
        <n v="391984.59"/>
        <n v="118546.44"/>
        <n v="0.0"/>
      </sharedItems>
    </cacheField>
    <cacheField name="Uang Masuk" numFmtId="164">
      <sharedItems containsString="0" containsBlank="1" containsNumber="1" containsInteger="1">
        <n v="478753.0"/>
        <m/>
        <n v="738037.0"/>
        <n v="225509.0"/>
      </sharedItems>
    </cacheField>
    <cacheField name="Margin">
      <sharedItems containsBlank="1" containsMixedTypes="1" containsNumber="1">
        <n v="0.301603749741516"/>
        <m/>
        <n v="0.46888219696302486"/>
        <n v="0.47431614702739133"/>
        <e v="#DIV/0!"/>
      </sharedItems>
    </cacheField>
    <cacheField name="Gross Profit" numFmtId="164">
      <sharedItems containsString="0" containsBlank="1" containsNumber="1">
        <n v="144393.7"/>
        <m/>
        <n v="346052.41"/>
        <n v="106962.56"/>
        <n v="0.0"/>
      </sharedItems>
    </cacheField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6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2.0"/>
        <n v="17.0"/>
        <n v="1.0"/>
        <n v="3.0"/>
        <n v="21.0"/>
        <n v="10.0"/>
        <n v="4.0"/>
        <n v="14.0"/>
        <n v="15.0"/>
        <n v="31.0"/>
        <n v="16.0"/>
        <n v="23.0"/>
        <n v="6.0"/>
        <n v="5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2.0"/>
        <n v="17.0"/>
        <n v="1.0"/>
        <n v="3.0"/>
        <n v="21.0"/>
        <n v="10.0"/>
        <n v="4.0"/>
        <n v="14.0"/>
        <n v="15.0"/>
        <n v="31.0"/>
        <n v="16.0"/>
        <n v="23.0"/>
        <n v="6.0"/>
        <n v="5.0"/>
      </sharedItems>
    </cacheField>
    <cacheField name="Total" numFmtId="164">
      <sharedItems containsSemiMixedTypes="0" containsString="0" containsNumber="1">
        <n v="0.0"/>
        <n v="12027.26"/>
        <n v="24626.710000000003"/>
        <n v="11670.0"/>
        <n v="28050.48"/>
        <n v="9990.16"/>
        <n v="156349.19999999998"/>
        <n v="14155.0"/>
        <n v="27688.77"/>
        <n v="23100.32"/>
        <n v="9300.16"/>
        <n v="17410.0"/>
        <n v="11500.0"/>
        <n v="3290.0"/>
        <n v="4440.0"/>
        <n v="3493.0"/>
        <n v="6448.0"/>
        <n v="2064.84"/>
        <n v="21042.62"/>
        <n v="12796.31"/>
        <n v="7131.43"/>
        <n v="23178.08"/>
        <n v="18700.32"/>
        <n v="39960.64"/>
        <n v="111678.0"/>
        <n v="34520.0"/>
        <n v="56620.0"/>
        <n v="61740.0"/>
        <n v="9229.59"/>
        <n v="18600.32"/>
        <n v="1741.0"/>
        <n v="2875.0"/>
        <n v="2113.16"/>
        <n v="6216.0"/>
        <n v="3992.0"/>
        <n v="4784.0"/>
        <n v="8259.36"/>
        <n v="18040.89"/>
        <n v="8691.78"/>
        <n v="19980.32"/>
        <n v="37226.0"/>
        <n v="15435.0"/>
        <n v="11550.16"/>
        <n v="940.0"/>
        <n v="592.0"/>
        <n v="998.0"/>
        <n v="1040.0"/>
      </sharedItems>
    </cacheField>
    <cacheField name="Total HPP" numFmtId="164">
      <sharedItems containsString="0" containsBlank="1" containsNumber="1">
        <n v="399442.83"/>
        <m/>
        <n v="426656.16"/>
        <n v="131625.94"/>
        <n v="0.0"/>
      </sharedItems>
    </cacheField>
    <cacheField name="Uang Masuk" numFmtId="164">
      <sharedItems containsString="0" containsBlank="1" containsNumber="1" containsInteger="1">
        <n v="630802.0"/>
        <m/>
        <n v="730708.0"/>
        <n v="320004.0"/>
      </sharedItems>
    </cacheField>
    <cacheField name="Margin">
      <sharedItems containsBlank="1" containsMixedTypes="1" containsNumber="1">
        <n v="0.3667698739065507"/>
        <m/>
        <n v="0.41610580423370214"/>
        <n v="0.5886740790740116"/>
        <e v="#DIV/0!"/>
      </sharedItems>
    </cacheField>
    <cacheField name="Gross Profit" numFmtId="164">
      <sharedItems containsString="0" containsBlank="1" containsNumber="1">
        <n v="231359.16999999998"/>
        <m/>
        <n v="304051.84"/>
        <n v="188378.06"/>
        <n v="0.0"/>
      </sharedItems>
    </cacheField>
  </cacheFields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5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7.0"/>
        <n v="8.0"/>
        <n v="21.0"/>
        <n v="1.0"/>
        <n v="2.0"/>
        <n v="11.0"/>
        <n v="20.0"/>
        <n v="30.0"/>
        <n v="6.0"/>
        <n v="3.0"/>
        <n v="13.0"/>
        <n v="4.0"/>
        <n v="5.0"/>
        <n v="10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7.0"/>
        <n v="8.0"/>
        <n v="21.0"/>
        <n v="1.0"/>
        <n v="2.0"/>
        <n v="11.0"/>
        <n v="20.0"/>
        <n v="30.0"/>
        <n v="6.0"/>
        <n v="3.0"/>
        <n v="13.0"/>
        <n v="4.0"/>
        <n v="5.0"/>
        <n v="10.0"/>
      </sharedItems>
    </cacheField>
    <cacheField name="Total" numFmtId="164">
      <sharedItems containsSemiMixedTypes="0" containsString="0" containsNumber="1">
        <n v="0.0"/>
        <n v="24626.710000000003"/>
        <n v="74801.28"/>
        <n v="156349.19999999998"/>
        <n v="17260.0"/>
        <n v="30870.0"/>
        <n v="19151.0"/>
        <n v="3995.0"/>
        <n v="5920.0"/>
        <n v="4990.0"/>
        <n v="6240.0"/>
        <n v="21042.62"/>
        <n v="12796.31"/>
        <n v="8805.63"/>
        <n v="6013.63"/>
        <n v="11589.04"/>
        <n v="23340.0"/>
        <n v="18700.32"/>
        <n v="19980.32"/>
        <n v="44671.2"/>
        <n v="46305.0"/>
        <n v="9229.59"/>
        <n v="23100.32"/>
        <n v="1741.0"/>
        <n v="2875.0"/>
        <n v="470.0"/>
        <n v="3256.0"/>
        <n v="3243.5"/>
        <n v="2288.0"/>
        <n v="2446.08"/>
        <n v="43848.93"/>
        <n v="3748.21"/>
        <n v="5794.52"/>
        <n v="11670.0"/>
        <n v="37226.0"/>
        <n v="11550.16"/>
        <n v="27900.48"/>
        <n v="705.0"/>
        <n v="888.0"/>
        <n v="1497.0"/>
        <n v="2080.0"/>
        <n v="2064.84"/>
      </sharedItems>
    </cacheField>
    <cacheField name="Total HPP" numFmtId="164">
      <sharedItems containsString="0" containsBlank="1" containsNumber="1">
        <n v="378042.12"/>
        <m/>
        <n v="289163.56"/>
        <n v="111137.84"/>
        <n v="0.0"/>
      </sharedItems>
    </cacheField>
    <cacheField name="Uang Masuk" numFmtId="164">
      <sharedItems containsString="0" containsBlank="1" containsNumber="1" containsInteger="1">
        <n v="556397.0"/>
        <m/>
        <n v="546454.0"/>
        <n v="225967.0"/>
      </sharedItems>
    </cacheField>
    <cacheField name="Margin">
      <sharedItems containsBlank="1" containsMixedTypes="1" containsNumber="1">
        <n v="0.32055327401118267"/>
        <m/>
        <n v="0.4708364107500357"/>
        <n v="0.5081678298158581"/>
        <e v="#DIV/0!"/>
      </sharedItems>
    </cacheField>
    <cacheField name="Gross Profit" numFmtId="164">
      <sharedItems containsString="0" containsBlank="1" containsNumber="1">
        <n v="178354.88"/>
        <m/>
        <n v="257290.44"/>
        <n v="114829.16"/>
        <n v="0.0"/>
      </sharedItems>
    </cacheField>
  </cacheFields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4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13.0"/>
        <n v="3.0"/>
        <n v="11.0"/>
        <n v="2.0"/>
        <n v="7.0"/>
        <n v="10.0"/>
        <n v="14.0"/>
        <n v="18.0"/>
        <n v="26.0"/>
        <n v="4.0"/>
        <n v="6.0"/>
        <n v="17.0"/>
        <n v="28.0"/>
        <n v="12.0"/>
        <m/>
      </sharedItems>
    </cacheField>
    <cacheField name="Jumlah QR" numFmtId="0">
      <sharedItems containsString="0" containsBlank="1" containsNumber="1" containsInteger="1">
        <m/>
        <n v="0.0"/>
        <n v="3.0"/>
      </sharedItems>
    </cacheField>
    <cacheField name="Total Jumlah" numFmtId="1">
      <sharedItems containsSemiMixedTypes="0" containsString="0" containsNumber="1" containsInteger="1">
        <n v="0.0"/>
        <n v="1.0"/>
        <n v="13.0"/>
        <n v="3.0"/>
        <n v="11.0"/>
        <n v="2.0"/>
        <n v="7.0"/>
        <n v="10.0"/>
        <n v="14.0"/>
        <n v="18.0"/>
        <n v="26.0"/>
        <n v="4.0"/>
        <n v="6.0"/>
        <n v="17.0"/>
        <n v="28.0"/>
        <n v="12.0"/>
      </sharedItems>
    </cacheField>
    <cacheField name="Total" numFmtId="164">
      <sharedItems containsSemiMixedTypes="0" containsString="0" containsNumber="1">
        <n v="0.0"/>
        <n v="6013.63"/>
        <n v="18832.190000000002"/>
        <n v="35010.0"/>
        <n v="28050.48"/>
        <n v="81897.2"/>
        <n v="9229.59"/>
        <n v="18600.32"/>
        <n v="12187.0"/>
        <n v="2875.0"/>
        <n v="2350.0"/>
        <n v="4144.0"/>
        <n v="4491.0"/>
        <n v="5408.0"/>
        <n v="4129.68"/>
        <n v="42085.24"/>
        <n v="12796.31"/>
        <n v="14616.31"/>
        <n v="8805.63"/>
        <n v="7496.42"/>
        <n v="5794.52"/>
        <n v="19980.32"/>
        <n v="14890.4"/>
        <n v="14155.0"/>
        <n v="15435.0"/>
        <n v="18459.18"/>
        <n v="23100.32"/>
        <n v="9300.16"/>
        <n v="1741.0"/>
        <n v="2113.16"/>
        <n v="1410.0"/>
        <n v="5032.0"/>
        <n v="3243.5"/>
        <n v="5824.0"/>
        <n v="2446.08"/>
        <n v="8259.36"/>
        <n v="126255.72"/>
        <n v="25592.62"/>
        <n v="2897.26"/>
        <n v="470.0"/>
        <n v="416.0"/>
      </sharedItems>
    </cacheField>
    <cacheField name="Total HPP" numFmtId="164">
      <sharedItems containsString="0" containsBlank="1" containsNumber="1">
        <n v="302715.95"/>
        <m/>
        <n v="370889.81"/>
        <n v="34108.66"/>
        <n v="0.0"/>
      </sharedItems>
    </cacheField>
    <cacheField name="Uang Masuk" numFmtId="164">
      <sharedItems containsString="0" containsBlank="1" containsNumber="1" containsInteger="1">
        <n v="486744.0"/>
        <m/>
        <n v="664939.0"/>
        <n v="83328.0"/>
      </sharedItems>
    </cacheField>
    <cacheField name="Margin">
      <sharedItems containsBlank="1" containsMixedTypes="1" containsNumber="1">
        <n v="0.3780797503410417"/>
        <m/>
        <n v="0.4422197976054946"/>
        <n v="0.5906698828725038"/>
        <e v="#DIV/0!"/>
      </sharedItems>
    </cacheField>
    <cacheField name="Gross Profit" numFmtId="164">
      <sharedItems containsString="0" containsBlank="1" containsNumber="1">
        <n v="184028.05"/>
        <m/>
        <n v="294049.19"/>
        <n v="49219.34"/>
        <n v="0.0"/>
      </sharedItems>
    </cacheField>
  </cacheFields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3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3.0"/>
        <n v="13.0"/>
        <n v="8.0"/>
        <n v="5.0"/>
        <n v="16.0"/>
        <n v="10.0"/>
        <n v="19.0"/>
        <n v="22.0"/>
        <n v="30.0"/>
        <n v="6.0"/>
        <n v="9.0"/>
        <n v="2.0"/>
        <n v="11.0"/>
        <n v="21.0"/>
        <n v="4.0"/>
        <n v="7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3.0"/>
        <n v="13.0"/>
        <n v="8.0"/>
        <n v="5.0"/>
        <n v="16.0"/>
        <n v="10.0"/>
        <n v="19.0"/>
        <n v="22.0"/>
        <n v="30.0"/>
        <n v="6.0"/>
        <n v="9.0"/>
        <n v="2.0"/>
        <n v="11.0"/>
        <n v="21.0"/>
        <n v="4.0"/>
        <n v="7.0"/>
      </sharedItems>
    </cacheField>
    <cacheField name="Total" numFmtId="164">
      <sharedItems containsSemiMixedTypes="0" containsString="0" containsNumber="1">
        <n v="0.0"/>
        <n v="6013.63"/>
        <n v="11244.630000000001"/>
        <n v="18832.190000000002"/>
        <n v="93360.0"/>
        <n v="46750.8"/>
        <n v="119123.2"/>
        <n v="14155.0"/>
        <n v="15435.0"/>
        <n v="9300.16"/>
        <n v="13928.0"/>
        <n v="2875.0"/>
        <n v="2350.0"/>
        <n v="5624.0"/>
        <n v="5489.0"/>
        <n v="6240.0"/>
        <n v="6194.52"/>
        <n v="10521.31"/>
        <n v="7131.43"/>
        <n v="3748.21"/>
        <n v="8691.78"/>
        <n v="11670.0"/>
        <n v="28050.48"/>
        <n v="67006.8"/>
        <n v="23100.32"/>
        <n v="18600.32"/>
        <n v="8705.0"/>
        <n v="3256.0"/>
        <n v="2495.0"/>
        <n v="4368.0"/>
        <n v="2064.84"/>
        <n v="42085.24"/>
        <n v="43848.93"/>
        <n v="2897.26"/>
        <n v="19980.32"/>
        <n v="14890.4"/>
        <n v="235.0"/>
        <n v="296.0"/>
        <n v="748.5"/>
        <n v="1456.0"/>
      </sharedItems>
    </cacheField>
    <cacheField name="Total HPP" numFmtId="164">
      <sharedItems containsString="0" containsBlank="1" containsNumber="1">
        <n v="387436.44"/>
        <m/>
        <n v="283185.98000000004"/>
        <n v="72302.17"/>
        <n v="0.0"/>
      </sharedItems>
    </cacheField>
    <cacheField name="Uang Masuk" numFmtId="164">
      <sharedItems containsString="0" containsBlank="1" containsNumber="1" containsInteger="1">
        <n v="632655.0"/>
        <m/>
        <n v="474916.0"/>
        <n v="143310.0"/>
        <n v="0.0"/>
      </sharedItems>
    </cacheField>
    <cacheField name="Margin">
      <sharedItems containsBlank="1" containsMixedTypes="1" containsNumber="1">
        <n v="0.38760234250895037"/>
        <m/>
        <n v="0.40371354092092065"/>
        <n v="0.49548412532272695"/>
        <e v="#DIV/0!"/>
      </sharedItems>
    </cacheField>
    <cacheField name="Gross Profit" numFmtId="164">
      <sharedItems containsString="0" containsBlank="1" containsNumber="1">
        <n v="245218.56"/>
        <m/>
        <n v="191730.01999999996"/>
        <n v="71007.83"/>
        <n v="0.0"/>
      </sharedItems>
    </cacheField>
  </cacheFields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2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9.0"/>
        <n v="2.0"/>
        <n v="11.0"/>
        <n v="6.0"/>
        <n v="7.0"/>
        <n v="14.0"/>
        <n v="4.0"/>
        <n v="3.0"/>
        <n v="8.0"/>
        <n v="17.0"/>
        <n v="25.0"/>
        <n v="26.0"/>
        <n v="5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9.0"/>
        <n v="2.0"/>
        <n v="11.0"/>
        <n v="6.0"/>
        <n v="7.0"/>
        <n v="14.0"/>
        <n v="4.0"/>
        <n v="3.0"/>
        <n v="8.0"/>
        <n v="17.0"/>
        <n v="25.0"/>
        <n v="26.0"/>
        <n v="5.0"/>
      </sharedItems>
    </cacheField>
    <cacheField name="Total" numFmtId="164">
      <sharedItems containsSemiMixedTypes="0" containsString="0" containsNumber="1">
        <n v="0.0"/>
        <n v="7131.43"/>
        <n v="13037.670000000002"/>
        <n v="23340.0"/>
        <n v="18700.32"/>
        <n v="81897.2"/>
        <n v="14155.0"/>
        <n v="11550.16"/>
        <n v="5750.0"/>
        <n v="1410.0"/>
        <n v="3256.0"/>
        <n v="1746.5"/>
        <n v="2912.0"/>
        <n v="2064.84"/>
        <n v="13871.0"/>
        <n v="21042.62"/>
        <n v="7496.42"/>
        <n v="20280.82"/>
        <n v="11670.0"/>
        <n v="104232.8"/>
        <n v="69040.0"/>
        <n v="61740.0"/>
        <n v="27900.48"/>
        <n v="1741.0"/>
        <n v="8452.64"/>
        <n v="1880.0"/>
        <n v="5032.0"/>
        <n v="6237.5"/>
        <n v="5408.0"/>
        <n v="27742.0"/>
        <n v="21394.29"/>
        <n v="4345.89"/>
        <n v="14890.4"/>
        <n v="28310.0"/>
        <n v="18459.18"/>
        <n v="23100.32"/>
        <n v="18600.32"/>
        <n v="2200.0"/>
        <n v="2113.16"/>
        <n v="1175.0"/>
        <n v="1776.0"/>
        <n v="748.5"/>
        <n v="2288.0"/>
      </sharedItems>
    </cacheField>
    <cacheField name="Total HPP" numFmtId="164">
      <sharedItems containsString="0" containsBlank="1" containsNumber="1">
        <n v="221864.74"/>
        <m/>
        <n v="391708.98"/>
        <n v="175778.22"/>
        <n v="0.0"/>
      </sharedItems>
    </cacheField>
    <cacheField name="Uang Masuk" numFmtId="164">
      <sharedItems containsString="0" containsBlank="1" containsNumber="1" containsInteger="1">
        <n v="357319.0"/>
        <m/>
        <n v="699099.0"/>
        <n v="373163.0"/>
      </sharedItems>
    </cacheField>
    <cacheField name="Margin">
      <sharedItems containsBlank="1" containsMixedTypes="1" containsNumber="1">
        <n v="0.37908496329610236"/>
        <m/>
        <n v="0.4396945496989697"/>
        <n v="0.528950565838521"/>
        <e v="#DIV/0!"/>
      </sharedItems>
    </cacheField>
    <cacheField name="Gross Profit" numFmtId="164">
      <sharedItems containsString="0" containsBlank="1" containsNumber="1">
        <n v="135454.26"/>
        <m/>
        <n v="307390.02"/>
        <n v="197384.78"/>
        <n v="0.0"/>
      </sharedItems>
    </cacheField>
  </cacheFields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0106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1.0"/>
        <n v="0.0"/>
        <n v="11.0"/>
        <n v="4.0"/>
        <n v="18.0"/>
        <n v="3.0"/>
        <n v="5.0"/>
        <n v="20.0"/>
        <n v="23.0"/>
        <n v="22.0"/>
        <n v="27.0"/>
        <n v="2.0"/>
        <n v="8.0"/>
        <n v="14.0"/>
        <n v="10.0"/>
        <n v="17.0"/>
        <m/>
      </sharedItems>
    </cacheField>
    <cacheField name="Jumlah QR" numFmtId="0">
      <sharedItems containsString="0" containsBlank="1" containsNumber="1" containsInteger="1">
        <m/>
        <n v="0.0"/>
        <n v="1.0"/>
      </sharedItems>
    </cacheField>
    <cacheField name="Total Jumlah" numFmtId="1">
      <sharedItems containsSemiMixedTypes="0" containsString="0" containsNumber="1" containsInteger="1">
        <n v="1.0"/>
        <n v="0.0"/>
        <n v="11.0"/>
        <n v="4.0"/>
        <n v="18.0"/>
        <n v="3.0"/>
        <n v="5.0"/>
        <n v="20.0"/>
        <n v="23.0"/>
        <n v="22.0"/>
        <n v="27.0"/>
        <n v="2.0"/>
        <n v="8.0"/>
        <n v="14.0"/>
        <n v="10.0"/>
        <n v="17.0"/>
      </sharedItems>
    </cacheField>
    <cacheField name="Total" numFmtId="164">
      <sharedItems containsSemiMixedTypes="0" containsString="0" containsNumber="1">
        <n v="8805.63"/>
        <n v="0.0"/>
        <n v="6013.63"/>
        <n v="3748.21"/>
        <n v="15934.93"/>
        <n v="46680.0"/>
        <n v="9350.16"/>
        <n v="39960.64"/>
        <n v="134013.6"/>
        <n v="36918.36"/>
        <n v="27900.48"/>
        <n v="8705.0"/>
        <n v="2875.0"/>
        <n v="4700.0"/>
        <n v="6808.0"/>
        <n v="5489.0"/>
        <n v="5616.0"/>
        <n v="2446.08"/>
        <n v="2064.84"/>
        <n v="42085.24"/>
        <n v="12796.31"/>
        <n v="14616.31"/>
        <n v="7496.42"/>
        <n v="11589.04"/>
        <n v="11670.0"/>
        <n v="28050.48"/>
        <n v="19980.32"/>
        <n v="81897.2"/>
        <n v="17260.0"/>
        <n v="14155.0"/>
        <n v="1741.0"/>
        <n v="2113.16"/>
        <n v="3290.0"/>
        <n v="2960.0"/>
        <n v="1247.5"/>
        <n v="3536.0"/>
        <n v="10324.2"/>
        <n v="25592.62"/>
        <n v="7243.150000000001"/>
        <n v="35010.0"/>
        <n v="14890.4"/>
        <n v="3482.0"/>
        <n v="470.0"/>
        <n v="748.5"/>
        <n v="624.0"/>
        <n v="4129.68"/>
      </sharedItems>
    </cacheField>
    <cacheField name="Total HPP" numFmtId="164">
      <sharedItems containsString="0" containsBlank="1" containsNumber="1">
        <n v="437527.42"/>
        <m/>
        <n v="291001.81"/>
        <n v="66597.73000000001"/>
        <n v="0.0"/>
      </sharedItems>
    </cacheField>
    <cacheField name="Uang Masuk" numFmtId="164">
      <sharedItems containsString="0" containsBlank="1" containsNumber="1" containsInteger="1">
        <n v="753719.0"/>
        <m/>
        <n v="379060.0"/>
        <n v="131400.0"/>
      </sharedItems>
    </cacheField>
    <cacheField name="Margin">
      <sharedItems containsBlank="1" containsMixedTypes="1" containsNumber="1">
        <n v="0.4195085701700501"/>
        <m/>
        <n v="0.23230673244341266"/>
        <n v="0.4931679604261795"/>
        <e v="#DIV/0!"/>
      </sharedItems>
    </cacheField>
    <cacheField name="Gross Profit" numFmtId="164">
      <sharedItems containsString="0" containsBlank="1" containsNumber="1">
        <n v="316191.58"/>
        <m/>
        <n v="88058.19"/>
        <n v="64802.26999999999"/>
        <n v="0.0"/>
      </sharedItems>
    </cacheField>
  </cacheFields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3105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1.0"/>
        <n v="0.0"/>
        <n v="16.0"/>
        <n v="3.0"/>
        <n v="8.0"/>
        <n v="10.0"/>
        <n v="4.0"/>
        <n v="9.0"/>
        <n v="13.0"/>
        <n v="25.0"/>
        <n v="2.0"/>
        <n v="12.0"/>
        <n v="7.0"/>
        <n v="21.0"/>
        <n v="6.0"/>
        <m/>
      </sharedItems>
    </cacheField>
    <cacheField name="Jumlah QR" numFmtId="0">
      <sharedItems containsString="0" containsBlank="1" containsNumber="1" containsInteger="1">
        <m/>
        <n v="0.0"/>
        <n v="1.0"/>
        <n v="3.0"/>
        <n v="2.0"/>
      </sharedItems>
    </cacheField>
    <cacheField name="Total Jumlah" numFmtId="1">
      <sharedItems containsSemiMixedTypes="0" containsString="0" containsNumber="1" containsInteger="1">
        <n v="1.0"/>
        <n v="0.0"/>
        <n v="16.0"/>
        <n v="3.0"/>
        <n v="8.0"/>
        <n v="10.0"/>
        <n v="4.0"/>
        <n v="9.0"/>
        <n v="13.0"/>
        <n v="25.0"/>
        <n v="2.0"/>
        <n v="12.0"/>
        <n v="11.0"/>
        <n v="24.0"/>
        <n v="6.0"/>
      </sharedItems>
    </cacheField>
    <cacheField name="Total" numFmtId="164">
      <sharedItems containsSemiMixedTypes="0" containsString="0" containsNumber="1">
        <n v="8805.63"/>
        <n v="0.0"/>
        <n v="3748.21"/>
        <n v="23178.08"/>
        <n v="35010.0"/>
        <n v="74801.28"/>
        <n v="74452.0"/>
        <n v="14155.0"/>
        <n v="9229.59"/>
        <n v="11550.16"/>
        <n v="9300.16"/>
        <n v="6964.0"/>
        <n v="2115.0"/>
        <n v="3848.0"/>
        <n v="3243.5"/>
        <n v="5200.0"/>
        <n v="6194.52"/>
        <n v="21042.62"/>
        <n v="14616.31"/>
        <n v="17383.56"/>
        <n v="37400.64"/>
        <n v="9990.16"/>
        <n v="81897.2"/>
        <n v="17260.0"/>
        <n v="27688.77"/>
        <n v="37200.64"/>
        <n v="3482.0"/>
        <n v="4400.0"/>
        <n v="11500.0"/>
        <n v="2113.16"/>
        <n v="2350.0"/>
        <n v="2664.0"/>
        <n v="2495.0"/>
        <n v="4992.0"/>
        <n v="2446.08"/>
        <n v="4095.0"/>
        <n v="5794.52"/>
        <n v="11670.0"/>
        <n v="29780.8"/>
        <n v="705.0"/>
        <n v="1184.0"/>
        <n v="998.0"/>
        <n v="1248.0"/>
      </sharedItems>
    </cacheField>
    <cacheField name="Total HPP" numFmtId="164">
      <sharedItems containsString="0" containsBlank="1" containsNumber="1">
        <n v="327454.06"/>
        <m/>
        <n v="336887.73"/>
        <n v="62930.479999999996"/>
        <n v="0.0"/>
      </sharedItems>
    </cacheField>
    <cacheField name="Uang Masuk" numFmtId="164">
      <sharedItems containsString="0" containsBlank="1" containsNumber="1" containsInteger="1">
        <n v="518916.0"/>
        <m/>
        <n v="566241.0"/>
        <n v="117897.0"/>
      </sharedItems>
    </cacheField>
    <cacheField name="Margin">
      <sharedItems containsBlank="1" containsMixedTypes="1" containsNumber="1">
        <n v="0.3689651889708546"/>
        <m/>
        <n v="0.40504532522371217"/>
        <n v="0.46622492514652625"/>
        <e v="#DIV/0!"/>
      </sharedItems>
    </cacheField>
    <cacheField name="Gross Profit" numFmtId="164">
      <sharedItems containsString="0" containsBlank="1" containsNumber="1">
        <n v="191461.94"/>
        <m/>
        <n v="229353.27000000002"/>
        <n v="54966.520000000004"/>
        <n v="0.0"/>
      </sharedItems>
    </cacheField>
  </cacheFields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3005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4.0"/>
        <n v="1.0"/>
        <n v="2.0"/>
        <n v="3.0"/>
        <n v="7.0"/>
        <n v="6.0"/>
        <n v="5.0"/>
        <n v="8.0"/>
        <n v="14.0"/>
        <n v="13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4.0"/>
        <n v="1.0"/>
        <n v="2.0"/>
        <n v="3.0"/>
        <n v="7.0"/>
        <n v="6.0"/>
        <n v="5.0"/>
        <n v="8.0"/>
        <n v="14.0"/>
        <n v="13.0"/>
      </sharedItems>
    </cacheField>
    <cacheField name="Total" numFmtId="164">
      <sharedItems containsSemiMixedTypes="0" containsString="0" containsNumber="1">
        <n v="0.0"/>
        <n v="5794.52"/>
        <n v="37400.64"/>
        <n v="9990.16"/>
        <n v="14890.4"/>
        <n v="3482.0"/>
        <n v="705.0"/>
        <n v="1184.0"/>
        <n v="1746.5"/>
        <n v="1248.0"/>
        <n v="6194.52"/>
        <n v="13871.0"/>
        <n v="12027.26"/>
        <n v="7131.43"/>
        <n v="8691.78"/>
        <n v="35010.0"/>
        <n v="9350.16"/>
        <n v="19980.32"/>
        <n v="29780.8"/>
        <n v="17260.0"/>
        <n v="30870.0"/>
        <n v="11550.16"/>
        <n v="18600.32"/>
        <n v="1741.0"/>
        <n v="2200.0"/>
        <n v="2875.0"/>
        <n v="1175.0"/>
        <n v="2368.0"/>
        <n v="3493.0"/>
        <n v="2704.0"/>
        <n v="2064.84"/>
        <n v="31563.93"/>
        <n v="14616.31"/>
        <n v="11589.04"/>
        <n v="23340.0"/>
        <n v="18459.18"/>
        <n v="5750.0"/>
        <n v="2113.16"/>
        <n v="940.0"/>
        <n v="592.0"/>
        <n v="499.0"/>
        <n v="4129.68"/>
      </sharedItems>
    </cacheField>
    <cacheField name="Total HPP" numFmtId="164">
      <sharedItems containsString="0" containsBlank="1" containsNumber="1">
        <n v="96506.74"/>
        <m/>
        <n v="265053.31"/>
        <n v="134033.18"/>
        <n v="0.0"/>
      </sharedItems>
    </cacheField>
    <cacheField name="Uang Masuk" numFmtId="164">
      <sharedItems containsString="0" containsBlank="1" containsNumber="1" containsInteger="1">
        <n v="87537.0"/>
        <m/>
        <n v="432112.0"/>
        <n v="269239.0"/>
      </sharedItems>
    </cacheField>
    <cacheField name="Margin">
      <sharedItems containsBlank="1" containsMixedTypes="1" containsNumber="1">
        <n v="-0.10246798496635715"/>
        <m/>
        <n v="0.38660969841152293"/>
        <n v="0.502177693424801"/>
        <e v="#DIV/0!"/>
      </sharedItems>
    </cacheField>
    <cacheField name="Gross Profit" numFmtId="164">
      <sharedItems containsString="0" containsBlank="1" containsNumber="1">
        <n v="-8969.740000000005"/>
        <m/>
        <n v="167058.69"/>
        <n v="135205.82"/>
        <n v="0.0"/>
      </sharedItems>
    </cacheField>
  </cacheFields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2905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2.0"/>
        <n v="6.0"/>
        <n v="1.0"/>
        <n v="5.0"/>
        <n v="4.0"/>
        <n v="8.0"/>
        <n v="10.0"/>
        <n v="11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2.0"/>
        <n v="6.0"/>
        <n v="1.0"/>
        <n v="5.0"/>
        <n v="4.0"/>
        <n v="8.0"/>
        <n v="10.0"/>
        <n v="11.0"/>
      </sharedItems>
    </cacheField>
    <cacheField name="Total" numFmtId="164">
      <sharedItems containsSemiMixedTypes="0" containsString="0" containsNumber="1">
        <n v="0.0"/>
        <n v="7496.42"/>
        <n v="8691.78"/>
        <n v="11670.0"/>
        <n v="46750.8"/>
        <n v="9990.16"/>
        <n v="14890.4"/>
        <n v="18459.18"/>
        <n v="11550.16"/>
        <n v="9300.16"/>
        <n v="6964.0"/>
        <n v="2875.0"/>
        <n v="470.0"/>
        <n v="1480.0"/>
        <n v="998.0"/>
        <n v="1664.0"/>
        <n v="2064.84"/>
        <n v="21042.62"/>
        <n v="6013.63"/>
        <n v="14486.300000000001"/>
        <n v="23340.0"/>
        <n v="9350.16"/>
        <n v="19980.32"/>
        <n v="59561.6"/>
        <n v="17260.0"/>
        <n v="28310.0"/>
        <n v="15435.0"/>
        <n v="1741.0"/>
        <n v="2585.0"/>
        <n v="2368.0"/>
        <n v="1497.0"/>
        <n v="2288.0"/>
        <n v="2897.26"/>
        <n v="4129.68"/>
      </sharedItems>
    </cacheField>
    <cacheField name="Total HPP" numFmtId="164">
      <sharedItems containsString="0" containsBlank="1" containsNumber="1">
        <n v="176357.52"/>
        <m/>
        <n v="204216.01"/>
        <n v="21917.34"/>
        <n v="0.0"/>
      </sharedItems>
    </cacheField>
    <cacheField name="Uang Masuk" numFmtId="164">
      <sharedItems containsString="0" containsBlank="1" containsNumber="1" containsInteger="1">
        <n v="329133.0"/>
        <m/>
        <n v="357846.0"/>
        <n v="47951.0"/>
      </sharedItems>
    </cacheField>
    <cacheField name="Margin">
      <sharedItems containsBlank="1" containsMixedTypes="1" containsNumber="1">
        <n v="0.4641755156729954"/>
        <m/>
        <n v="0.42931872928578213"/>
        <n v="0.5429221496944798"/>
        <e v="#DIV/0!"/>
      </sharedItems>
    </cacheField>
    <cacheField name="Gross Profit" numFmtId="164">
      <sharedItems containsString="0" containsBlank="1" containsNumber="1">
        <n v="152775.48"/>
        <m/>
        <n v="153629.99"/>
        <n v="26033.66"/>
        <n v="0.0"/>
      </sharedItems>
    </cacheField>
  </cacheFields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5" sheet="2805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tring="0" containsBlank="1" containsNumber="1" containsInteger="1">
        <n v="0.0"/>
        <n v="1.0"/>
        <n v="8.0"/>
        <n v="3.0"/>
        <n v="2.0"/>
        <n v="7.0"/>
        <n v="5.0"/>
        <n v="9.0"/>
        <n v="15.0"/>
        <n v="22.0"/>
        <n v="4.0"/>
        <n v="6.0"/>
        <n v="13.0"/>
        <n v="14.0"/>
        <m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8.0"/>
        <n v="3.0"/>
        <n v="2.0"/>
        <n v="7.0"/>
        <n v="5.0"/>
        <n v="9.0"/>
        <n v="15.0"/>
        <n v="22.0"/>
        <n v="4.0"/>
        <n v="6.0"/>
        <n v="13.0"/>
        <n v="14.0"/>
      </sharedItems>
    </cacheField>
    <cacheField name="Total" numFmtId="164">
      <sharedItems containsSemiMixedTypes="0" containsString="0" containsNumber="1">
        <n v="0.0"/>
        <n v="8150.63"/>
        <n v="3748.21"/>
        <n v="11589.04"/>
        <n v="35010.0"/>
        <n v="28050.48"/>
        <n v="19980.32"/>
        <n v="59561.6"/>
        <n v="27900.48"/>
        <n v="12187.0"/>
        <n v="2875.0"/>
        <n v="1175.0"/>
        <n v="2664.0"/>
        <n v="3742.5"/>
        <n v="4576.0"/>
        <n v="21042.62"/>
        <n v="12796.31"/>
        <n v="29232.62"/>
        <n v="12027.26"/>
        <n v="58350.0"/>
        <n v="39960.64"/>
        <n v="44671.2"/>
        <n v="14155.0"/>
        <n v="11550.16"/>
        <n v="5223.0"/>
        <n v="2200.0"/>
        <n v="1410.0"/>
        <n v="3848.0"/>
        <n v="3243.5"/>
        <n v="2912.0"/>
        <n v="27742.0"/>
        <n v="10521.31"/>
        <n v="5794.52"/>
        <n v="14890.4"/>
        <n v="56620.0"/>
        <n v="940.0"/>
        <n v="1480.0"/>
        <n v="1247.5"/>
        <n v="1040.0"/>
      </sharedItems>
    </cacheField>
    <cacheField name="Total HPP" numFmtId="164">
      <sharedItems containsString="0" containsBlank="1" containsNumber="1">
        <n v="284281.81"/>
        <m/>
        <n v="283926.8"/>
        <n v="113542.9"/>
        <n v="0.0"/>
      </sharedItems>
    </cacheField>
    <cacheField name="Uang Masuk" numFmtId="164">
      <sharedItems containsString="0" containsBlank="1" containsNumber="1" containsInteger="1">
        <n v="508157.0"/>
        <m/>
        <n v="411591.0"/>
        <n v="226391.0"/>
      </sharedItems>
    </cacheField>
    <cacheField name="Margin">
      <sharedItems containsBlank="1" containsMixedTypes="1" containsNumber="1">
        <n v="0.44056303465267627"/>
        <m/>
        <n v="0.3101724770463883"/>
        <n v="0.4984654867022099"/>
        <e v="#DIV/0!"/>
      </sharedItems>
    </cacheField>
    <cacheField name="Gross Profit" numFmtId="164">
      <sharedItems containsString="0" containsBlank="1" containsNumber="1">
        <n v="223875.19"/>
        <m/>
        <n v="127664.20000000001"/>
        <n v="112848.1"/>
        <n v="0.0"/>
      </sharedItems>
    </cacheField>
  </cacheFields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94" sheet="26052026"/>
  </cacheSource>
  <cacheFields>
    <cacheField name="Tanggal" numFmtId="0">
      <sharedItems containsString="0" containsBlank="1">
        <m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HPP" numFmtId="164">
      <sharedItems containsSemiMixedTypes="0" containsString="0" containsNumber="1">
        <n v="8805.63"/>
        <n v="8150.63"/>
        <n v="6013.63"/>
        <n v="7131.43"/>
        <n v="3748.21"/>
        <n v="1448.63"/>
        <n v="11670.0"/>
        <n v="9350.16"/>
        <n v="9990.16"/>
        <n v="7445.2"/>
        <n v="17260.0"/>
        <n v="14155.0"/>
        <n v="15435.0"/>
        <n v="9229.59"/>
        <n v="11550.16"/>
        <n v="9300.16"/>
        <n v="1741.0"/>
        <n v="2200.0"/>
        <n v="2875.0"/>
        <n v="2113.16"/>
        <n v="235.0"/>
        <n v="296.0"/>
        <n v="249.5"/>
        <n v="208.0"/>
        <n v="2446.08"/>
        <n v="4095.0"/>
        <n v="2064.84"/>
        <n v="13871.0"/>
        <n v="10521.31"/>
        <n v="12796.31"/>
        <n v="14616.31"/>
      </sharedItems>
    </cacheField>
    <cacheField name="Jumlah" numFmtId="1">
      <sharedItems containsSemiMixedTypes="0" containsString="0" containsNumber="1" containsInteger="1">
        <n v="0.0"/>
        <n v="1.0"/>
        <n v="14.0"/>
        <n v="4.0"/>
        <n v="12.0"/>
        <n v="2.0"/>
        <n v="11.0"/>
        <n v="13.0"/>
        <n v="16.0"/>
        <n v="25.0"/>
        <n v="10.0"/>
        <n v="5.0"/>
        <n v="3.0"/>
        <n v="15.0"/>
        <n v="18.0"/>
        <n v="21.0"/>
        <n v="8.0"/>
      </sharedItems>
    </cacheField>
    <cacheField name="Jumlah QR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14.0"/>
        <n v="4.0"/>
        <n v="12.0"/>
        <n v="2.0"/>
        <n v="11.0"/>
        <n v="13.0"/>
        <n v="16.0"/>
        <n v="25.0"/>
        <n v="10.0"/>
        <n v="5.0"/>
        <n v="3.0"/>
        <n v="15.0"/>
        <n v="18.0"/>
        <n v="21.0"/>
        <n v="8.0"/>
      </sharedItems>
    </cacheField>
    <cacheField name="Total" numFmtId="164">
      <sharedItems containsSemiMixedTypes="0" containsString="0" containsNumber="1">
        <n v="0.0"/>
        <n v="6013.63"/>
        <n v="3748.21"/>
        <n v="20280.82"/>
        <n v="11670.0"/>
        <n v="37400.64"/>
        <n v="9990.16"/>
        <n v="89342.4"/>
        <n v="9229.59"/>
        <n v="18600.32"/>
        <n v="3482.0"/>
        <n v="2875.0"/>
        <n v="2585.0"/>
        <n v="3848.0"/>
        <n v="3992.0"/>
        <n v="5200.0"/>
        <n v="21042.62"/>
        <n v="29232.62"/>
        <n v="17611.26"/>
        <n v="14262.86"/>
        <n v="7496.42"/>
        <n v="14486.300000000001"/>
        <n v="19980.32"/>
        <n v="74452.0"/>
        <n v="86300.0"/>
        <n v="28310.0"/>
        <n v="61740.0"/>
        <n v="11550.16"/>
        <n v="5223.0"/>
        <n v="2200.0"/>
        <n v="3525.0"/>
        <n v="4440.0"/>
        <n v="4491.0"/>
        <n v="4368.0"/>
        <n v="2446.08"/>
        <n v="13871.0"/>
        <n v="10521.31"/>
        <n v="12796.31"/>
        <n v="14616.31"/>
        <n v="5794.52"/>
        <n v="23340.0"/>
        <n v="18459.18"/>
        <n v="705.0"/>
        <n v="592.0"/>
        <n v="499.0"/>
        <n v="1664.0"/>
        <n v="2064.84"/>
      </sharedItems>
    </cacheField>
    <cacheField name="Total HPP" numFmtId="164">
      <sharedItems containsString="0" containsBlank="1" containsNumber="1">
        <n v="278533.01"/>
        <m/>
        <n v="441600.55000000005"/>
        <n v="104269.34"/>
      </sharedItems>
    </cacheField>
    <cacheField name="Uang Masuk" numFmtId="164">
      <sharedItems containsString="0" containsBlank="1" containsNumber="1" containsInteger="1">
        <n v="415444.0"/>
        <m/>
        <n v="817214.0"/>
        <n v="228704.0"/>
      </sharedItems>
    </cacheField>
    <cacheField name="Margin" numFmtId="10">
      <sharedItems containsString="0" containsBlank="1" containsNumber="1">
        <n v="0.3295534175484542"/>
        <m/>
        <n v="0.45962679298200954"/>
        <n v="0.5440860675808031"/>
      </sharedItems>
    </cacheField>
    <cacheField name="Gross Profit" numFmtId="164">
      <sharedItems containsString="0" containsBlank="1" containsNumber="1">
        <n v="136910.99"/>
        <m/>
        <n v="375613.44999999995"/>
        <n v="124434.66"/>
      </sharedItems>
    </cacheField>
  </cacheFields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962" sheet="SHOPEE"/>
  </cacheSource>
  <cacheFields>
    <cacheField name="Tanggal" numFmtId="165">
      <sharedItems containsDate="1" containsString="0" containsBlank="1">
        <d v="2026-05-26T00:00:00Z"/>
        <m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Jumlah" numFmtId="1">
      <sharedItems containsString="0" containsBlank="1" containsNumber="1" containsInteger="1">
        <n v="0.0"/>
        <n v="1.0"/>
        <n v="14.0"/>
        <n v="4.0"/>
        <n v="12.0"/>
        <n v="2.0"/>
        <n v="11.0"/>
        <n v="13.0"/>
        <n v="16.0"/>
        <n v="25.0"/>
        <m/>
        <n v="8.0"/>
        <n v="3.0"/>
        <n v="7.0"/>
        <n v="5.0"/>
        <n v="9.0"/>
        <n v="15.0"/>
        <n v="22.0"/>
        <n v="6.0"/>
        <n v="10.0"/>
        <n v="18.0"/>
        <n v="20.0"/>
        <n v="23.0"/>
        <n v="27.0"/>
        <n v="19.0"/>
        <n v="30.0"/>
        <n v="26.0"/>
        <n v="17.0"/>
        <n v="21.0"/>
        <n v="31.0"/>
        <n v="24.0"/>
        <n v="29.0"/>
        <n v="40.0"/>
        <n v="28.0"/>
        <n v="51.0"/>
        <n v="39.0"/>
        <n v="35.0"/>
        <n v="66.0"/>
        <n v="44.0"/>
        <n v="37.0"/>
        <n v="54.0"/>
        <n v="56.0"/>
        <n v="38.0"/>
        <n v="34.0"/>
        <n v="50.0"/>
        <n v="52.0"/>
        <n v="33.0"/>
        <n v="32.0"/>
        <n v="53.0"/>
      </sharedItems>
    </cacheField>
    <cacheField name="Jumlah Offline Q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1.0"/>
        <n v="14.0"/>
        <n v="4.0"/>
        <n v="12.0"/>
        <n v="2.0"/>
        <n v="11.0"/>
        <n v="13.0"/>
        <n v="16.0"/>
        <n v="25.0"/>
        <n v="8.0"/>
        <n v="3.0"/>
        <n v="7.0"/>
        <n v="5.0"/>
        <n v="9.0"/>
        <n v="15.0"/>
        <n v="22.0"/>
        <n v="6.0"/>
        <n v="10.0"/>
        <n v="18.0"/>
        <n v="20.0"/>
        <n v="23.0"/>
        <n v="27.0"/>
        <n v="19.0"/>
        <n v="30.0"/>
        <n v="26.0"/>
        <n v="17.0"/>
        <n v="21.0"/>
        <n v="31.0"/>
        <n v="24.0"/>
        <n v="29.0"/>
        <n v="40.0"/>
        <n v="28.0"/>
        <n v="51.0"/>
        <n v="39.0"/>
        <n v="35.0"/>
        <n v="66.0"/>
        <n v="44.0"/>
        <n v="37.0"/>
        <n v="54.0"/>
        <n v="56.0"/>
        <n v="38.0"/>
        <n v="34.0"/>
        <n v="50.0"/>
        <n v="52.0"/>
        <n v="33.0"/>
        <n v="32.0"/>
        <n v="53.0"/>
      </sharedItems>
    </cacheField>
  </cacheFields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61" sheet="OFFLINE"/>
  </cacheSource>
  <cacheFields>
    <cacheField name="Tanggal" numFmtId="165">
      <sharedItems containsDate="1" containsString="0" containsBlank="1">
        <d v="2026-05-26T00:00:00Z"/>
        <m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Jumlah" numFmtId="0">
      <sharedItems containsString="0" containsBlank="1" containsNumber="1" containsInteger="1">
        <m/>
        <n v="10.0"/>
        <n v="20.0"/>
      </sharedItems>
    </cacheField>
    <cacheField name="Total Jumlah" numFmtId="1">
      <sharedItems containsSemiMixedTypes="0" containsString="0" containsNumber="1" containsInteger="1">
        <n v="0.0"/>
        <n v="10.0"/>
        <n v="20.0"/>
      </sharedItems>
    </cacheField>
  </cacheFields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961" sheet="GRAB"/>
  </cacheSource>
  <cacheFields>
    <cacheField name="Tanggal" numFmtId="165">
      <sharedItems containsDate="1" containsString="0" containsBlank="1">
        <d v="2026-05-26T00:00:00Z"/>
        <m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Jumlah" numFmtId="1">
      <sharedItems containsString="0" containsBlank="1" containsNumber="1" containsInteger="1">
        <n v="2.0"/>
        <n v="1.0"/>
        <n v="10.0"/>
        <n v="0.0"/>
        <n v="5.0"/>
        <n v="4.0"/>
        <n v="3.0"/>
        <n v="15.0"/>
        <n v="18.0"/>
        <n v="21.0"/>
        <m/>
        <n v="8.0"/>
        <n v="6.0"/>
        <n v="13.0"/>
        <n v="14.0"/>
        <n v="11.0"/>
        <n v="12.0"/>
        <n v="7.0"/>
        <n v="17.0"/>
        <n v="25.0"/>
        <n v="26.0"/>
        <n v="9.0"/>
        <n v="28.0"/>
        <n v="16.0"/>
        <n v="23.0"/>
        <n v="20.0"/>
        <n v="19.0"/>
        <n v="24.0"/>
        <n v="22.0"/>
        <n v="46.0"/>
        <n v="45.0"/>
        <n v="48.0"/>
        <n v="51.0"/>
        <n v="30.0"/>
        <n v="32.0"/>
      </sharedItems>
    </cacheField>
    <cacheField name="Jumlah Offline Q" numFmtId="0">
      <sharedItems containsString="0" containsBlank="1" containsNumber="1" containsInteger="1">
        <m/>
        <n v="0.0"/>
        <n v="1.0"/>
        <n v="3.0"/>
        <n v="2.0"/>
        <n v="4.0"/>
      </sharedItems>
    </cacheField>
    <cacheField name="Total Jumlah" numFmtId="1">
      <sharedItems containsSemiMixedTypes="0" containsString="0" containsNumber="1" containsInteger="1">
        <n v="2.0"/>
        <n v="1.0"/>
        <n v="10.0"/>
        <n v="0.0"/>
        <n v="5.0"/>
        <n v="4.0"/>
        <n v="3.0"/>
        <n v="15.0"/>
        <n v="18.0"/>
        <n v="21.0"/>
        <n v="8.0"/>
        <n v="6.0"/>
        <n v="13.0"/>
        <n v="14.0"/>
        <n v="11.0"/>
        <n v="12.0"/>
        <n v="9.0"/>
        <n v="24.0"/>
        <n v="17.0"/>
        <n v="25.0"/>
        <n v="26.0"/>
        <n v="28.0"/>
        <n v="16.0"/>
        <n v="23.0"/>
        <n v="7.0"/>
        <n v="20.0"/>
        <n v="19.0"/>
        <n v="22.0"/>
        <n v="46.0"/>
        <n v="45.0"/>
        <n v="48.0"/>
        <n v="51.0"/>
        <n v="30.0"/>
        <n v="32.0"/>
      </sharedItems>
    </cacheField>
  </cacheFields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961" sheet="GOJEK"/>
  </cacheSource>
  <cacheFields>
    <cacheField name="Tanggal" numFmtId="165">
      <sharedItems containsDate="1" containsString="0" containsBlank="1">
        <d v="2026-05-26T00:00:00Z"/>
        <m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</sharedItems>
    </cacheField>
    <cacheField name="Nama Item" numFmtId="1">
      <sharedItems>
        <s v="Matcha Latte"/>
        <s v="Hojicha Latte"/>
        <s v="Choco Latte"/>
        <s v="Choco Ichigo Latte "/>
        <s v="Matcha Tea"/>
        <s v="Ice Tea"/>
        <s v="Gyumeshi"/>
        <s v="Karage Don"/>
        <s v="Hot Honey Karage Don"/>
        <s v="Chicken Katsu Don"/>
        <s v="Gyuniku Ala Carte"/>
        <s v="Karage Ala Carte"/>
        <s v="Hot Honey Karage Ala Carte"/>
        <s v="Curry Omurice"/>
        <s v="Curry Karage Don"/>
        <s v="Curry Katsu Don"/>
        <s v="Miso Sup"/>
        <s v="Curry Sauce"/>
        <s v="Spicy Sauce"/>
        <s v="nasi putih"/>
        <s v="saus tomat sachet"/>
        <s v="saus sambal sachet"/>
        <s v="cabe bubuk"/>
        <s v="sendok plastik"/>
        <s v="extra 2pcs karage"/>
        <s v="extra beef 50gr"/>
        <s v="Japanese Caramel Pudding"/>
        <s v="Japanese Beef Curry Rice"/>
        <s v="Katsu Bento"/>
        <s v="Kaarage Bento"/>
        <s v="Gyuniku Bento"/>
      </sharedItems>
    </cacheField>
    <cacheField name="Jumlah" numFmtId="1">
      <sharedItems containsString="0" containsBlank="1" containsNumber="1" containsInteger="1">
        <n v="0.0"/>
        <n v="4.0"/>
        <n v="2.0"/>
        <n v="1.0"/>
        <n v="3.0"/>
        <n v="8.0"/>
        <m/>
        <n v="5.0"/>
        <n v="6.0"/>
        <n v="11.0"/>
        <n v="7.0"/>
        <n v="10.0"/>
        <n v="9.0"/>
      </sharedItems>
    </cacheField>
    <cacheField name="Jumlah Offline Q" numFmtId="0">
      <sharedItems containsString="0" containsBlank="1">
        <m/>
      </sharedItems>
    </cacheField>
    <cacheField name="Total Jumlah" numFmtId="1">
      <sharedItems containsSemiMixedTypes="0" containsString="0" containsNumber="1" containsInteger="1">
        <n v="0.0"/>
        <n v="4.0"/>
        <n v="2.0"/>
        <n v="1.0"/>
        <n v="3.0"/>
        <n v="8.0"/>
        <n v="5.0"/>
        <n v="6.0"/>
        <n v="11.0"/>
        <n v="7.0"/>
        <n v="10.0"/>
        <n v="9.0"/>
      </sharedItems>
    </cacheField>
  </cacheFields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2:G184" sheet="Audit Inventory"/>
  </cacheSource>
  <cacheFields>
    <cacheField name="Bahan" numFmtId="0">
      <sharedItems>
        <s v="Daging Blackpepper"/>
        <s v="Bowl Mangkok"/>
        <s v="Tutup Mangkok"/>
        <s v="inner tray bowl"/>
        <s v="Beras"/>
        <s v="Beras Ketan"/>
        <s v="Air"/>
        <s v="Cuka Nasi"/>
        <s v="Ayam Karage"/>
        <s v="Hot Honey Sauce"/>
        <s v="thinwall 500ml"/>
        <s v="Curry Sauce"/>
        <s v="Telor Ayam"/>
        <s v="Gula Pasir"/>
        <s v="Dashi Halal"/>
        <s v="Mirin Halal"/>
        <s v="miso soup"/>
        <s v="daun bawang"/>
        <s v="wakame"/>
        <s v="Mangkok soup 300ml"/>
        <s v="Spicy Sauce Ayam Cincang"/>
        <s v="Katsu Chicken"/>
        <s v="saus manis jepang"/>
        <s v="Bubuk Matcha latte"/>
        <s v="Simple Syrup"/>
        <s v="Es Batu"/>
        <s v="Susu Fresh Milk"/>
        <s v="Cup gelas PP 14Oz"/>
        <s v="Sedotan"/>
        <s v="Bubuk Hojicha"/>
        <s v="Choco Latte"/>
        <s v="SKM"/>
        <s v="Strawberry Sauce"/>
        <s v="Teh Wayang"/>
        <s v="Egg Roll"/>
        <s v="Bento Tray"/>
        <s v="Edamame"/>
        <s v="garam"/>
        <s v="Kubis Mentah"/>
        <s v="Wortel Mentah"/>
        <s v="thousand island"/>
      </sharedItems>
    </cacheField>
    <cacheField name="Berat" numFmtId="4">
      <sharedItems containsSemiMixedTypes="0" containsString="0" containsNumber="1">
        <n v="70.0"/>
        <n v="1.0"/>
        <n v="72.9"/>
        <n v="8.1"/>
        <n v="117.0"/>
        <n v="1.25"/>
        <n v="130.0"/>
        <n v="20.0"/>
        <n v="140.0"/>
        <n v="260.0"/>
        <n v="40.0"/>
        <n v="2.0"/>
        <n v="3.0"/>
        <n v="5.0"/>
        <n v="0.5"/>
        <n v="65.0"/>
        <n v="35.0"/>
        <n v="10.0"/>
        <n v="4.0"/>
        <n v="15.0"/>
        <n v="50.0"/>
        <n v="180.0"/>
        <n v="125.0"/>
        <n v="16.0"/>
        <n v="8.0"/>
        <n v="1.5"/>
        <n v="25.0"/>
        <n v="0.0667"/>
        <n v="100.0"/>
      </sharedItems>
    </cacheField>
    <cacheField name="Satuan" numFmtId="0">
      <sharedItems>
        <s v="gr"/>
        <s v="pcs"/>
        <s v="porsi"/>
        <s v="ml"/>
      </sharedItems>
    </cacheField>
    <cacheField name="Porsi" numFmtId="4">
      <sharedItems containsString="0" containsBlank="1" containsNumber="1" containsInteger="1">
        <n v="170.0"/>
        <m/>
        <n v="280.0"/>
        <n v="139.0"/>
        <n v="27.0"/>
        <n v="57.0"/>
        <n v="45.0"/>
        <n v="49.0"/>
        <n v="58.0"/>
        <n v="235.0"/>
        <n v="23.0"/>
        <n v="11.0"/>
        <n v="55.0"/>
        <n v="22.0"/>
        <n v="2.0"/>
        <n v="946.0"/>
        <n v="145.0"/>
        <n v="25.0"/>
        <n v="4.0"/>
        <n v="41.0"/>
        <n v="70.0"/>
        <n v="24.0"/>
        <n v="493.0"/>
        <n v="30.0"/>
        <n v="21.0"/>
        <n v="51.0"/>
        <n v="128.0"/>
      </sharedItems>
    </cacheField>
    <cacheField name="Total Bahan Terpakai" numFmtId="0">
      <sharedItems containsSemiMixedTypes="0" containsString="0" containsNumber="1">
        <n v="11900.0"/>
        <n v="170.0"/>
        <n v="12393.000000000002"/>
        <n v="1377.0"/>
        <n v="19890.0"/>
        <n v="212.5"/>
        <n v="36400.0"/>
        <n v="280.0"/>
        <n v="20412.0"/>
        <n v="2268.0"/>
        <n v="32760.0"/>
        <n v="350.0"/>
        <n v="18070.0"/>
        <n v="139.0"/>
        <n v="10133.1"/>
        <n v="1125.8999999999999"/>
        <n v="16263.0"/>
        <n v="173.75"/>
        <n v="2780.0"/>
        <n v="3780.0"/>
        <n v="27.0"/>
        <n v="14820.0"/>
        <n v="57.0"/>
        <n v="11700.0"/>
        <n v="45.0"/>
        <n v="1800.0"/>
        <n v="6370.0"/>
        <n v="49.0"/>
        <n v="3572.1000000000004"/>
        <n v="396.9"/>
        <n v="5733.0"/>
        <n v="61.25"/>
        <n v="116.0"/>
        <n v="58.0"/>
        <n v="4228.200000000001"/>
        <n v="469.79999999999995"/>
        <n v="6786.0"/>
        <n v="72.5"/>
        <n v="174.0"/>
        <n v="290.0"/>
        <n v="235.0"/>
        <n v="117.5"/>
        <n v="1676.7"/>
        <n v="186.29999999999998"/>
        <n v="2691.0"/>
        <n v="28.75"/>
        <n v="23.0"/>
        <n v="11.0"/>
        <n v="55.0"/>
        <n v="1430.0"/>
        <n v="70.0"/>
        <n v="946.0"/>
        <n v="9460.0"/>
        <n v="68963.40000000001"/>
        <n v="7662.599999999999"/>
        <n v="110682.0"/>
        <n v="1182.5"/>
        <n v="145.0"/>
        <n v="10570.5"/>
        <n v="1174.5"/>
        <n v="16965.0"/>
        <n v="181.25"/>
        <n v="100.0"/>
        <n v="375.0"/>
        <n v="1250.0"/>
        <n v="4500.0"/>
        <n v="3125.0"/>
        <n v="25.0"/>
        <n v="20.0"/>
        <n v="60.0"/>
        <n v="200.0"/>
        <n v="720.0"/>
        <n v="500.0"/>
        <n v="4.0"/>
        <n v="656.0"/>
        <n v="615.0"/>
        <n v="328.0"/>
        <n v="2050.0"/>
        <n v="5125.0"/>
        <n v="7380.0"/>
        <n v="41.0"/>
        <n v="105.0"/>
        <n v="1750.0"/>
        <n v="3500.0"/>
        <n v="12600.0"/>
        <n v="8750.0"/>
        <n v="384.0"/>
        <n v="360.0"/>
        <n v="192.0"/>
        <n v="480.0"/>
        <n v="1200.0"/>
        <n v="3000.0"/>
        <n v="4320.0"/>
        <n v="24.0"/>
        <n v="32.8831"/>
        <n v="9860.0"/>
        <n v="24650.0"/>
        <n v="88740.0"/>
        <n v="493.0"/>
        <n v="2100.0"/>
        <n v="30.0"/>
        <n v="2187.0"/>
        <n v="243.0"/>
        <n v="3510.0"/>
        <n v="37.5"/>
        <n v="1530.9"/>
        <n v="170.1"/>
        <n v="2457.0"/>
        <n v="26.25"/>
        <n v="21.0"/>
        <n v="42.0"/>
        <n v="210.0"/>
        <n v="315.0"/>
        <n v="3717.9"/>
        <n v="413.09999999999997"/>
        <n v="5967.0"/>
        <n v="63.75"/>
        <n v="3570.0"/>
        <n v="102.0"/>
        <n v="51.0"/>
        <n v="510.0"/>
        <n v="255.0"/>
        <n v="5100.0"/>
        <n v="765.0"/>
        <n v="9331.2"/>
        <n v="1036.8"/>
        <n v="14976.0"/>
        <n v="160.0"/>
        <n v="128.0"/>
        <n v="256.0"/>
        <n v="1280.0"/>
        <n v="640.0"/>
        <n v="12800.0"/>
        <n v="192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pivotTable1.xml><?xml version="1.0" encoding="utf-8"?>
<pivotTableDefinition xmlns="http://schemas.openxmlformats.org/spreadsheetml/2006/main" name="MASTERFILE" cacheId="0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outline="0" multipleItemSelectionAllowed="1" showAll="0">
      <items>
        <item x="0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t="default"/>
      </items>
    </pivotField>
    <pivotField name="Total" compact="0" numFmtId="164" outline="0" multipleItemSelectionAllowed="1" showAll="0">
      <items>
        <item x="0"/>
        <item t="default"/>
      </items>
    </pivotField>
    <pivotField name="Total HPP" compact="0" numFmtId="164" outline="0" multipleItemSelectionAllowed="1" showAll="0">
      <items>
        <item x="0"/>
        <item x="1"/>
        <item t="default"/>
      </items>
    </pivotField>
    <pivotField name="Uang Masuk" compact="0" outline="0" multipleItemSelectionAllowed="1" showAll="0">
      <items>
        <item x="0"/>
        <item t="default"/>
      </items>
    </pivotField>
    <pivotField name="Margin" compact="0" numFmtId="10" outline="0" multipleItemSelectionAllowed="1" showAll="0">
      <items>
        <item x="0"/>
        <item x="1"/>
        <item t="default"/>
      </items>
    </pivotField>
    <pivotField name="Gross Profit" compact="0" numFmtId="164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.xml><?xml version="1.0" encoding="utf-8"?>
<pivotTableDefinition xmlns="http://schemas.openxmlformats.org/spreadsheetml/2006/main" name="25062026" cacheId="1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3.xml><?xml version="1.0" encoding="utf-8"?>
<pivotTableDefinition xmlns="http://schemas.openxmlformats.org/spreadsheetml/2006/main" name="24062026" cacheId="2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4.xml><?xml version="1.0" encoding="utf-8"?>
<pivotTableDefinition xmlns="http://schemas.openxmlformats.org/spreadsheetml/2006/main" name="23062026" cacheId="3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x="1"/>
        <item x="2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5.xml><?xml version="1.0" encoding="utf-8"?>
<pivotTableDefinition xmlns="http://schemas.openxmlformats.org/spreadsheetml/2006/main" name="22062026" cacheId="4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6.xml><?xml version="1.0" encoding="utf-8"?>
<pivotTableDefinition xmlns="http://schemas.openxmlformats.org/spreadsheetml/2006/main" name="21062026" cacheId="5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mlah QR" compact="0" outline="0" multipleItemSelectionAllowed="1" showAll="0">
      <items>
        <item x="0"/>
        <item x="1"/>
        <item x="2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7.xml><?xml version="1.0" encoding="utf-8"?>
<pivotTableDefinition xmlns="http://schemas.openxmlformats.org/spreadsheetml/2006/main" name="20062026" cacheId="6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8.xml><?xml version="1.0" encoding="utf-8"?>
<pivotTableDefinition xmlns="http://schemas.openxmlformats.org/spreadsheetml/2006/main" name="19062026" cacheId="7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9.xml><?xml version="1.0" encoding="utf-8"?>
<pivotTableDefinition xmlns="http://schemas.openxmlformats.org/spreadsheetml/2006/main" name="18062026" cacheId="8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t="default"/>
      </items>
    </pivotField>
    <pivotField name="Uang Masuk" compact="0" numFmtId="164" outline="0" multipleItemSelectionAllowed="1" showAll="0">
      <items>
        <item x="0"/>
        <item x="1"/>
        <item x="2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0.xml><?xml version="1.0" encoding="utf-8"?>
<pivotTableDefinition xmlns="http://schemas.openxmlformats.org/spreadsheetml/2006/main" name="17062026" cacheId="9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1.xml><?xml version="1.0" encoding="utf-8"?>
<pivotTableDefinition xmlns="http://schemas.openxmlformats.org/spreadsheetml/2006/main" name="16062026" cacheId="10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2.xml><?xml version="1.0" encoding="utf-8"?>
<pivotTableDefinition xmlns="http://schemas.openxmlformats.org/spreadsheetml/2006/main" name="15062026" cacheId="11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3.xml><?xml version="1.0" encoding="utf-8"?>
<pivotTableDefinition xmlns="http://schemas.openxmlformats.org/spreadsheetml/2006/main" name="14062026" cacheId="12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4.xml><?xml version="1.0" encoding="utf-8"?>
<pivotTableDefinition xmlns="http://schemas.openxmlformats.org/spreadsheetml/2006/main" name="13062026" cacheId="13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5.xml><?xml version="1.0" encoding="utf-8"?>
<pivotTableDefinition xmlns="http://schemas.openxmlformats.org/spreadsheetml/2006/main" name="12062026" cacheId="14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6.xml><?xml version="1.0" encoding="utf-8"?>
<pivotTableDefinition xmlns="http://schemas.openxmlformats.org/spreadsheetml/2006/main" name="11062026" cacheId="15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umlah QR" compact="0" outline="0" multipleItemSelectionAllowed="1" showAll="0">
      <items>
        <item x="0"/>
        <item x="1"/>
        <item x="2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7.xml><?xml version="1.0" encoding="utf-8"?>
<pivotTableDefinition xmlns="http://schemas.openxmlformats.org/spreadsheetml/2006/main" name="10062026" cacheId="16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8.xml><?xml version="1.0" encoding="utf-8"?>
<pivotTableDefinition xmlns="http://schemas.openxmlformats.org/spreadsheetml/2006/main" name="09062026" cacheId="17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19.xml><?xml version="1.0" encoding="utf-8"?>
<pivotTableDefinition xmlns="http://schemas.openxmlformats.org/spreadsheetml/2006/main" name="08062026" cacheId="18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0.xml><?xml version="1.0" encoding="utf-8"?>
<pivotTableDefinition xmlns="http://schemas.openxmlformats.org/spreadsheetml/2006/main" name="07062026" cacheId="19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1.xml><?xml version="1.0" encoding="utf-8"?>
<pivotTableDefinition xmlns="http://schemas.openxmlformats.org/spreadsheetml/2006/main" name="06062026" cacheId="20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2.xml><?xml version="1.0" encoding="utf-8"?>
<pivotTableDefinition xmlns="http://schemas.openxmlformats.org/spreadsheetml/2006/main" name="05062026" cacheId="21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3.xml><?xml version="1.0" encoding="utf-8"?>
<pivotTableDefinition xmlns="http://schemas.openxmlformats.org/spreadsheetml/2006/main" name="04062026" cacheId="22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mlah QR" compact="0" outline="0" multipleItemSelectionAllowed="1" showAll="0">
      <items>
        <item x="0"/>
        <item x="1"/>
        <item x="2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4.xml><?xml version="1.0" encoding="utf-8"?>
<pivotTableDefinition xmlns="http://schemas.openxmlformats.org/spreadsheetml/2006/main" name="03062026" cacheId="23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5.xml><?xml version="1.0" encoding="utf-8"?>
<pivotTableDefinition xmlns="http://schemas.openxmlformats.org/spreadsheetml/2006/main" name="02062026" cacheId="24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6.xml><?xml version="1.0" encoding="utf-8"?>
<pivotTableDefinition xmlns="http://schemas.openxmlformats.org/spreadsheetml/2006/main" name="01062026" cacheId="25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mlah QR" compact="0" outline="0" multipleItemSelectionAllowed="1" showAll="0">
      <items>
        <item x="0"/>
        <item x="1"/>
        <item x="2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7.xml><?xml version="1.0" encoding="utf-8"?>
<pivotTableDefinition xmlns="http://schemas.openxmlformats.org/spreadsheetml/2006/main" name="31052026" cacheId="26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umlah Q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8.xml><?xml version="1.0" encoding="utf-8"?>
<pivotTableDefinition xmlns="http://schemas.openxmlformats.org/spreadsheetml/2006/main" name="30052026" cacheId="27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29.xml><?xml version="1.0" encoding="utf-8"?>
<pivotTableDefinition xmlns="http://schemas.openxmlformats.org/spreadsheetml/2006/main" name="29052026" cacheId="28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30.xml><?xml version="1.0" encoding="utf-8"?>
<pivotTableDefinition xmlns="http://schemas.openxmlformats.org/spreadsheetml/2006/main" name="28052026" cacheId="29" dataCaption="" rowGrandTotals="0" compact="0" compactData="0">
  <location ref="I129:J160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31.xml><?xml version="1.0" encoding="utf-8"?>
<pivotTableDefinition xmlns="http://schemas.openxmlformats.org/spreadsheetml/2006/main" name="26052026" cacheId="30" dataCaption="" rowGrandTotals="0" compact="0" compactData="0">
  <location ref="I98:J129" firstHeaderRow="0" firstDataRow="1" firstDataCol="0"/>
  <pivotFields>
    <pivotField name="Tanggal" compact="0" outline="0" multipleItemSelectionAllowed="1" showAll="0">
      <items>
        <item x="0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HP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mlah QR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HPP" compact="0" numFmtId="164" outline="0" multipleItemSelectionAllowed="1" showAll="0">
      <items>
        <item x="0"/>
        <item x="1"/>
        <item x="2"/>
        <item x="3"/>
        <item t="default"/>
      </items>
    </pivotField>
    <pivotField name="Uang Masuk" compact="0" numFmtId="164" outline="0" multipleItemSelectionAllowed="1" showAll="0">
      <items>
        <item x="0"/>
        <item x="1"/>
        <item x="2"/>
        <item x="3"/>
        <item t="default"/>
      </items>
    </pivotField>
    <pivotField name="Margin" compact="0" numFmtId="10" outline="0" multipleItemSelectionAllowed="1" showAll="0">
      <items>
        <item x="0"/>
        <item x="1"/>
        <item x="2"/>
        <item x="3"/>
        <item t="default"/>
      </items>
    </pivotField>
    <pivotField name="Gross Profit" compact="0" numFmtId="164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Total Jumlah" fld="5" baseField="0"/>
  </dataFields>
</pivotTableDefinition>
</file>

<file path=xl/pivotTables/pivotTable32.xml><?xml version="1.0" encoding="utf-8"?>
<pivotTableDefinition xmlns="http://schemas.openxmlformats.org/spreadsheetml/2006/main" name="SHOPEE" cacheId="31" dataCaption="" rowGrandTotals="0" compact="0" compactData="0">
  <location ref="F1:G32" firstHeaderRow="0" firstDataRow="1" firstDataCol="0"/>
  <pivotFields>
    <pivotField name="Tangg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Jumlah Offline Q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"/>
  </rowFields>
  <dataFields>
    <dataField name="SUM of Total Jumlah" fld="4" baseField="0"/>
  </dataFields>
</pivotTableDefinition>
</file>

<file path=xl/pivotTables/pivotTable33.xml><?xml version="1.0" encoding="utf-8"?>
<pivotTableDefinition xmlns="http://schemas.openxmlformats.org/spreadsheetml/2006/main" name="GRAB" cacheId="31" dataCaption="" rowGrandTotals="0" compact="0" compactData="0">
  <location ref="F1:G32" firstHeaderRow="0" firstDataRow="1" firstDataCol="0"/>
  <pivotFields>
    <pivotField name="Tangg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Jumlah Offline Q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"/>
  </rowFields>
  <dataFields>
    <dataField name="SUM of Total Jumlah" fld="4" baseField="0"/>
  </dataFields>
</pivotTableDefinition>
</file>

<file path=xl/pivotTables/pivotTable34.xml><?xml version="1.0" encoding="utf-8"?>
<pivotTableDefinition xmlns="http://schemas.openxmlformats.org/spreadsheetml/2006/main" name="GOJEK" cacheId="31" dataCaption="" rowGrandTotals="0" compact="0" compactData="0">
  <location ref="F1:G32" firstHeaderRow="0" firstDataRow="1" firstDataCol="0"/>
  <pivotFields>
    <pivotField name="Tangg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Jumlah Offline Q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"/>
  </rowFields>
  <dataFields>
    <dataField name="SUM of Total Jumlah" fld="4" baseField="0"/>
  </dataFields>
</pivotTableDefinition>
</file>

<file path=xl/pivotTables/pivotTable35.xml><?xml version="1.0" encoding="utf-8"?>
<pivotTableDefinition xmlns="http://schemas.openxmlformats.org/spreadsheetml/2006/main" name="OFFLINE" cacheId="32" dataCaption="" rowGrandTotals="0" compact="0" compactData="0">
  <location ref="E1:F32" firstHeaderRow="0" firstDataRow="1" firstDataCol="0"/>
  <pivotFields>
    <pivotField name="Tangg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Jumlah" compact="0" outline="0" multipleItemSelectionAllowed="1" showAll="0">
      <items>
        <item x="0"/>
        <item x="1"/>
        <item x="2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Total Jumlah" fld="3" baseField="0"/>
  </dataFields>
</pivotTableDefinition>
</file>

<file path=xl/pivotTables/pivotTable36.xml><?xml version="1.0" encoding="utf-8"?>
<pivotTableDefinition xmlns="http://schemas.openxmlformats.org/spreadsheetml/2006/main" name="Rekap Data Penjualan" cacheId="31" dataCaption="" rowGrandTotals="0" compact="0" compactData="0">
  <location ref="A2:B33" firstHeaderRow="0" firstDataRow="1" firstDataCol="0"/>
  <pivotFields>
    <pivotField name="Tangg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Jumlah Offline Q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"/>
  </rowFields>
  <dataFields>
    <dataField name="SUM of Total Jumlah" fld="4" baseField="0"/>
  </dataFields>
</pivotTableDefinition>
</file>

<file path=xl/pivotTables/pivotTable37.xml><?xml version="1.0" encoding="utf-8"?>
<pivotTableDefinition xmlns="http://schemas.openxmlformats.org/spreadsheetml/2006/main" name="Rekap Data Penjualan 2" cacheId="33" dataCaption="" rowGrandTotals="0" compact="0" compactData="0">
  <location ref="D2:E33" firstHeaderRow="0" firstDataRow="1" firstDataCol="0"/>
  <pivotFields>
    <pivotField name="Tangg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umlah Offline Q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1"/>
  </rowFields>
  <dataFields>
    <dataField name="SUM of Total Jumlah" fld="4" baseField="0"/>
  </dataFields>
</pivotTableDefinition>
</file>

<file path=xl/pivotTables/pivotTable38.xml><?xml version="1.0" encoding="utf-8"?>
<pivotTableDefinition xmlns="http://schemas.openxmlformats.org/spreadsheetml/2006/main" name="Rekap Data Penjualan 3" cacheId="34" dataCaption="" rowGrandTotals="0" compact="0" compactData="0">
  <location ref="G2:H33" firstHeaderRow="0" firstDataRow="1" firstDataCol="0"/>
  <pivotFields>
    <pivotField name="Tangg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Jumla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umlah Offline Q" compact="0" outline="0" multipleItemSelectionAllowed="1" showAll="0">
      <items>
        <item x="0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dataFields>
    <dataField name="SUM of Total Jumlah" fld="4" baseField="0"/>
  </dataFields>
</pivotTableDefinition>
</file>

<file path=xl/pivotTables/pivotTable39.xml><?xml version="1.0" encoding="utf-8"?>
<pivotTableDefinition xmlns="http://schemas.openxmlformats.org/spreadsheetml/2006/main" name="Rekap Data Penjualan 4" cacheId="32" dataCaption="" rowGrandTotals="0" compact="0" compactData="0">
  <location ref="J2:K33" firstHeaderRow="0" firstDataRow="1" firstDataCol="0"/>
  <pivotFields>
    <pivotField name="Tangg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Nama Item" axis="axisRow" compact="0" numFmtId="1" outline="0" multipleItemSelectionAllowed="1" showAll="0" sortType="ascending">
      <items>
        <item x="22"/>
        <item x="9"/>
        <item x="3"/>
        <item x="2"/>
        <item x="14"/>
        <item x="15"/>
        <item x="13"/>
        <item x="17"/>
        <item x="24"/>
        <item x="25"/>
        <item x="6"/>
        <item x="10"/>
        <item x="30"/>
        <item x="1"/>
        <item x="12"/>
        <item x="8"/>
        <item x="5"/>
        <item x="27"/>
        <item x="26"/>
        <item x="29"/>
        <item x="11"/>
        <item x="7"/>
        <item x="28"/>
        <item x="0"/>
        <item x="4"/>
        <item x="16"/>
        <item x="19"/>
        <item x="21"/>
        <item x="20"/>
        <item x="23"/>
        <item x="18"/>
        <item t="default"/>
      </items>
    </pivotField>
    <pivotField name="Jumlah" compact="0" outline="0" multipleItemSelectionAllowed="1" showAll="0">
      <items>
        <item x="0"/>
        <item x="1"/>
        <item x="2"/>
        <item t="default"/>
      </items>
    </pivotField>
    <pivotField name="Total Jumlah" dataField="1" compact="0" numFmtId="1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Total Jumlah" fld="3" baseField="0"/>
  </dataFields>
</pivotTableDefinition>
</file>

<file path=xl/pivotTables/pivotTable40.xml><?xml version="1.0" encoding="utf-8"?>
<pivotTableDefinition xmlns="http://schemas.openxmlformats.org/spreadsheetml/2006/main" name="Shringkage" cacheId="35" dataCaption="" rowGrandTotals="0" compact="0" compactData="0">
  <location ref="A1:B42" firstHeaderRow="0" firstDataRow="1" firstDataCol="0"/>
  <pivotFields>
    <pivotField name="Bahan" axis="axisRow" compact="0" outline="0" multipleItemSelectionAllowed="1" showAll="0" sortType="ascending">
      <items>
        <item x="6"/>
        <item x="8"/>
        <item x="35"/>
        <item x="4"/>
        <item x="5"/>
        <item x="1"/>
        <item x="29"/>
        <item x="23"/>
        <item x="30"/>
        <item x="7"/>
        <item x="27"/>
        <item x="11"/>
        <item x="0"/>
        <item x="14"/>
        <item x="17"/>
        <item x="36"/>
        <item x="34"/>
        <item x="25"/>
        <item x="37"/>
        <item x="13"/>
        <item x="9"/>
        <item x="3"/>
        <item x="21"/>
        <item x="38"/>
        <item x="19"/>
        <item x="15"/>
        <item x="16"/>
        <item x="22"/>
        <item x="28"/>
        <item x="24"/>
        <item x="31"/>
        <item x="20"/>
        <item x="32"/>
        <item x="26"/>
        <item x="33"/>
        <item x="12"/>
        <item x="10"/>
        <item x="40"/>
        <item x="2"/>
        <item x="18"/>
        <item x="39"/>
        <item t="default"/>
      </items>
    </pivotField>
    <pivotField name="Bera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atuan" compact="0" outline="0" multipleItemSelectionAllowed="1" showAll="0">
      <items>
        <item x="0"/>
        <item x="1"/>
        <item x="2"/>
        <item x="3"/>
        <item t="default"/>
      </items>
    </pivotField>
    <pivotField name="Porsi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otal Bahan Terpaka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</pivotFields>
  <rowFields>
    <field x="0"/>
  </rowFields>
  <dataFields>
    <dataField name="SUM of Total Bahan Terpakai" fld="4" baseField="0"/>
  </dataFields>
</pivotTableDefinition>
</file>

<file path=xl/tables/table1.xml><?xml version="1.0" encoding="utf-8"?>
<table xmlns="http://schemas.openxmlformats.org/spreadsheetml/2006/main" ref="A4:C35" displayName="Table_1" name="Table_1" id="1">
  <tableColumns count="3">
    <tableColumn name="No." id="1"/>
    <tableColumn name="Nama Produk" id="2"/>
    <tableColumn name="HPP" id="3"/>
  </tableColumns>
  <tableStyleInfo name="LIST HPP-style" showColumnStripes="0" showFirstColumn="1" showLastColumn="1" showRowStripes="1"/>
</table>
</file>

<file path=xl/tables/table2.xml><?xml version="1.0" encoding="utf-8"?>
<table xmlns="http://schemas.openxmlformats.org/spreadsheetml/2006/main" headerRowCount="0" ref="D3:E535" displayName="Table_2" name="Table_2" id="2">
  <tableColumns count="2">
    <tableColumn name="Column1" id="1"/>
    <tableColumn name="Column2" id="2"/>
  </tableColumns>
  <tableStyleInfo name="Rekap Data Penjual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G3:H535" displayName="Table_3" name="Table_3" id="3">
  <tableColumns count="2">
    <tableColumn name="Column1" id="1"/>
    <tableColumn name="Column2" id="2"/>
  </tableColumns>
  <tableStyleInfo name="Rekap Data Penjuala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G71" displayName="Table_4" name="Table_4" id="4">
  <tableColumns count="7">
    <tableColumn name="Nama Item" id="1"/>
    <tableColumn name="Stok Keluar" id="2"/>
    <tableColumn name="Satuan Inventory" id="3"/>
    <tableColumn name="Nama Bahan" id="4"/>
    <tableColumn name="Satuan Penjualan" id="5"/>
    <tableColumn name="Peningkatan Hasil Olahan" id="6"/>
    <tableColumn name="Total keluar" id="7"/>
  </tableColumns>
  <tableStyleInfo name="Rekap Stock Keluar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0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1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3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5.xm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7.xm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9.xm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1.xm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2.xm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3.xm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4.xm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5.xm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6.xml"/><Relationship Id="rId2" Type="http://schemas.openxmlformats.org/officeDocument/2006/relationships/pivotTable" Target="../pivotTables/pivotTable37.xml"/><Relationship Id="rId3" Type="http://schemas.openxmlformats.org/officeDocument/2006/relationships/pivotTable" Target="../pivotTables/pivotTable38.xml"/><Relationship Id="rId4" Type="http://schemas.openxmlformats.org/officeDocument/2006/relationships/pivotTable" Target="../pivotTables/pivotTable39.xml"/><Relationship Id="rId9" Type="http://schemas.openxmlformats.org/officeDocument/2006/relationships/table" Target="../tables/table3.xml"/><Relationship Id="rId5" Type="http://schemas.openxmlformats.org/officeDocument/2006/relationships/drawing" Target="../drawings/drawing38.xml"/><Relationship Id="rId8" Type="http://schemas.openxmlformats.org/officeDocument/2006/relationships/table" Target="../tables/table2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0.xm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7.88"/>
    <col customWidth="1" min="3" max="3" width="19.25"/>
  </cols>
  <sheetData>
    <row r="1">
      <c r="A1" s="1" t="s">
        <v>0</v>
      </c>
    </row>
    <row r="4">
      <c r="A4" s="2" t="s">
        <v>1</v>
      </c>
      <c r="B4" s="3" t="s">
        <v>2</v>
      </c>
      <c r="C4" s="4" t="s">
        <v>3</v>
      </c>
    </row>
    <row r="5">
      <c r="A5" s="5">
        <v>1.0</v>
      </c>
      <c r="B5" s="6" t="s">
        <v>4</v>
      </c>
      <c r="C5" s="7">
        <v>8805.63</v>
      </c>
    </row>
    <row r="6">
      <c r="A6" s="5">
        <v>2.0</v>
      </c>
      <c r="B6" s="6" t="s">
        <v>5</v>
      </c>
      <c r="C6" s="8">
        <v>8150.63</v>
      </c>
    </row>
    <row r="7">
      <c r="A7" s="5">
        <v>3.0</v>
      </c>
      <c r="B7" s="6" t="s">
        <v>6</v>
      </c>
      <c r="C7" s="7">
        <v>6013.63</v>
      </c>
    </row>
    <row r="8">
      <c r="A8" s="5">
        <v>4.0</v>
      </c>
      <c r="B8" s="6" t="s">
        <v>7</v>
      </c>
      <c r="C8" s="7">
        <v>3748.21</v>
      </c>
    </row>
    <row r="9">
      <c r="A9" s="5">
        <v>5.0</v>
      </c>
      <c r="B9" s="9" t="s">
        <v>8</v>
      </c>
      <c r="C9" s="8">
        <v>1448.63</v>
      </c>
    </row>
    <row r="10">
      <c r="A10" s="5">
        <v>6.0</v>
      </c>
      <c r="B10" s="6" t="s">
        <v>9</v>
      </c>
      <c r="C10" s="7">
        <v>11670.0</v>
      </c>
    </row>
    <row r="11">
      <c r="A11" s="5">
        <v>7.0</v>
      </c>
      <c r="B11" s="6" t="s">
        <v>10</v>
      </c>
      <c r="C11" s="8">
        <v>9350.16</v>
      </c>
    </row>
    <row r="12">
      <c r="A12" s="5">
        <v>8.0</v>
      </c>
      <c r="B12" s="6" t="s">
        <v>11</v>
      </c>
      <c r="C12" s="7">
        <v>9990.16</v>
      </c>
    </row>
    <row r="13">
      <c r="A13" s="5">
        <v>9.0</v>
      </c>
      <c r="B13" s="10" t="s">
        <v>12</v>
      </c>
      <c r="C13" s="7">
        <v>7445.2</v>
      </c>
    </row>
    <row r="14">
      <c r="A14" s="5">
        <v>10.0</v>
      </c>
      <c r="B14" s="6" t="s">
        <v>13</v>
      </c>
      <c r="C14" s="8">
        <v>17260.0</v>
      </c>
    </row>
    <row r="15">
      <c r="A15" s="5">
        <v>11.0</v>
      </c>
      <c r="B15" s="6" t="s">
        <v>14</v>
      </c>
      <c r="C15" s="7">
        <v>14155.0</v>
      </c>
    </row>
    <row r="16">
      <c r="A16" s="5">
        <v>12.0</v>
      </c>
      <c r="B16" s="6" t="s">
        <v>15</v>
      </c>
      <c r="C16" s="11">
        <v>15435.0</v>
      </c>
    </row>
    <row r="17">
      <c r="A17" s="5">
        <v>13.0</v>
      </c>
      <c r="B17" s="6" t="s">
        <v>16</v>
      </c>
      <c r="C17" s="7">
        <v>9229.59</v>
      </c>
    </row>
    <row r="18">
      <c r="A18" s="5">
        <v>14.0</v>
      </c>
      <c r="B18" s="6" t="s">
        <v>17</v>
      </c>
      <c r="C18" s="8">
        <v>11550.16</v>
      </c>
    </row>
    <row r="19">
      <c r="A19" s="5">
        <v>15.0</v>
      </c>
      <c r="B19" s="10" t="s">
        <v>18</v>
      </c>
      <c r="C19" s="7">
        <v>9300.16</v>
      </c>
    </row>
    <row r="20">
      <c r="A20" s="5">
        <v>16.0</v>
      </c>
      <c r="B20" s="6" t="s">
        <v>19</v>
      </c>
      <c r="C20" s="11">
        <v>1741.0</v>
      </c>
    </row>
    <row r="21">
      <c r="A21" s="5">
        <v>17.0</v>
      </c>
      <c r="B21" s="6" t="s">
        <v>20</v>
      </c>
      <c r="C21" s="11">
        <v>2200.0</v>
      </c>
    </row>
    <row r="22">
      <c r="A22" s="5">
        <v>18.0</v>
      </c>
      <c r="B22" s="6" t="s">
        <v>21</v>
      </c>
      <c r="C22" s="12">
        <v>2875.0</v>
      </c>
    </row>
    <row r="23">
      <c r="A23" s="5">
        <v>19.0</v>
      </c>
      <c r="B23" s="6" t="s">
        <v>22</v>
      </c>
      <c r="C23" s="11">
        <v>7131.43</v>
      </c>
    </row>
    <row r="24">
      <c r="A24" s="5">
        <v>20.0</v>
      </c>
      <c r="B24" s="6" t="s">
        <v>23</v>
      </c>
      <c r="C24" s="11">
        <v>2113.16</v>
      </c>
    </row>
    <row r="25">
      <c r="A25" s="5">
        <v>21.0</v>
      </c>
      <c r="B25" s="13" t="s">
        <v>24</v>
      </c>
      <c r="C25" s="11">
        <v>235.0</v>
      </c>
    </row>
    <row r="26">
      <c r="A26" s="5">
        <v>22.0</v>
      </c>
      <c r="B26" s="13" t="s">
        <v>25</v>
      </c>
      <c r="C26" s="12">
        <v>296.0</v>
      </c>
    </row>
    <row r="27">
      <c r="A27" s="5">
        <v>23.0</v>
      </c>
      <c r="B27" s="13" t="s">
        <v>26</v>
      </c>
      <c r="C27" s="14">
        <v>249.5</v>
      </c>
    </row>
    <row r="28">
      <c r="A28" s="5">
        <v>24.0</v>
      </c>
      <c r="B28" s="13" t="s">
        <v>27</v>
      </c>
      <c r="C28" s="15">
        <v>208.0</v>
      </c>
    </row>
    <row r="29">
      <c r="A29" s="5">
        <v>25.0</v>
      </c>
      <c r="B29" s="13" t="s">
        <v>28</v>
      </c>
      <c r="C29" s="14">
        <v>2446.08</v>
      </c>
    </row>
    <row r="30">
      <c r="A30" s="5">
        <v>26.0</v>
      </c>
      <c r="B30" s="16" t="s">
        <v>29</v>
      </c>
      <c r="C30" s="12">
        <v>4095.0</v>
      </c>
    </row>
    <row r="31">
      <c r="A31" s="5">
        <v>27.0</v>
      </c>
      <c r="B31" s="17" t="s">
        <v>30</v>
      </c>
      <c r="C31" s="12">
        <v>2064.84</v>
      </c>
    </row>
    <row r="32">
      <c r="A32" s="5">
        <v>28.0</v>
      </c>
      <c r="B32" s="17" t="s">
        <v>31</v>
      </c>
      <c r="C32" s="12">
        <v>13871.0</v>
      </c>
    </row>
    <row r="33">
      <c r="A33" s="5">
        <v>29.0</v>
      </c>
      <c r="B33" s="17" t="s">
        <v>32</v>
      </c>
      <c r="C33" s="18">
        <v>10521.31</v>
      </c>
    </row>
    <row r="34">
      <c r="A34" s="5">
        <v>30.0</v>
      </c>
      <c r="B34" s="17" t="s">
        <v>33</v>
      </c>
      <c r="C34" s="18">
        <v>12796.31</v>
      </c>
    </row>
    <row r="35">
      <c r="A35" s="5">
        <v>31.0</v>
      </c>
      <c r="B35" s="17" t="s">
        <v>34</v>
      </c>
      <c r="C35" s="12">
        <v>14616.31</v>
      </c>
    </row>
  </sheetData>
  <mergeCells count="1">
    <mergeCell ref="A1:C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/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0</v>
      </c>
      <c r="J2" s="32"/>
      <c r="K2" s="33" t="str">
        <f>(J2-I2)/J2</f>
        <v>#DIV/0!</v>
      </c>
      <c r="L2" s="34">
        <f>J2-I2</f>
        <v>0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/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/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/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/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/>
      <c r="F7" s="39"/>
      <c r="G7" s="40">
        <f t="shared" si="1"/>
        <v>0</v>
      </c>
      <c r="H7" s="38">
        <f t="shared" si="2"/>
        <v>0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/>
      <c r="F8" s="39"/>
      <c r="G8" s="40">
        <f t="shared" si="1"/>
        <v>0</v>
      </c>
      <c r="H8" s="38">
        <f t="shared" si="2"/>
        <v>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/>
      <c r="F9" s="39"/>
      <c r="G9" s="40">
        <f t="shared" si="1"/>
        <v>0</v>
      </c>
      <c r="H9" s="38">
        <f t="shared" si="2"/>
        <v>0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/>
      <c r="F10" s="39"/>
      <c r="G10" s="40">
        <f t="shared" si="1"/>
        <v>0</v>
      </c>
      <c r="H10" s="38">
        <f t="shared" si="2"/>
        <v>0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/>
      <c r="F11" s="39"/>
      <c r="G11" s="40">
        <f t="shared" si="1"/>
        <v>0</v>
      </c>
      <c r="H11" s="38">
        <f t="shared" si="2"/>
        <v>0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/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/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/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/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/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/>
      <c r="F17" s="39"/>
      <c r="G17" s="40">
        <f t="shared" si="1"/>
        <v>0</v>
      </c>
      <c r="H17" s="38">
        <f t="shared" si="2"/>
        <v>0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/>
      <c r="F18" s="39"/>
      <c r="G18" s="40">
        <f t="shared" si="1"/>
        <v>0</v>
      </c>
      <c r="H18" s="38">
        <f t="shared" si="2"/>
        <v>0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/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/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/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/>
      <c r="F22" s="43"/>
      <c r="G22" s="40">
        <f t="shared" si="1"/>
        <v>0</v>
      </c>
      <c r="H22" s="38">
        <f t="shared" si="2"/>
        <v>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/>
      <c r="F23" s="43"/>
      <c r="G23" s="40">
        <f t="shared" si="1"/>
        <v>0</v>
      </c>
      <c r="H23" s="38">
        <f t="shared" si="2"/>
        <v>0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/>
      <c r="F24" s="43"/>
      <c r="G24" s="40">
        <f t="shared" si="1"/>
        <v>0</v>
      </c>
      <c r="H24" s="38">
        <f t="shared" si="2"/>
        <v>0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/>
      <c r="F25" s="43"/>
      <c r="G25" s="40">
        <f t="shared" si="1"/>
        <v>0</v>
      </c>
      <c r="H25" s="38">
        <f t="shared" si="2"/>
        <v>0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/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/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/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/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/>
      <c r="F30" s="47"/>
      <c r="G30" s="40">
        <f t="shared" si="1"/>
        <v>0</v>
      </c>
      <c r="H30" s="38">
        <f t="shared" si="2"/>
        <v>0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/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/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/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0</v>
      </c>
      <c r="J33" s="32"/>
      <c r="K33" s="33" t="str">
        <f>(J33-I33)/J33</f>
        <v>#DIV/0!</v>
      </c>
      <c r="L33" s="34">
        <f>J33-I33</f>
        <v>0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/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/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/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/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/>
      <c r="F38" s="39"/>
      <c r="G38" s="59">
        <f t="shared" si="3"/>
        <v>0</v>
      </c>
      <c r="H38" s="60">
        <f t="shared" si="2"/>
        <v>0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/>
      <c r="F39" s="39"/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/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/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/>
      <c r="F42" s="39"/>
      <c r="G42" s="59">
        <f t="shared" si="3"/>
        <v>0</v>
      </c>
      <c r="H42" s="60">
        <f t="shared" si="2"/>
        <v>0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/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/>
      <c r="F44" s="39"/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/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/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/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/>
      <c r="F48" s="39"/>
      <c r="G48" s="59">
        <f t="shared" si="3"/>
        <v>0</v>
      </c>
      <c r="H48" s="60">
        <f t="shared" si="2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/>
      <c r="F49" s="39"/>
      <c r="G49" s="59">
        <f t="shared" si="3"/>
        <v>0</v>
      </c>
      <c r="H49" s="60">
        <f t="shared" si="2"/>
        <v>0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/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/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/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/>
      <c r="F53" s="43"/>
      <c r="G53" s="59">
        <f t="shared" si="3"/>
        <v>0</v>
      </c>
      <c r="H53" s="60">
        <f t="shared" si="2"/>
        <v>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/>
      <c r="F54" s="43"/>
      <c r="G54" s="59">
        <f t="shared" si="3"/>
        <v>0</v>
      </c>
      <c r="H54" s="60">
        <f t="shared" si="2"/>
        <v>0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/>
      <c r="F55" s="43"/>
      <c r="G55" s="59">
        <f t="shared" si="3"/>
        <v>0</v>
      </c>
      <c r="H55" s="60">
        <f t="shared" si="2"/>
        <v>0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/>
      <c r="F56" s="43"/>
      <c r="G56" s="59">
        <f t="shared" si="3"/>
        <v>0</v>
      </c>
      <c r="H56" s="60">
        <f t="shared" si="2"/>
        <v>0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/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/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/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/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/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/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/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/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0</v>
      </c>
      <c r="J64" s="32"/>
      <c r="K64" s="33" t="str">
        <f>(J64-I64)/J64</f>
        <v>#DIV/0!</v>
      </c>
      <c r="L64" s="34">
        <f>J64-I64</f>
        <v>0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/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/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/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/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/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/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/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/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/>
      <c r="F73" s="65"/>
      <c r="G73" s="66">
        <f t="shared" si="4"/>
        <v>0</v>
      </c>
      <c r="H73" s="60">
        <f t="shared" si="2"/>
        <v>0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/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/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/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/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/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/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/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/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/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/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/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/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/>
      <c r="F86" s="65"/>
      <c r="G86" s="66">
        <f t="shared" si="4"/>
        <v>0</v>
      </c>
      <c r="H86" s="60">
        <f t="shared" si="2"/>
        <v>0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/>
      <c r="F87" s="65"/>
      <c r="G87" s="66">
        <f t="shared" si="4"/>
        <v>0</v>
      </c>
      <c r="H87" s="60">
        <f t="shared" si="2"/>
        <v>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/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/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/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/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/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/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/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0</v>
      </c>
      <c r="J126" s="76">
        <f t="shared" si="6"/>
        <v>0</v>
      </c>
      <c r="K126" s="76"/>
      <c r="L126" s="76">
        <f>SUM(L2:L125)</f>
        <v>0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MASTERFILE!$I$130:$J$158, 2, )</f>
        <v>0</v>
      </c>
      <c r="G131" s="100">
        <f>D131*F131</f>
        <v>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0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0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0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MASTERFILE!$I$130:$J$158, 2, )</f>
        <v>0</v>
      </c>
      <c r="G136" s="100">
        <f>D136*F136</f>
        <v>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0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0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MASTERFILE!$I$130:$J$158, 2, )</f>
        <v>0</v>
      </c>
      <c r="G140" s="100">
        <f>D140*F140</f>
        <v>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0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0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MASTERFILE!$I$130:$J$158,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MASTERFILE!$I$130:$J$158, 2, )</f>
        <v>0</v>
      </c>
      <c r="G147" s="101">
        <f>D147*F147</f>
        <v>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0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0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MASTERFILE!$I$130:$J$158,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MASTERFILE!$I$130:$J$158,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MASTERFILE!$I$130:$J$158,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MASTERFILE!$I$130:$J$158, 2, )</f>
        <v>0</v>
      </c>
      <c r="G167" s="101">
        <f>D167*F167</f>
        <v>0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0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0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0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MASTERFILE!$I$130:$J$158,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0</v>
      </c>
      <c r="G174" s="101">
        <f t="shared" si="7"/>
        <v>0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MASTERFILE!$I$130:$J$158,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MASTERFILE!$I$130:$J$158,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MASTERFILE!$I$130:$J$158, 2, )</f>
        <v>0</v>
      </c>
      <c r="G177" s="101">
        <f t="shared" si="7"/>
        <v>0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0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0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0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MASTERFILE!$I$130:$J$158, 2, )</f>
        <v>0</v>
      </c>
      <c r="G183" s="101">
        <f>D183*F183</f>
        <v>0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0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0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0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0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MASTERFILE!$I$130:$J$158,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MASTERFILE!$I$130:$J$158,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MASTERFILE!$I$130:$J$158,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MASTERFILE!$I$130:$J$158, 2, )</f>
        <v>0</v>
      </c>
      <c r="G211" s="100">
        <f>D211*F211</f>
        <v>0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0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0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MASTERFILE!$I$130:$J$158,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MASTERFILE!$I$130:$J$158, 2, )</f>
        <v>0</v>
      </c>
      <c r="G227" s="115">
        <f>D227*F227</f>
        <v>0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0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0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MASTERFILE!$I$130:$J$158,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MASTERFILE!$I$130:$J$158, 2, )</f>
        <v>0</v>
      </c>
      <c r="G239" s="127">
        <f t="shared" ref="G239:G240" si="8">D239*F239</f>
        <v>0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MASTERFILE!$I$130:$J$158,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MASTERFILE!$I$130:$J$158,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MASTERFILE!$I$130:$J$158, 2, )</f>
        <v>0</v>
      </c>
      <c r="G271" s="134">
        <f>D271*F271</f>
        <v>0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0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0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0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0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0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0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14.13"/>
    <col customWidth="1" min="9" max="9" width="31.75"/>
    <col customWidth="1" min="10" max="10" width="20.75"/>
    <col customWidth="1" min="11" max="11" width="7.63"/>
    <col customWidth="1" min="12" max="12" width="14.25"/>
  </cols>
  <sheetData>
    <row r="1">
      <c r="A1" s="19"/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1.0</v>
      </c>
      <c r="F2" s="29"/>
      <c r="G2" s="30">
        <f t="shared" ref="G2:G32" si="1">sum(E2:F2)</f>
        <v>1</v>
      </c>
      <c r="H2" s="28">
        <f t="shared" ref="H2:H125" si="2">D2*G2</f>
        <v>8805.63</v>
      </c>
      <c r="I2" s="31">
        <f>sum(H2:H32)</f>
        <v>625968.41</v>
      </c>
      <c r="J2" s="32">
        <v>1014574.0</v>
      </c>
      <c r="K2" s="33">
        <f>(J2-I2)/J2</f>
        <v>0.3830234069</v>
      </c>
      <c r="L2" s="34">
        <f>J2-I2</f>
        <v>388605.59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3.0</v>
      </c>
      <c r="F6" s="39"/>
      <c r="G6" s="40">
        <f t="shared" si="1"/>
        <v>3</v>
      </c>
      <c r="H6" s="38">
        <f t="shared" si="2"/>
        <v>11244.63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7.0</v>
      </c>
      <c r="F7" s="39"/>
      <c r="G7" s="40">
        <f t="shared" si="1"/>
        <v>7</v>
      </c>
      <c r="H7" s="38">
        <f t="shared" si="2"/>
        <v>10140.41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5.0</v>
      </c>
      <c r="F8" s="39"/>
      <c r="G8" s="40">
        <f t="shared" si="1"/>
        <v>5</v>
      </c>
      <c r="H8" s="38">
        <f t="shared" si="2"/>
        <v>58350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19.0</v>
      </c>
      <c r="F9" s="39"/>
      <c r="G9" s="40">
        <f t="shared" si="1"/>
        <v>19</v>
      </c>
      <c r="H9" s="38">
        <f t="shared" si="2"/>
        <v>177653.04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2.0</v>
      </c>
      <c r="F10" s="39"/>
      <c r="G10" s="40">
        <f t="shared" si="1"/>
        <v>2</v>
      </c>
      <c r="H10" s="38">
        <f t="shared" si="2"/>
        <v>19980.32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28.0</v>
      </c>
      <c r="F11" s="39"/>
      <c r="G11" s="40">
        <f t="shared" si="1"/>
        <v>28</v>
      </c>
      <c r="H11" s="38">
        <f t="shared" si="2"/>
        <v>208465.6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7.0</v>
      </c>
      <c r="F17" s="39"/>
      <c r="G17" s="40">
        <f t="shared" si="1"/>
        <v>7</v>
      </c>
      <c r="H17" s="38">
        <f t="shared" si="2"/>
        <v>65101.12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7.0</v>
      </c>
      <c r="F18" s="39"/>
      <c r="G18" s="40">
        <f t="shared" si="1"/>
        <v>7</v>
      </c>
      <c r="H18" s="38">
        <f t="shared" si="2"/>
        <v>12187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3.0</v>
      </c>
      <c r="F20" s="43"/>
      <c r="G20" s="40">
        <f t="shared" si="1"/>
        <v>3</v>
      </c>
      <c r="H20" s="38">
        <f t="shared" si="2"/>
        <v>8625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1.0</v>
      </c>
      <c r="F21" s="43"/>
      <c r="G21" s="40">
        <f t="shared" si="1"/>
        <v>1</v>
      </c>
      <c r="H21" s="38">
        <f t="shared" si="2"/>
        <v>2113.16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28.0</v>
      </c>
      <c r="F22" s="43"/>
      <c r="G22" s="40">
        <f t="shared" si="1"/>
        <v>28</v>
      </c>
      <c r="H22" s="38">
        <f t="shared" si="2"/>
        <v>6580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29.0</v>
      </c>
      <c r="F23" s="43"/>
      <c r="G23" s="40">
        <f t="shared" si="1"/>
        <v>29</v>
      </c>
      <c r="H23" s="38">
        <f t="shared" si="2"/>
        <v>8584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13.0</v>
      </c>
      <c r="F24" s="43"/>
      <c r="G24" s="40">
        <f t="shared" si="1"/>
        <v>13</v>
      </c>
      <c r="H24" s="38">
        <f t="shared" si="2"/>
        <v>3243.5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53.0</v>
      </c>
      <c r="F25" s="43"/>
      <c r="G25" s="40">
        <f t="shared" si="1"/>
        <v>53</v>
      </c>
      <c r="H25" s="38">
        <f t="shared" si="2"/>
        <v>11024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1.0</v>
      </c>
      <c r="F29" s="47"/>
      <c r="G29" s="40">
        <f t="shared" si="1"/>
        <v>1</v>
      </c>
      <c r="H29" s="38">
        <f t="shared" si="2"/>
        <v>13871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0.0</v>
      </c>
      <c r="F30" s="47"/>
      <c r="G30" s="40">
        <f t="shared" si="1"/>
        <v>0</v>
      </c>
      <c r="H30" s="38">
        <f t="shared" si="2"/>
        <v>0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153667</v>
      </c>
      <c r="J33" s="32">
        <v>323442.0</v>
      </c>
      <c r="K33" s="33">
        <f>(J33-I33)/J33</f>
        <v>0.5249009096</v>
      </c>
      <c r="L33" s="34">
        <f>J33-I33</f>
        <v>169775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0.0</v>
      </c>
      <c r="F38" s="39"/>
      <c r="G38" s="59">
        <f t="shared" si="3"/>
        <v>0</v>
      </c>
      <c r="H38" s="60">
        <f t="shared" si="2"/>
        <v>0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2.0</v>
      </c>
      <c r="F39" s="39"/>
      <c r="G39" s="59">
        <f t="shared" si="3"/>
        <v>2</v>
      </c>
      <c r="H39" s="60">
        <f t="shared" si="2"/>
        <v>23340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8.0</v>
      </c>
      <c r="F40" s="39"/>
      <c r="G40" s="59">
        <f t="shared" si="3"/>
        <v>8</v>
      </c>
      <c r="H40" s="60">
        <f t="shared" si="2"/>
        <v>74801.28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/>
      <c r="G41" s="59">
        <f t="shared" si="3"/>
        <v>2</v>
      </c>
      <c r="H41" s="60">
        <f t="shared" si="2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2.0</v>
      </c>
      <c r="F42" s="39"/>
      <c r="G42" s="59">
        <f t="shared" si="3"/>
        <v>2</v>
      </c>
      <c r="H42" s="60">
        <f t="shared" si="2"/>
        <v>14890.4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0.0</v>
      </c>
      <c r="F48" s="39"/>
      <c r="G48" s="59">
        <f t="shared" si="3"/>
        <v>0</v>
      </c>
      <c r="H48" s="60">
        <f t="shared" si="2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3.0</v>
      </c>
      <c r="F53" s="43"/>
      <c r="G53" s="59">
        <f t="shared" si="3"/>
        <v>3</v>
      </c>
      <c r="H53" s="60">
        <f t="shared" si="2"/>
        <v>705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4.0</v>
      </c>
      <c r="F54" s="43"/>
      <c r="G54" s="59">
        <f t="shared" si="3"/>
        <v>4</v>
      </c>
      <c r="H54" s="60">
        <f t="shared" si="2"/>
        <v>1184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4.0</v>
      </c>
      <c r="F55" s="43"/>
      <c r="G55" s="59">
        <f t="shared" si="3"/>
        <v>4</v>
      </c>
      <c r="H55" s="60">
        <f t="shared" si="2"/>
        <v>998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9.0</v>
      </c>
      <c r="F56" s="43"/>
      <c r="G56" s="59">
        <f t="shared" si="3"/>
        <v>9</v>
      </c>
      <c r="H56" s="60">
        <f t="shared" si="2"/>
        <v>1872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19764.66</v>
      </c>
      <c r="J64" s="32">
        <v>19439.0</v>
      </c>
      <c r="K64" s="33">
        <f>(J64-I64)/J64</f>
        <v>-0.01675291939</v>
      </c>
      <c r="L64" s="34">
        <f>J64-I64</f>
        <v>-325.66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2.0</v>
      </c>
      <c r="F69" s="65"/>
      <c r="G69" s="66">
        <f t="shared" si="4"/>
        <v>2</v>
      </c>
      <c r="H69" s="60">
        <f t="shared" si="2"/>
        <v>2897.26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2.0</v>
      </c>
      <c r="F84" s="65"/>
      <c r="G84" s="66">
        <f t="shared" si="4"/>
        <v>2</v>
      </c>
      <c r="H84" s="60">
        <f t="shared" si="2"/>
        <v>470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2.0</v>
      </c>
      <c r="F85" s="65"/>
      <c r="G85" s="66">
        <f t="shared" si="4"/>
        <v>2</v>
      </c>
      <c r="H85" s="60">
        <f t="shared" si="2"/>
        <v>592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2.0</v>
      </c>
      <c r="F86" s="65"/>
      <c r="G86" s="66">
        <f t="shared" si="4"/>
        <v>2</v>
      </c>
      <c r="H86" s="60">
        <f t="shared" si="2"/>
        <v>499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2.0</v>
      </c>
      <c r="F87" s="65"/>
      <c r="G87" s="66">
        <f t="shared" si="4"/>
        <v>2</v>
      </c>
      <c r="H87" s="60">
        <f t="shared" si="2"/>
        <v>416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799400.07</v>
      </c>
      <c r="J126" s="76">
        <f t="shared" si="6"/>
        <v>1357455</v>
      </c>
      <c r="K126" s="76"/>
      <c r="L126" s="76">
        <f>SUM(L2:L125)</f>
        <v>558054.93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'25062026'!$I$130:$J$158, 2, )</f>
        <v>7</v>
      </c>
      <c r="G131" s="100">
        <f>D131*F131</f>
        <v>490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7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7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7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1260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'25062026'!$I$130:$J$158, 2, )</f>
        <v>27</v>
      </c>
      <c r="G136" s="100">
        <f>D136*F136</f>
        <v>3510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27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27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4860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'25062026'!$I$130:$J$158, 2, )</f>
        <v>4</v>
      </c>
      <c r="G140" s="100">
        <f>D140*F140</f>
        <v>520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4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4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720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80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'25062026'!$I$130:$J$158,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'25062026'!$I$130:$J$158,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'25062026'!$I$130:$J$158,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'25062026'!$I$130:$J$158,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'25062026'!$I$130:$J$158,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'25062026'!$I$130:$J$158, 2, )</f>
        <v>8</v>
      </c>
      <c r="G167" s="101">
        <f>D167*F167</f>
        <v>8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8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8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'25062026'!$I$130:$J$158,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3</v>
      </c>
      <c r="G174" s="101">
        <f t="shared" si="7"/>
        <v>3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'25062026'!$I$130:$J$158,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'25062026'!$I$130:$J$158,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'25062026'!$I$130:$J$158, 2, )</f>
        <v>32</v>
      </c>
      <c r="G177" s="101">
        <f t="shared" si="7"/>
        <v>32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320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32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32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5760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32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'25062026'!$I$130:$J$158, 2, )</f>
        <v>7</v>
      </c>
      <c r="G183" s="101">
        <f>D183*F183</f>
        <v>7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7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7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7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1260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7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'25062026'!$I$130:$J$158,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'25062026'!$I$130:$J$158,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'25062026'!$I$130:$J$158,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'25062026'!$I$130:$J$158, 2, )</f>
        <v>3</v>
      </c>
      <c r="G211" s="100">
        <f>D211*F211</f>
        <v>4.5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75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540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375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3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3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'25062026'!$I$130:$J$158,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'25062026'!$I$130:$J$158, 2, )</f>
        <v>9</v>
      </c>
      <c r="G227" s="115">
        <f>D227*F227</f>
        <v>0.603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180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450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1620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9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9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'25062026'!$I$130:$J$158, 2, )</f>
        <v>1</v>
      </c>
      <c r="G233" s="123">
        <f>D233*F233</f>
        <v>70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1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1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1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180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1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'25062026'!$I$130:$J$158, 2, )</f>
        <v>0</v>
      </c>
      <c r="G239" s="127">
        <f t="shared" ref="G239:G240" si="8">D239*F239</f>
        <v>0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'25062026'!$I$130:$J$158,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'25062026'!$I$130:$J$158,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'25062026'!$I$130:$J$158, 2, )</f>
        <v>0</v>
      </c>
      <c r="G271" s="134">
        <f>D271*F271</f>
        <v>0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0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0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0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0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0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0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/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2.0</v>
      </c>
      <c r="F2" s="29"/>
      <c r="G2" s="30">
        <f t="shared" ref="G2:G32" si="1">sum(E2:F2)</f>
        <v>2</v>
      </c>
      <c r="H2" s="28">
        <f t="shared" ref="H2:H125" si="2">D2*G2</f>
        <v>17611.26</v>
      </c>
      <c r="I2" s="31">
        <f>sum(H2:H32)</f>
        <v>360944.36</v>
      </c>
      <c r="J2" s="32">
        <v>561388.0</v>
      </c>
      <c r="K2" s="33">
        <f>(J2-I2)/J2</f>
        <v>0.3570500973</v>
      </c>
      <c r="L2" s="34">
        <f>J2-I2</f>
        <v>200443.64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2.0</v>
      </c>
      <c r="F6" s="39"/>
      <c r="G6" s="40">
        <f t="shared" si="1"/>
        <v>2</v>
      </c>
      <c r="H6" s="38">
        <f t="shared" si="2"/>
        <v>7496.42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2.0</v>
      </c>
      <c r="F7" s="39"/>
      <c r="G7" s="40">
        <f t="shared" si="1"/>
        <v>2</v>
      </c>
      <c r="H7" s="38">
        <f t="shared" si="2"/>
        <v>2897.26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2.0</v>
      </c>
      <c r="F8" s="39"/>
      <c r="G8" s="40">
        <f t="shared" si="1"/>
        <v>2</v>
      </c>
      <c r="H8" s="38">
        <f t="shared" si="2"/>
        <v>23340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6.0</v>
      </c>
      <c r="F9" s="39"/>
      <c r="G9" s="40">
        <f t="shared" si="1"/>
        <v>6</v>
      </c>
      <c r="H9" s="38">
        <f t="shared" si="2"/>
        <v>56100.96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4.0</v>
      </c>
      <c r="F10" s="39"/>
      <c r="G10" s="40">
        <f t="shared" si="1"/>
        <v>4</v>
      </c>
      <c r="H10" s="38">
        <f t="shared" si="2"/>
        <v>39960.64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20.0</v>
      </c>
      <c r="F11" s="39"/>
      <c r="G11" s="40">
        <f t="shared" si="1"/>
        <v>20</v>
      </c>
      <c r="H11" s="38">
        <f t="shared" si="2"/>
        <v>148904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1.0</v>
      </c>
      <c r="F13" s="39"/>
      <c r="G13" s="40">
        <f t="shared" si="1"/>
        <v>1</v>
      </c>
      <c r="H13" s="38">
        <f t="shared" si="2"/>
        <v>14155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3.0</v>
      </c>
      <c r="F17" s="39"/>
      <c r="G17" s="40">
        <f t="shared" si="1"/>
        <v>3</v>
      </c>
      <c r="H17" s="38">
        <f t="shared" si="2"/>
        <v>27900.48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0.0</v>
      </c>
      <c r="F18" s="39"/>
      <c r="G18" s="40">
        <f t="shared" si="1"/>
        <v>0</v>
      </c>
      <c r="H18" s="38">
        <f t="shared" si="2"/>
        <v>0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14.0</v>
      </c>
      <c r="F22" s="43"/>
      <c r="G22" s="40">
        <f t="shared" si="1"/>
        <v>14</v>
      </c>
      <c r="H22" s="38">
        <f t="shared" si="2"/>
        <v>3290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18.0</v>
      </c>
      <c r="F23" s="43"/>
      <c r="G23" s="40">
        <f t="shared" si="1"/>
        <v>18</v>
      </c>
      <c r="H23" s="38">
        <f t="shared" si="2"/>
        <v>5328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21.0</v>
      </c>
      <c r="F24" s="43"/>
      <c r="G24" s="40">
        <f t="shared" si="1"/>
        <v>21</v>
      </c>
      <c r="H24" s="38">
        <f t="shared" si="2"/>
        <v>5239.5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32.0</v>
      </c>
      <c r="F25" s="43"/>
      <c r="G25" s="40">
        <f t="shared" si="1"/>
        <v>32</v>
      </c>
      <c r="H25" s="38">
        <f t="shared" si="2"/>
        <v>6656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1.0</v>
      </c>
      <c r="F28" s="43"/>
      <c r="G28" s="40">
        <f t="shared" si="1"/>
        <v>1</v>
      </c>
      <c r="H28" s="38">
        <f t="shared" si="2"/>
        <v>2064.84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0.0</v>
      </c>
      <c r="F30" s="47"/>
      <c r="G30" s="40">
        <f t="shared" si="1"/>
        <v>0</v>
      </c>
      <c r="H30" s="38">
        <f t="shared" si="2"/>
        <v>0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87737.28</v>
      </c>
      <c r="J33" s="32">
        <v>169646.0</v>
      </c>
      <c r="K33" s="33">
        <f>(J33-I33)/J33</f>
        <v>0.4828214046</v>
      </c>
      <c r="L33" s="34">
        <f>J33-I33</f>
        <v>81908.72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1.0</v>
      </c>
      <c r="F37" s="39"/>
      <c r="G37" s="59">
        <f t="shared" si="3"/>
        <v>1</v>
      </c>
      <c r="H37" s="60">
        <f t="shared" si="2"/>
        <v>3748.21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1.0</v>
      </c>
      <c r="F38" s="39"/>
      <c r="G38" s="59">
        <f t="shared" si="3"/>
        <v>1</v>
      </c>
      <c r="H38" s="60">
        <f t="shared" si="2"/>
        <v>1448.63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0.0</v>
      </c>
      <c r="F39" s="39"/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/>
      <c r="G41" s="59">
        <f t="shared" si="3"/>
        <v>2</v>
      </c>
      <c r="H41" s="60">
        <f t="shared" si="2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4.0</v>
      </c>
      <c r="F42" s="39"/>
      <c r="G42" s="59">
        <f t="shared" si="3"/>
        <v>4</v>
      </c>
      <c r="H42" s="60">
        <f t="shared" si="2"/>
        <v>29780.8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0.0</v>
      </c>
      <c r="F44" s="39"/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/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0.0</v>
      </c>
      <c r="F49" s="39"/>
      <c r="G49" s="59">
        <f t="shared" si="3"/>
        <v>0</v>
      </c>
      <c r="H49" s="60">
        <f t="shared" si="2"/>
        <v>0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3.0</v>
      </c>
      <c r="F51" s="43"/>
      <c r="G51" s="59">
        <f t="shared" si="3"/>
        <v>3</v>
      </c>
      <c r="H51" s="60">
        <f t="shared" si="2"/>
        <v>8625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4.0</v>
      </c>
      <c r="F53" s="43"/>
      <c r="G53" s="59">
        <f t="shared" si="3"/>
        <v>4</v>
      </c>
      <c r="H53" s="60">
        <f t="shared" si="2"/>
        <v>940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8.0</v>
      </c>
      <c r="F54" s="43"/>
      <c r="G54" s="59">
        <f t="shared" si="3"/>
        <v>8</v>
      </c>
      <c r="H54" s="60">
        <f t="shared" si="2"/>
        <v>2368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4.0</v>
      </c>
      <c r="F55" s="43"/>
      <c r="G55" s="59">
        <f t="shared" si="3"/>
        <v>4</v>
      </c>
      <c r="H55" s="60">
        <f t="shared" si="2"/>
        <v>998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6.0</v>
      </c>
      <c r="F56" s="43"/>
      <c r="G56" s="59">
        <f t="shared" si="3"/>
        <v>6</v>
      </c>
      <c r="H56" s="60">
        <f t="shared" si="2"/>
        <v>1248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2.0</v>
      </c>
      <c r="F64" s="63"/>
      <c r="G64" s="64">
        <f t="shared" ref="G64:G94" si="4">Sum(E64:F64)</f>
        <v>2</v>
      </c>
      <c r="H64" s="58">
        <f t="shared" si="2"/>
        <v>17611.26</v>
      </c>
      <c r="I64" s="31">
        <f>sum(H64:H94)</f>
        <v>68089.19</v>
      </c>
      <c r="J64" s="32">
        <v>114232.0</v>
      </c>
      <c r="K64" s="33">
        <f>(J64-I64)/J64</f>
        <v>0.403939439</v>
      </c>
      <c r="L64" s="34">
        <f>J64-I64</f>
        <v>46142.81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1.0</v>
      </c>
      <c r="F69" s="65"/>
      <c r="G69" s="66">
        <f t="shared" si="4"/>
        <v>1</v>
      </c>
      <c r="H69" s="60">
        <f t="shared" si="2"/>
        <v>1448.63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1.0</v>
      </c>
      <c r="F71" s="65"/>
      <c r="G71" s="66">
        <f t="shared" si="4"/>
        <v>1</v>
      </c>
      <c r="H71" s="60">
        <f t="shared" si="2"/>
        <v>9350.16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1.0</v>
      </c>
      <c r="F72" s="65"/>
      <c r="G72" s="66">
        <f t="shared" si="4"/>
        <v>1</v>
      </c>
      <c r="H72" s="60">
        <f t="shared" si="2"/>
        <v>9990.16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0.0</v>
      </c>
      <c r="F73" s="65"/>
      <c r="G73" s="66">
        <f t="shared" si="4"/>
        <v>0</v>
      </c>
      <c r="H73" s="60">
        <f t="shared" si="2"/>
        <v>0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3.0</v>
      </c>
      <c r="F79" s="65"/>
      <c r="G79" s="66">
        <f t="shared" si="4"/>
        <v>3</v>
      </c>
      <c r="H79" s="60">
        <f t="shared" si="2"/>
        <v>27900.48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0.0</v>
      </c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5.0</v>
      </c>
      <c r="F87" s="65"/>
      <c r="G87" s="66">
        <f t="shared" si="4"/>
        <v>5</v>
      </c>
      <c r="H87" s="60">
        <f t="shared" si="2"/>
        <v>1040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516770.83</v>
      </c>
      <c r="J126" s="76">
        <f t="shared" si="6"/>
        <v>845266</v>
      </c>
      <c r="K126" s="76"/>
      <c r="L126" s="76">
        <f>SUM(L2:L125)</f>
        <v>328495.17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'24062026'!$I$130:$J$158, 2, )</f>
        <v>2</v>
      </c>
      <c r="G131" s="100">
        <f>D131*F131</f>
        <v>140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2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2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2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360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'24062026'!$I$130:$J$158, 2, )</f>
        <v>7</v>
      </c>
      <c r="G136" s="100">
        <f>D136*F136</f>
        <v>910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7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7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1260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'24062026'!$I$130:$J$158, 2, )</f>
        <v>7</v>
      </c>
      <c r="G140" s="100">
        <f>D140*F140</f>
        <v>910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7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7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1260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140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'24062026'!$I$130:$J$158,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'24062026'!$I$130:$J$158,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'24062026'!$I$130:$J$158,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'24062026'!$I$130:$J$158,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'24062026'!$I$130:$J$158,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'24062026'!$I$130:$J$158, 2, )</f>
        <v>0</v>
      </c>
      <c r="G167" s="101">
        <f>D167*F167</f>
        <v>0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0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0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0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'24062026'!$I$130:$J$158,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3</v>
      </c>
      <c r="G174" s="101">
        <f t="shared" si="7"/>
        <v>3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'24062026'!$I$130:$J$158,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'24062026'!$I$130:$J$158,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'24062026'!$I$130:$J$158, 2, )</f>
        <v>24</v>
      </c>
      <c r="G177" s="101">
        <f t="shared" si="7"/>
        <v>24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240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24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24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4320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24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'24062026'!$I$130:$J$158, 2, )</f>
        <v>8</v>
      </c>
      <c r="G183" s="101">
        <f>D183*F183</f>
        <v>8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8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8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8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1440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8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'24062026'!$I$130:$J$158, 2, )</f>
        <v>4</v>
      </c>
      <c r="G189" s="101">
        <f>D189*F189</f>
        <v>16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60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200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720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500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4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4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'24062026'!$I$130:$J$158,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'24062026'!$I$130:$J$158,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'24062026'!$I$130:$J$158, 2, )</f>
        <v>3</v>
      </c>
      <c r="G211" s="100">
        <f>D211*F211</f>
        <v>4.5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75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540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375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3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3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'24062026'!$I$130:$J$158,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'24062026'!$I$130:$J$158, 2, )</f>
        <v>4</v>
      </c>
      <c r="G227" s="115">
        <f>D227*F227</f>
        <v>0.268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80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200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720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4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4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'24062026'!$I$130:$J$158,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'24062026'!$I$130:$J$158, 2, )</f>
        <v>1</v>
      </c>
      <c r="G239" s="127">
        <f t="shared" ref="G239:G240" si="8">D239*F239</f>
        <v>1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'24062026'!$I$130:$J$158,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'24062026'!$I$130:$J$158,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'24062026'!$I$130:$J$158, 2, )</f>
        <v>0</v>
      </c>
      <c r="G271" s="134">
        <f>D271*F271</f>
        <v>0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0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0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0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0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0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0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1.0</v>
      </c>
      <c r="F2" s="29"/>
      <c r="G2" s="30">
        <f t="shared" ref="G2:G32" si="1">sum(E2:F2)</f>
        <v>1</v>
      </c>
      <c r="H2" s="28">
        <f t="shared" ref="H2:H125" si="2">D2*G2</f>
        <v>8805.63</v>
      </c>
      <c r="I2" s="31">
        <f>sum(H2:H32)</f>
        <v>608382.22</v>
      </c>
      <c r="J2" s="32">
        <v>977502.0</v>
      </c>
      <c r="K2" s="33">
        <f>(J2-I2)/J2</f>
        <v>0.3776153706</v>
      </c>
      <c r="L2" s="34">
        <f>J2-I2</f>
        <v>369119.78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4.0</v>
      </c>
      <c r="F7" s="39"/>
      <c r="G7" s="40">
        <f t="shared" si="1"/>
        <v>4</v>
      </c>
      <c r="H7" s="38">
        <f t="shared" si="2"/>
        <v>5794.52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10.0</v>
      </c>
      <c r="F8" s="39"/>
      <c r="G8" s="40">
        <f t="shared" si="1"/>
        <v>10</v>
      </c>
      <c r="H8" s="38">
        <f t="shared" si="2"/>
        <v>116700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4.0</v>
      </c>
      <c r="F9" s="39"/>
      <c r="G9" s="40">
        <f t="shared" si="1"/>
        <v>4</v>
      </c>
      <c r="H9" s="38">
        <f t="shared" si="2"/>
        <v>37400.64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4.0</v>
      </c>
      <c r="F10" s="39"/>
      <c r="G10" s="40">
        <f t="shared" si="1"/>
        <v>4</v>
      </c>
      <c r="H10" s="38">
        <f t="shared" si="2"/>
        <v>39960.64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37.0</v>
      </c>
      <c r="F11" s="39"/>
      <c r="G11" s="40">
        <f t="shared" si="1"/>
        <v>37</v>
      </c>
      <c r="H11" s="38">
        <f t="shared" si="2"/>
        <v>275472.4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1.0</v>
      </c>
      <c r="F12" s="39"/>
      <c r="G12" s="40">
        <f t="shared" si="1"/>
        <v>1</v>
      </c>
      <c r="H12" s="38">
        <f t="shared" si="2"/>
        <v>17260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2.0</v>
      </c>
      <c r="F13" s="39"/>
      <c r="G13" s="40">
        <f t="shared" si="1"/>
        <v>2</v>
      </c>
      <c r="H13" s="38">
        <f t="shared" si="2"/>
        <v>28310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3.0</v>
      </c>
      <c r="F17" s="39"/>
      <c r="G17" s="40">
        <f t="shared" si="1"/>
        <v>3</v>
      </c>
      <c r="H17" s="38">
        <f t="shared" si="2"/>
        <v>27900.48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4.0</v>
      </c>
      <c r="F18" s="39"/>
      <c r="G18" s="40">
        <f t="shared" si="1"/>
        <v>4</v>
      </c>
      <c r="H18" s="38">
        <f t="shared" si="2"/>
        <v>6964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12.0</v>
      </c>
      <c r="F22" s="43"/>
      <c r="G22" s="40">
        <f t="shared" si="1"/>
        <v>12</v>
      </c>
      <c r="H22" s="38">
        <f t="shared" si="2"/>
        <v>2820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28.0</v>
      </c>
      <c r="F23" s="43"/>
      <c r="G23" s="40">
        <f t="shared" si="1"/>
        <v>28</v>
      </c>
      <c r="H23" s="38">
        <f t="shared" si="2"/>
        <v>8288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33.0</v>
      </c>
      <c r="F24" s="43"/>
      <c r="G24" s="40">
        <f t="shared" si="1"/>
        <v>33</v>
      </c>
      <c r="H24" s="38">
        <f t="shared" si="2"/>
        <v>8233.5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50.0</v>
      </c>
      <c r="F25" s="43"/>
      <c r="G25" s="40">
        <f t="shared" si="1"/>
        <v>50</v>
      </c>
      <c r="H25" s="38">
        <f t="shared" si="2"/>
        <v>10400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5.0</v>
      </c>
      <c r="F28" s="43"/>
      <c r="G28" s="40">
        <f t="shared" si="1"/>
        <v>5</v>
      </c>
      <c r="H28" s="38">
        <f t="shared" si="2"/>
        <v>10324.2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0.0</v>
      </c>
      <c r="F30" s="47"/>
      <c r="G30" s="40">
        <f t="shared" si="1"/>
        <v>0</v>
      </c>
      <c r="H30" s="38">
        <f t="shared" si="2"/>
        <v>0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>
        <v>0.0</v>
      </c>
      <c r="G33" s="57">
        <f t="shared" ref="G33:G63" si="3">SUM(E33:F33)</f>
        <v>0</v>
      </c>
      <c r="H33" s="58">
        <f t="shared" si="2"/>
        <v>0</v>
      </c>
      <c r="I33" s="31">
        <f>sum(H33:H63)</f>
        <v>164609.05</v>
      </c>
      <c r="J33" s="32">
        <v>236017.0</v>
      </c>
      <c r="K33" s="33">
        <f>(J33-I33)/J33</f>
        <v>0.3025542652</v>
      </c>
      <c r="L33" s="34">
        <f>J33-I33</f>
        <v>71407.95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>
        <v>0.0</v>
      </c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>
        <v>0.0</v>
      </c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>
        <v>0.0</v>
      </c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>
        <v>0.0</v>
      </c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1.0</v>
      </c>
      <c r="F38" s="39">
        <v>0.0</v>
      </c>
      <c r="G38" s="59">
        <f t="shared" si="3"/>
        <v>1</v>
      </c>
      <c r="H38" s="60">
        <f t="shared" si="2"/>
        <v>1448.63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0.0</v>
      </c>
      <c r="F39" s="39">
        <v>0.0</v>
      </c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2.0</v>
      </c>
      <c r="F40" s="39">
        <v>0.0</v>
      </c>
      <c r="G40" s="59">
        <f t="shared" si="3"/>
        <v>2</v>
      </c>
      <c r="H40" s="60">
        <f t="shared" si="2"/>
        <v>18700.32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3.0</v>
      </c>
      <c r="F41" s="39">
        <v>0.0</v>
      </c>
      <c r="G41" s="59">
        <f t="shared" si="3"/>
        <v>3</v>
      </c>
      <c r="H41" s="60">
        <f t="shared" si="2"/>
        <v>29970.48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9.0</v>
      </c>
      <c r="F42" s="39">
        <v>0.0</v>
      </c>
      <c r="G42" s="59">
        <f t="shared" si="3"/>
        <v>9</v>
      </c>
      <c r="H42" s="60">
        <f t="shared" si="2"/>
        <v>67006.8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>
        <v>0.0</v>
      </c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0.0</v>
      </c>
      <c r="F44" s="39">
        <v>0.0</v>
      </c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>
        <v>0.0</v>
      </c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>
        <v>0.0</v>
      </c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>
        <v>0.0</v>
      </c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>
        <v>0.0</v>
      </c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2.0</v>
      </c>
      <c r="F49" s="39">
        <v>1.0</v>
      </c>
      <c r="G49" s="59">
        <f t="shared" si="3"/>
        <v>3</v>
      </c>
      <c r="H49" s="60">
        <f t="shared" si="2"/>
        <v>5223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1.0</v>
      </c>
      <c r="F50" s="43">
        <v>0.0</v>
      </c>
      <c r="G50" s="59">
        <f t="shared" si="3"/>
        <v>1</v>
      </c>
      <c r="H50" s="60">
        <f t="shared" si="2"/>
        <v>2200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>
        <v>0.0</v>
      </c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>
        <v>0.0</v>
      </c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5.0</v>
      </c>
      <c r="F53" s="43">
        <v>0.0</v>
      </c>
      <c r="G53" s="59">
        <f t="shared" si="3"/>
        <v>5</v>
      </c>
      <c r="H53" s="60">
        <f t="shared" si="2"/>
        <v>1175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3.0</v>
      </c>
      <c r="F54" s="43">
        <v>0.0</v>
      </c>
      <c r="G54" s="59">
        <f t="shared" si="3"/>
        <v>3</v>
      </c>
      <c r="H54" s="60">
        <f t="shared" si="2"/>
        <v>888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9.0</v>
      </c>
      <c r="F55" s="43">
        <v>0.0</v>
      </c>
      <c r="G55" s="59">
        <f t="shared" si="3"/>
        <v>9</v>
      </c>
      <c r="H55" s="60">
        <f t="shared" si="2"/>
        <v>2245.5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17.0</v>
      </c>
      <c r="F56" s="43">
        <v>0.0</v>
      </c>
      <c r="G56" s="59">
        <f t="shared" si="3"/>
        <v>17</v>
      </c>
      <c r="H56" s="60">
        <f t="shared" si="2"/>
        <v>3536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>
        <v>0.0</v>
      </c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>
        <v>0.0</v>
      </c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1.0</v>
      </c>
      <c r="F59" s="43">
        <v>0.0</v>
      </c>
      <c r="G59" s="59">
        <f t="shared" si="3"/>
        <v>1</v>
      </c>
      <c r="H59" s="60">
        <f t="shared" si="2"/>
        <v>2064.84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>
        <v>0.0</v>
      </c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>
        <v>0.0</v>
      </c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>
        <v>0.0</v>
      </c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>
        <v>0.0</v>
      </c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77609.48</v>
      </c>
      <c r="J64" s="32">
        <v>162602.0</v>
      </c>
      <c r="K64" s="33">
        <f>(J64-I64)/J64</f>
        <v>0.5227027958</v>
      </c>
      <c r="L64" s="34">
        <f>J64-I64</f>
        <v>84992.52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2.0</v>
      </c>
      <c r="F69" s="65"/>
      <c r="G69" s="66">
        <f t="shared" si="4"/>
        <v>2</v>
      </c>
      <c r="H69" s="60">
        <f t="shared" si="2"/>
        <v>2897.26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1.0</v>
      </c>
      <c r="F70" s="65"/>
      <c r="G70" s="66">
        <f t="shared" si="4"/>
        <v>1</v>
      </c>
      <c r="H70" s="60">
        <f t="shared" si="2"/>
        <v>11670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2.0</v>
      </c>
      <c r="F71" s="65"/>
      <c r="G71" s="66">
        <f t="shared" si="4"/>
        <v>2</v>
      </c>
      <c r="H71" s="60">
        <f t="shared" si="2"/>
        <v>18700.32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2.0</v>
      </c>
      <c r="F72" s="65"/>
      <c r="G72" s="66">
        <f t="shared" si="4"/>
        <v>2</v>
      </c>
      <c r="H72" s="60">
        <f t="shared" si="2"/>
        <v>19980.32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1.0</v>
      </c>
      <c r="F82" s="65"/>
      <c r="G82" s="66">
        <f t="shared" si="4"/>
        <v>1</v>
      </c>
      <c r="H82" s="60">
        <f t="shared" si="2"/>
        <v>2875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2.0</v>
      </c>
      <c r="F84" s="65"/>
      <c r="G84" s="66">
        <f t="shared" si="4"/>
        <v>2</v>
      </c>
      <c r="H84" s="60">
        <f t="shared" si="2"/>
        <v>470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6.0</v>
      </c>
      <c r="F87" s="65"/>
      <c r="G87" s="66">
        <f t="shared" si="4"/>
        <v>6</v>
      </c>
      <c r="H87" s="60">
        <f t="shared" si="2"/>
        <v>1248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2.0</v>
      </c>
      <c r="F90" s="65"/>
      <c r="G90" s="66">
        <f t="shared" si="4"/>
        <v>2</v>
      </c>
      <c r="H90" s="60">
        <f t="shared" si="2"/>
        <v>4129.68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850600.75</v>
      </c>
      <c r="J126" s="76">
        <f t="shared" si="6"/>
        <v>1376121</v>
      </c>
      <c r="K126" s="76"/>
      <c r="L126" s="76">
        <f>SUM(L2:L125)</f>
        <v>525520.25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'23062026'!$I$130:$J$158, 2, )</f>
        <v>11</v>
      </c>
      <c r="G131" s="100">
        <f>D131*F131</f>
        <v>770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11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11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11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1980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'23062026'!$I$130:$J$158, 2, )</f>
        <v>8</v>
      </c>
      <c r="G136" s="100">
        <f>D136*F136</f>
        <v>1040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8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8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1440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'23062026'!$I$130:$J$158, 2, )</f>
        <v>9</v>
      </c>
      <c r="G140" s="100">
        <f>D140*F140</f>
        <v>1170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9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9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1620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180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'23062026'!$I$130:$J$158,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'23062026'!$I$130:$J$158, 2, )</f>
        <v>2</v>
      </c>
      <c r="G147" s="101">
        <f>D147*F147</f>
        <v>520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2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2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'23062026'!$I$130:$J$158,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'23062026'!$I$130:$J$158, 2, )</f>
        <v>1</v>
      </c>
      <c r="G154" s="101">
        <f>D154*F154</f>
        <v>130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1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1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180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1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'23062026'!$I$130:$J$158,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'23062026'!$I$130:$J$158, 2, )</f>
        <v>7</v>
      </c>
      <c r="G167" s="101">
        <f>D167*F167</f>
        <v>7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7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3.5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7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'23062026'!$I$130:$J$158,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1</v>
      </c>
      <c r="G173" s="101">
        <f t="shared" ref="G173:G177" si="7">D173*F173</f>
        <v>1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'23062026'!$I$130:$J$158,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'23062026'!$I$130:$J$158,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'23062026'!$I$130:$J$158, 2, )</f>
        <v>48</v>
      </c>
      <c r="G177" s="101">
        <f t="shared" si="7"/>
        <v>48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480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48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48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8640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48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'23062026'!$I$130:$J$158, 2, )</f>
        <v>5</v>
      </c>
      <c r="G183" s="101">
        <f>D183*F183</f>
        <v>5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5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5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5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900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5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'23062026'!$I$130:$J$158,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'23062026'!$I$130:$J$158,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'23062026'!$I$130:$J$158,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'23062026'!$I$130:$J$158, 2, )</f>
        <v>1</v>
      </c>
      <c r="G211" s="100">
        <f>D211*F211</f>
        <v>1.5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180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125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1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1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'23062026'!$I$130:$J$158,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'23062026'!$I$130:$J$158, 2, )</f>
        <v>7</v>
      </c>
      <c r="G227" s="115">
        <f>D227*F227</f>
        <v>0.469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140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350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1260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7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7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'23062026'!$I$130:$J$158,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'23062026'!$I$130:$J$158, 2, )</f>
        <v>8</v>
      </c>
      <c r="G239" s="127">
        <f t="shared" ref="G239:G240" si="8">D239*F239</f>
        <v>8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'23062026'!$I$130:$J$158,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'23062026'!$I$130:$J$158,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'23062026'!$I$130:$J$158, 2, )</f>
        <v>0</v>
      </c>
      <c r="G271" s="134">
        <f>D271*F271</f>
        <v>0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0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0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0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0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0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0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1.0</v>
      </c>
      <c r="F2" s="29"/>
      <c r="G2" s="30">
        <f t="shared" ref="G2:G32" si="1">sum(E2:F2)</f>
        <v>1</v>
      </c>
      <c r="H2" s="28">
        <f t="shared" ref="H2:H125" si="2">D2*G2</f>
        <v>8805.63</v>
      </c>
      <c r="I2" s="31">
        <f>sum(H2:H32)</f>
        <v>610271.36</v>
      </c>
      <c r="J2" s="32">
        <v>971818.0</v>
      </c>
      <c r="K2" s="33">
        <f>(J2-I2)/J2</f>
        <v>0.372031224</v>
      </c>
      <c r="L2" s="34">
        <f>J2-I2</f>
        <v>361546.64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5.0</v>
      </c>
      <c r="F6" s="39"/>
      <c r="G6" s="40">
        <f t="shared" si="1"/>
        <v>5</v>
      </c>
      <c r="H6" s="38">
        <f t="shared" si="2"/>
        <v>18741.05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6.0</v>
      </c>
      <c r="F7" s="39"/>
      <c r="G7" s="40">
        <f t="shared" si="1"/>
        <v>6</v>
      </c>
      <c r="H7" s="38">
        <f t="shared" si="2"/>
        <v>8691.78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9.0</v>
      </c>
      <c r="F8" s="39"/>
      <c r="G8" s="40">
        <f t="shared" si="1"/>
        <v>9</v>
      </c>
      <c r="H8" s="38">
        <f t="shared" si="2"/>
        <v>105030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17.0</v>
      </c>
      <c r="F9" s="39"/>
      <c r="G9" s="40">
        <f t="shared" si="1"/>
        <v>17</v>
      </c>
      <c r="H9" s="38">
        <f t="shared" si="2"/>
        <v>158952.72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3.0</v>
      </c>
      <c r="F10" s="39"/>
      <c r="G10" s="40">
        <f t="shared" si="1"/>
        <v>3</v>
      </c>
      <c r="H10" s="38">
        <f t="shared" si="2"/>
        <v>29970.48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22.0</v>
      </c>
      <c r="F11" s="39"/>
      <c r="G11" s="40">
        <f t="shared" si="1"/>
        <v>22</v>
      </c>
      <c r="H11" s="38">
        <f t="shared" si="2"/>
        <v>163794.4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1.0</v>
      </c>
      <c r="F14" s="39"/>
      <c r="G14" s="40">
        <f t="shared" si="1"/>
        <v>1</v>
      </c>
      <c r="H14" s="38">
        <f t="shared" si="2"/>
        <v>15435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6.0</v>
      </c>
      <c r="F17" s="39"/>
      <c r="G17" s="40">
        <f t="shared" si="1"/>
        <v>6</v>
      </c>
      <c r="H17" s="38">
        <f t="shared" si="2"/>
        <v>55800.96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7.0</v>
      </c>
      <c r="F18" s="39"/>
      <c r="G18" s="40">
        <f t="shared" si="1"/>
        <v>7</v>
      </c>
      <c r="H18" s="38">
        <f t="shared" si="2"/>
        <v>12187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15.0</v>
      </c>
      <c r="F22" s="43"/>
      <c r="G22" s="40">
        <f t="shared" si="1"/>
        <v>15</v>
      </c>
      <c r="H22" s="38">
        <f t="shared" si="2"/>
        <v>3525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22.0</v>
      </c>
      <c r="F23" s="43"/>
      <c r="G23" s="40">
        <f t="shared" si="1"/>
        <v>22</v>
      </c>
      <c r="H23" s="38">
        <f t="shared" si="2"/>
        <v>6512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25.0</v>
      </c>
      <c r="F24" s="43"/>
      <c r="G24" s="40">
        <f t="shared" si="1"/>
        <v>25</v>
      </c>
      <c r="H24" s="38">
        <f t="shared" si="2"/>
        <v>6237.5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56.0</v>
      </c>
      <c r="F25" s="43"/>
      <c r="G25" s="40">
        <f t="shared" si="1"/>
        <v>56</v>
      </c>
      <c r="H25" s="38">
        <f t="shared" si="2"/>
        <v>11648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1.0</v>
      </c>
      <c r="F28" s="43"/>
      <c r="G28" s="40">
        <f t="shared" si="1"/>
        <v>1</v>
      </c>
      <c r="H28" s="38">
        <f t="shared" si="2"/>
        <v>2064.84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0.0</v>
      </c>
      <c r="F30" s="47"/>
      <c r="G30" s="40">
        <f t="shared" si="1"/>
        <v>0</v>
      </c>
      <c r="H30" s="38">
        <f t="shared" si="2"/>
        <v>0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557174.26</v>
      </c>
      <c r="J33" s="32">
        <v>1012498.0</v>
      </c>
      <c r="K33" s="33">
        <f>(J33-I33)/J33</f>
        <v>0.4497033476</v>
      </c>
      <c r="L33" s="34">
        <f>J33-I33</f>
        <v>455323.74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2.0</v>
      </c>
      <c r="F38" s="39"/>
      <c r="G38" s="59">
        <f t="shared" si="3"/>
        <v>2</v>
      </c>
      <c r="H38" s="60">
        <f t="shared" si="2"/>
        <v>2897.26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7.0</v>
      </c>
      <c r="F39" s="39"/>
      <c r="G39" s="59">
        <f t="shared" si="3"/>
        <v>7</v>
      </c>
      <c r="H39" s="60">
        <f t="shared" si="2"/>
        <v>81690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1.0</v>
      </c>
      <c r="F40" s="39"/>
      <c r="G40" s="59">
        <f t="shared" si="3"/>
        <v>1</v>
      </c>
      <c r="H40" s="60">
        <f t="shared" si="2"/>
        <v>9350.16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6.0</v>
      </c>
      <c r="F41" s="39"/>
      <c r="G41" s="59">
        <f t="shared" si="3"/>
        <v>6</v>
      </c>
      <c r="H41" s="60">
        <f t="shared" si="2"/>
        <v>59940.96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18.0</v>
      </c>
      <c r="F42" s="39"/>
      <c r="G42" s="59">
        <f t="shared" si="3"/>
        <v>18</v>
      </c>
      <c r="H42" s="60">
        <f t="shared" si="2"/>
        <v>134013.6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3.0</v>
      </c>
      <c r="F44" s="39"/>
      <c r="G44" s="59">
        <f t="shared" si="3"/>
        <v>3</v>
      </c>
      <c r="H44" s="60">
        <f t="shared" si="2"/>
        <v>42465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3.0</v>
      </c>
      <c r="F45" s="39"/>
      <c r="G45" s="59">
        <f t="shared" si="3"/>
        <v>3</v>
      </c>
      <c r="H45" s="60">
        <f t="shared" si="2"/>
        <v>46305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4.0</v>
      </c>
      <c r="F48" s="39"/>
      <c r="G48" s="59">
        <f t="shared" si="3"/>
        <v>4</v>
      </c>
      <c r="H48" s="60">
        <f t="shared" si="2"/>
        <v>37200.64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5.0</v>
      </c>
      <c r="F49" s="39"/>
      <c r="G49" s="59">
        <f t="shared" si="3"/>
        <v>5</v>
      </c>
      <c r="H49" s="60">
        <f t="shared" si="2"/>
        <v>8705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2.0</v>
      </c>
      <c r="F51" s="43"/>
      <c r="G51" s="59">
        <f t="shared" si="3"/>
        <v>2</v>
      </c>
      <c r="H51" s="60">
        <f t="shared" si="2"/>
        <v>5750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3.0</v>
      </c>
      <c r="F52" s="43"/>
      <c r="G52" s="59">
        <f t="shared" si="3"/>
        <v>3</v>
      </c>
      <c r="H52" s="60">
        <f t="shared" si="2"/>
        <v>6339.48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17.0</v>
      </c>
      <c r="F53" s="43"/>
      <c r="G53" s="59">
        <f t="shared" si="3"/>
        <v>17</v>
      </c>
      <c r="H53" s="60">
        <f t="shared" si="2"/>
        <v>3995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21.0</v>
      </c>
      <c r="F54" s="43"/>
      <c r="G54" s="59">
        <f t="shared" si="3"/>
        <v>21</v>
      </c>
      <c r="H54" s="60">
        <f t="shared" si="2"/>
        <v>6216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30.0</v>
      </c>
      <c r="F55" s="43"/>
      <c r="G55" s="59">
        <f t="shared" si="3"/>
        <v>30</v>
      </c>
      <c r="H55" s="60">
        <f t="shared" si="2"/>
        <v>7485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32.0</v>
      </c>
      <c r="F56" s="43"/>
      <c r="G56" s="59">
        <f t="shared" si="3"/>
        <v>32</v>
      </c>
      <c r="H56" s="60">
        <f t="shared" si="2"/>
        <v>6656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5.0</v>
      </c>
      <c r="F60" s="47"/>
      <c r="G60" s="59">
        <f t="shared" si="3"/>
        <v>5</v>
      </c>
      <c r="H60" s="60">
        <f t="shared" si="2"/>
        <v>69355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37817.76</v>
      </c>
      <c r="J64" s="32">
        <v>61912.0</v>
      </c>
      <c r="K64" s="33">
        <f>(J64-I64)/J64</f>
        <v>0.3891691433</v>
      </c>
      <c r="L64" s="34">
        <f>J64-I64</f>
        <v>24094.24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1.0</v>
      </c>
      <c r="F79" s="65"/>
      <c r="G79" s="66">
        <f t="shared" si="4"/>
        <v>1</v>
      </c>
      <c r="H79" s="60">
        <f t="shared" si="2"/>
        <v>9300.16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1.0</v>
      </c>
      <c r="F80" s="65"/>
      <c r="G80" s="66">
        <f t="shared" si="4"/>
        <v>1</v>
      </c>
      <c r="H80" s="60">
        <f t="shared" si="2"/>
        <v>1741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1.0</v>
      </c>
      <c r="F82" s="65"/>
      <c r="G82" s="66">
        <f t="shared" si="4"/>
        <v>1</v>
      </c>
      <c r="H82" s="60">
        <f t="shared" si="2"/>
        <v>2875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1.0</v>
      </c>
      <c r="F84" s="65"/>
      <c r="G84" s="66">
        <f t="shared" si="4"/>
        <v>1</v>
      </c>
      <c r="H84" s="60">
        <f t="shared" si="2"/>
        <v>235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2.0</v>
      </c>
      <c r="F86" s="65"/>
      <c r="G86" s="66">
        <f t="shared" si="4"/>
        <v>2</v>
      </c>
      <c r="H86" s="60">
        <f t="shared" si="2"/>
        <v>499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4.0</v>
      </c>
      <c r="F87" s="65"/>
      <c r="G87" s="66">
        <f t="shared" si="4"/>
        <v>4</v>
      </c>
      <c r="H87" s="60">
        <f t="shared" si="2"/>
        <v>832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1205263.38</v>
      </c>
      <c r="J126" s="76">
        <f t="shared" si="6"/>
        <v>2046228</v>
      </c>
      <c r="K126" s="76"/>
      <c r="L126" s="76">
        <f>SUM(L2:L125)</f>
        <v>840964.62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'22062026'!$I$130:$J$158, 2, )</f>
        <v>16</v>
      </c>
      <c r="G131" s="100">
        <f>D131*F131</f>
        <v>1120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16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16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16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2880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'22062026'!$I$130:$J$158, 2, )</f>
        <v>18</v>
      </c>
      <c r="G136" s="100">
        <f>D136*F136</f>
        <v>2340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18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18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3240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'22062026'!$I$130:$J$158, 2, )</f>
        <v>9</v>
      </c>
      <c r="G140" s="100">
        <f>D140*F140</f>
        <v>1170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9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9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1620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180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'22062026'!$I$130:$J$158,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'22062026'!$I$130:$J$158, 2, )</f>
        <v>3</v>
      </c>
      <c r="G147" s="101">
        <f>D147*F147</f>
        <v>780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3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3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'22062026'!$I$130:$J$158, 2, )</f>
        <v>4</v>
      </c>
      <c r="G150" s="101">
        <f>D150*F150</f>
        <v>1040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4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4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160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'22062026'!$I$130:$J$158, 2, )</f>
        <v>1</v>
      </c>
      <c r="G154" s="101">
        <f>D154*F154</f>
        <v>130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1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1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180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1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'22062026'!$I$130:$J$158,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'22062026'!$I$130:$J$158, 2, )</f>
        <v>13</v>
      </c>
      <c r="G167" s="101">
        <f>D167*F167</f>
        <v>13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13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6.5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13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'22062026'!$I$130:$J$158, 2, )</f>
        <v>3</v>
      </c>
      <c r="G171" s="101">
        <f>D171*F171</f>
        <v>540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3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4</v>
      </c>
      <c r="G174" s="101">
        <f t="shared" si="7"/>
        <v>4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'22062026'!$I$130:$J$158,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'22062026'!$I$130:$J$158,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'22062026'!$I$130:$J$158, 2, )</f>
        <v>43</v>
      </c>
      <c r="G177" s="101">
        <f t="shared" si="7"/>
        <v>43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430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43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43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7740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43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'22062026'!$I$130:$J$158, 2, )</f>
        <v>11</v>
      </c>
      <c r="G183" s="101">
        <f>D183*F183</f>
        <v>11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11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11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11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1980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11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'22062026'!$I$130:$J$158,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'22062026'!$I$130:$J$158,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'22062026'!$I$130:$J$158,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'22062026'!$I$130:$J$158, 2, )</f>
        <v>5</v>
      </c>
      <c r="G211" s="100">
        <f>D211*F211</f>
        <v>7.5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125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250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900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625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5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5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'22062026'!$I$130:$J$158,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'22062026'!$I$130:$J$158, 2, )</f>
        <v>8</v>
      </c>
      <c r="G227" s="115">
        <f>D227*F227</f>
        <v>0.536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160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400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1440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8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8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'22062026'!$I$130:$J$158, 2, )</f>
        <v>5</v>
      </c>
      <c r="G233" s="123">
        <f>D233*F233</f>
        <v>350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5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5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5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900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5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'22062026'!$I$130:$J$158, 2, )</f>
        <v>1</v>
      </c>
      <c r="G239" s="127">
        <f t="shared" ref="G239:G240" si="8">D239*F239</f>
        <v>1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'22062026'!$I$130:$J$158,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'22062026'!$I$130:$J$158,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'22062026'!$I$130:$J$158, 2, )</f>
        <v>0</v>
      </c>
      <c r="G271" s="134">
        <f>D271*F271</f>
        <v>0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0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0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0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0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0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0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2.0</v>
      </c>
      <c r="F2" s="29"/>
      <c r="G2" s="30">
        <f t="shared" ref="G2:G32" si="1">sum(E2:F2)</f>
        <v>2</v>
      </c>
      <c r="H2" s="28">
        <f t="shared" ref="H2:H125" si="2">D2*G2</f>
        <v>17611.26</v>
      </c>
      <c r="I2" s="31">
        <f>sum(H2:H32)</f>
        <v>708574.15</v>
      </c>
      <c r="J2" s="32">
        <v>1103513.0</v>
      </c>
      <c r="K2" s="33">
        <f>(J2-I2)/J2</f>
        <v>0.3578923402</v>
      </c>
      <c r="L2" s="34">
        <f>J2-I2</f>
        <v>394938.85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3.0</v>
      </c>
      <c r="F6" s="39"/>
      <c r="G6" s="40">
        <f t="shared" si="1"/>
        <v>3</v>
      </c>
      <c r="H6" s="38">
        <f t="shared" si="2"/>
        <v>11244.63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2.0</v>
      </c>
      <c r="F7" s="39"/>
      <c r="G7" s="40">
        <f t="shared" si="1"/>
        <v>2</v>
      </c>
      <c r="H7" s="38">
        <f t="shared" si="2"/>
        <v>2897.26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5.0</v>
      </c>
      <c r="F8" s="39"/>
      <c r="G8" s="40">
        <f t="shared" si="1"/>
        <v>5</v>
      </c>
      <c r="H8" s="38">
        <f t="shared" si="2"/>
        <v>58350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14.0</v>
      </c>
      <c r="F9" s="39"/>
      <c r="G9" s="40">
        <f t="shared" si="1"/>
        <v>14</v>
      </c>
      <c r="H9" s="38">
        <f t="shared" si="2"/>
        <v>130902.24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2.0</v>
      </c>
      <c r="F10" s="39"/>
      <c r="G10" s="40">
        <f t="shared" si="1"/>
        <v>2</v>
      </c>
      <c r="H10" s="38">
        <f t="shared" si="2"/>
        <v>19980.32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39.0</v>
      </c>
      <c r="F11" s="39"/>
      <c r="G11" s="40">
        <f t="shared" si="1"/>
        <v>39</v>
      </c>
      <c r="H11" s="38">
        <f t="shared" si="2"/>
        <v>290362.8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2.0</v>
      </c>
      <c r="F13" s="39"/>
      <c r="G13" s="40">
        <f t="shared" si="1"/>
        <v>2</v>
      </c>
      <c r="H13" s="38">
        <f t="shared" si="2"/>
        <v>28310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2.0</v>
      </c>
      <c r="F14" s="39"/>
      <c r="G14" s="40">
        <f t="shared" si="1"/>
        <v>2</v>
      </c>
      <c r="H14" s="38">
        <f t="shared" si="2"/>
        <v>30870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1.0</v>
      </c>
      <c r="F16" s="39"/>
      <c r="G16" s="40">
        <f t="shared" si="1"/>
        <v>1</v>
      </c>
      <c r="H16" s="38">
        <f t="shared" si="2"/>
        <v>11550.16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3.0</v>
      </c>
      <c r="F17" s="39"/>
      <c r="G17" s="40">
        <f t="shared" si="1"/>
        <v>3</v>
      </c>
      <c r="H17" s="38">
        <f t="shared" si="2"/>
        <v>27900.48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5.0</v>
      </c>
      <c r="F18" s="39"/>
      <c r="G18" s="40">
        <f t="shared" si="1"/>
        <v>5</v>
      </c>
      <c r="H18" s="38">
        <f t="shared" si="2"/>
        <v>8705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34.0</v>
      </c>
      <c r="F22" s="43"/>
      <c r="G22" s="40">
        <f t="shared" si="1"/>
        <v>34</v>
      </c>
      <c r="H22" s="38">
        <f t="shared" si="2"/>
        <v>7990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27.0</v>
      </c>
      <c r="F23" s="43"/>
      <c r="G23" s="40">
        <f t="shared" si="1"/>
        <v>27</v>
      </c>
      <c r="H23" s="38">
        <f t="shared" si="2"/>
        <v>7992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50.0</v>
      </c>
      <c r="F24" s="43"/>
      <c r="G24" s="40">
        <f t="shared" si="1"/>
        <v>50</v>
      </c>
      <c r="H24" s="38">
        <f t="shared" si="2"/>
        <v>12475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52.0</v>
      </c>
      <c r="F25" s="43"/>
      <c r="G25" s="40">
        <f t="shared" si="1"/>
        <v>52</v>
      </c>
      <c r="H25" s="38">
        <f t="shared" si="2"/>
        <v>10816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2.0</v>
      </c>
      <c r="F29" s="47"/>
      <c r="G29" s="40">
        <f t="shared" si="1"/>
        <v>2</v>
      </c>
      <c r="H29" s="38">
        <f t="shared" si="2"/>
        <v>27742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0.0</v>
      </c>
      <c r="F30" s="47"/>
      <c r="G30" s="40">
        <f t="shared" si="1"/>
        <v>0</v>
      </c>
      <c r="H30" s="38">
        <f t="shared" si="2"/>
        <v>0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>
        <v>1.0</v>
      </c>
      <c r="G33" s="57">
        <f t="shared" ref="G33:G63" si="3">SUM(E33:F33)</f>
        <v>1</v>
      </c>
      <c r="H33" s="58">
        <f t="shared" si="2"/>
        <v>8805.63</v>
      </c>
      <c r="I33" s="31">
        <f>sum(H33:H63)</f>
        <v>593267.74</v>
      </c>
      <c r="J33" s="32">
        <v>1052812.0</v>
      </c>
      <c r="K33" s="33">
        <f>(J33-I33)/J33</f>
        <v>0.4364922322</v>
      </c>
      <c r="L33" s="34">
        <f>J33-I33</f>
        <v>459544.26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>
        <v>0.0</v>
      </c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>
        <v>0.0</v>
      </c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>
        <v>0.0</v>
      </c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>
        <v>0.0</v>
      </c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1.0</v>
      </c>
      <c r="F38" s="39">
        <v>0.0</v>
      </c>
      <c r="G38" s="59">
        <f t="shared" si="3"/>
        <v>1</v>
      </c>
      <c r="H38" s="60">
        <f t="shared" si="2"/>
        <v>1448.63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5.0</v>
      </c>
      <c r="F39" s="39">
        <v>0.0</v>
      </c>
      <c r="G39" s="59">
        <f t="shared" si="3"/>
        <v>5</v>
      </c>
      <c r="H39" s="60">
        <f t="shared" si="2"/>
        <v>58350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>
        <v>0.0</v>
      </c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1.0</v>
      </c>
      <c r="F41" s="39">
        <v>0.0</v>
      </c>
      <c r="G41" s="59">
        <f t="shared" si="3"/>
        <v>1</v>
      </c>
      <c r="H41" s="60">
        <f t="shared" si="2"/>
        <v>9990.16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46.0</v>
      </c>
      <c r="F42" s="39">
        <v>0.0</v>
      </c>
      <c r="G42" s="59">
        <f t="shared" si="3"/>
        <v>46</v>
      </c>
      <c r="H42" s="60">
        <f t="shared" si="2"/>
        <v>342479.2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>
        <v>0.0</v>
      </c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>
        <v>0.0</v>
      </c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2.0</v>
      </c>
      <c r="F45" s="39">
        <v>0.0</v>
      </c>
      <c r="G45" s="59">
        <f t="shared" si="3"/>
        <v>2</v>
      </c>
      <c r="H45" s="60">
        <f t="shared" si="2"/>
        <v>30870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>
        <v>0.0</v>
      </c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>
        <v>0.0</v>
      </c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5.0</v>
      </c>
      <c r="F48" s="39">
        <v>0.0</v>
      </c>
      <c r="G48" s="59">
        <f t="shared" si="3"/>
        <v>5</v>
      </c>
      <c r="H48" s="60">
        <f t="shared" si="2"/>
        <v>46500.8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7.0</v>
      </c>
      <c r="F49" s="39">
        <v>0.0</v>
      </c>
      <c r="G49" s="59">
        <f t="shared" si="3"/>
        <v>7</v>
      </c>
      <c r="H49" s="60">
        <f t="shared" si="2"/>
        <v>12187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1.0</v>
      </c>
      <c r="F50" s="43">
        <v>0.0</v>
      </c>
      <c r="G50" s="59">
        <f t="shared" si="3"/>
        <v>1</v>
      </c>
      <c r="H50" s="60">
        <f t="shared" si="2"/>
        <v>2200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2.0</v>
      </c>
      <c r="F51" s="43">
        <v>0.0</v>
      </c>
      <c r="G51" s="59">
        <f t="shared" si="3"/>
        <v>2</v>
      </c>
      <c r="H51" s="60">
        <f t="shared" si="2"/>
        <v>5750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1.0</v>
      </c>
      <c r="F52" s="43">
        <v>0.0</v>
      </c>
      <c r="G52" s="59">
        <f t="shared" si="3"/>
        <v>1</v>
      </c>
      <c r="H52" s="60">
        <f t="shared" si="2"/>
        <v>2113.16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45.0</v>
      </c>
      <c r="F53" s="43">
        <v>0.0</v>
      </c>
      <c r="G53" s="59">
        <f t="shared" si="3"/>
        <v>45</v>
      </c>
      <c r="H53" s="60">
        <f t="shared" si="2"/>
        <v>10575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48.0</v>
      </c>
      <c r="F54" s="43">
        <v>0.0</v>
      </c>
      <c r="G54" s="59">
        <f t="shared" si="3"/>
        <v>48</v>
      </c>
      <c r="H54" s="60">
        <f t="shared" si="2"/>
        <v>14208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46.0</v>
      </c>
      <c r="F55" s="43">
        <v>0.0</v>
      </c>
      <c r="G55" s="59">
        <f t="shared" si="3"/>
        <v>46</v>
      </c>
      <c r="H55" s="60">
        <f t="shared" si="2"/>
        <v>11477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51.0</v>
      </c>
      <c r="F56" s="43">
        <v>0.0</v>
      </c>
      <c r="G56" s="59">
        <f t="shared" si="3"/>
        <v>51</v>
      </c>
      <c r="H56" s="60">
        <f t="shared" si="2"/>
        <v>10608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>
        <v>0.0</v>
      </c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>
        <v>0.0</v>
      </c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>
        <v>0.0</v>
      </c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>
        <v>0.0</v>
      </c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>
        <v>0.0</v>
      </c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>
        <v>0.0</v>
      </c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>
        <v>0.0</v>
      </c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1.0</v>
      </c>
      <c r="F64" s="63"/>
      <c r="G64" s="64">
        <f t="shared" ref="G64:G94" si="4">Sum(E64:F64)</f>
        <v>1</v>
      </c>
      <c r="H64" s="58">
        <f t="shared" si="2"/>
        <v>8805.63</v>
      </c>
      <c r="I64" s="31">
        <f>sum(H64:H94)</f>
        <v>32249.73</v>
      </c>
      <c r="J64" s="32">
        <v>62872.0</v>
      </c>
      <c r="K64" s="33">
        <f>(J64-I64)/J64</f>
        <v>0.4870573546</v>
      </c>
      <c r="L64" s="34">
        <f>J64-I64</f>
        <v>30622.27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1.0</v>
      </c>
      <c r="F84" s="65"/>
      <c r="G84" s="66">
        <f t="shared" si="4"/>
        <v>1</v>
      </c>
      <c r="H84" s="60">
        <f t="shared" si="2"/>
        <v>235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1.0</v>
      </c>
      <c r="F86" s="65"/>
      <c r="G86" s="66">
        <f t="shared" si="4"/>
        <v>1</v>
      </c>
      <c r="H86" s="60">
        <f t="shared" si="2"/>
        <v>249.5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3.0</v>
      </c>
      <c r="F87" s="65"/>
      <c r="G87" s="66">
        <f t="shared" si="4"/>
        <v>3</v>
      </c>
      <c r="H87" s="60">
        <f t="shared" si="2"/>
        <v>624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1334091.62</v>
      </c>
      <c r="J126" s="76">
        <f t="shared" si="6"/>
        <v>2219197</v>
      </c>
      <c r="K126" s="76"/>
      <c r="L126" s="76">
        <f>SUM(L2:L125)</f>
        <v>885105.38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'21062026'!$I$130:$J$158, 2, )</f>
        <v>10</v>
      </c>
      <c r="G131" s="100">
        <f>D131*F131</f>
        <v>700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10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10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10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1800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'21062026'!$I$130:$J$158, 2, )</f>
        <v>14</v>
      </c>
      <c r="G136" s="100">
        <f>D136*F136</f>
        <v>1820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14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14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2520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'21062026'!$I$130:$J$158, 2, )</f>
        <v>3</v>
      </c>
      <c r="G140" s="100">
        <f>D140*F140</f>
        <v>390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3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3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540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60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'21062026'!$I$130:$J$158,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'21062026'!$I$130:$J$158, 2, )</f>
        <v>3</v>
      </c>
      <c r="G147" s="101">
        <f>D147*F147</f>
        <v>780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3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3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'21062026'!$I$130:$J$158, 2, )</f>
        <v>4</v>
      </c>
      <c r="G150" s="101">
        <f>D150*F150</f>
        <v>1040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4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4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160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'21062026'!$I$130:$J$158, 2, )</f>
        <v>2</v>
      </c>
      <c r="G154" s="101">
        <f>D154*F154</f>
        <v>260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2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2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360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2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'21062026'!$I$130:$J$158,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'21062026'!$I$130:$J$158, 2, )</f>
        <v>12</v>
      </c>
      <c r="G167" s="101">
        <f>D167*F167</f>
        <v>12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12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6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12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'21062026'!$I$130:$J$158,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1</v>
      </c>
      <c r="G173" s="101">
        <f t="shared" ref="G173:G177" si="7">D173*F173</f>
        <v>1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3</v>
      </c>
      <c r="G174" s="101">
        <f t="shared" si="7"/>
        <v>3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'21062026'!$I$130:$J$158,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'21062026'!$I$130:$J$158,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'21062026'!$I$130:$J$158, 2, )</f>
        <v>88</v>
      </c>
      <c r="G177" s="101">
        <f t="shared" si="7"/>
        <v>88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880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88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88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15840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88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'21062026'!$I$130:$J$158, 2, )</f>
        <v>8</v>
      </c>
      <c r="G183" s="101">
        <f>D183*F183</f>
        <v>8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8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8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8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1440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8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'21062026'!$I$130:$J$158, 2, )</f>
        <v>4</v>
      </c>
      <c r="G189" s="101">
        <f>D189*F189</f>
        <v>16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60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200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720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500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4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4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'21062026'!$I$130:$J$158,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'21062026'!$I$130:$J$158,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'21062026'!$I$130:$J$158, 2, )</f>
        <v>3</v>
      </c>
      <c r="G211" s="100">
        <f>D211*F211</f>
        <v>4.5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75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540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375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3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3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'21062026'!$I$130:$J$158,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'21062026'!$I$130:$J$158, 2, )</f>
        <v>3</v>
      </c>
      <c r="G227" s="115">
        <f>D227*F227</f>
        <v>0.201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60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540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3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3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'21062026'!$I$130:$J$158, 2, )</f>
        <v>2</v>
      </c>
      <c r="G233" s="123">
        <f>D233*F233</f>
        <v>140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2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2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2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360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2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'21062026'!$I$130:$J$158, 2, )</f>
        <v>0</v>
      </c>
      <c r="G239" s="127">
        <f t="shared" ref="G239:G240" si="8">D239*F239</f>
        <v>0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'21062026'!$I$130:$J$158,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'21062026'!$I$130:$J$158,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'21062026'!$I$130:$J$158, 2, )</f>
        <v>0</v>
      </c>
      <c r="G271" s="134">
        <f>D271*F271</f>
        <v>0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0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0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0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0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0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0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1.0</v>
      </c>
      <c r="F2" s="29"/>
      <c r="G2" s="30">
        <f t="shared" ref="G2:G32" si="1">sum(E2:F2)</f>
        <v>1</v>
      </c>
      <c r="H2" s="28">
        <f t="shared" ref="H2:H125" si="2">D2*G2</f>
        <v>8805.63</v>
      </c>
      <c r="I2" s="31">
        <f>sum(H2:H32)</f>
        <v>374763.61</v>
      </c>
      <c r="J2" s="32">
        <v>547221.0</v>
      </c>
      <c r="K2" s="33">
        <f>(J2-I2)/J2</f>
        <v>0.3151512643</v>
      </c>
      <c r="L2" s="34">
        <f>J2-I2</f>
        <v>172457.39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2.0</v>
      </c>
      <c r="F7" s="39"/>
      <c r="G7" s="40">
        <f t="shared" si="1"/>
        <v>2</v>
      </c>
      <c r="H7" s="38">
        <f t="shared" si="2"/>
        <v>2897.26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3.0</v>
      </c>
      <c r="F8" s="39"/>
      <c r="G8" s="40">
        <f t="shared" si="1"/>
        <v>3</v>
      </c>
      <c r="H8" s="38">
        <f t="shared" si="2"/>
        <v>35010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7.0</v>
      </c>
      <c r="F9" s="39"/>
      <c r="G9" s="40">
        <f t="shared" si="1"/>
        <v>7</v>
      </c>
      <c r="H9" s="38">
        <f t="shared" si="2"/>
        <v>65451.12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3.0</v>
      </c>
      <c r="F10" s="39"/>
      <c r="G10" s="40">
        <f t="shared" si="1"/>
        <v>3</v>
      </c>
      <c r="H10" s="38">
        <f t="shared" si="2"/>
        <v>29970.48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23.0</v>
      </c>
      <c r="F11" s="39"/>
      <c r="G11" s="40">
        <f t="shared" si="1"/>
        <v>23</v>
      </c>
      <c r="H11" s="38">
        <f t="shared" si="2"/>
        <v>171239.6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2.0</v>
      </c>
      <c r="F17" s="39"/>
      <c r="G17" s="40">
        <f t="shared" si="1"/>
        <v>2</v>
      </c>
      <c r="H17" s="38">
        <f t="shared" si="2"/>
        <v>18600.32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2.0</v>
      </c>
      <c r="F18" s="39"/>
      <c r="G18" s="40">
        <f t="shared" si="1"/>
        <v>2</v>
      </c>
      <c r="H18" s="38">
        <f t="shared" si="2"/>
        <v>3482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11.0</v>
      </c>
      <c r="F22" s="43"/>
      <c r="G22" s="40">
        <f t="shared" si="1"/>
        <v>11</v>
      </c>
      <c r="H22" s="38">
        <f t="shared" si="2"/>
        <v>2585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12.0</v>
      </c>
      <c r="F23" s="43"/>
      <c r="G23" s="40">
        <f t="shared" si="1"/>
        <v>12</v>
      </c>
      <c r="H23" s="38">
        <f t="shared" si="2"/>
        <v>3552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16.0</v>
      </c>
      <c r="F24" s="43"/>
      <c r="G24" s="40">
        <f t="shared" si="1"/>
        <v>16</v>
      </c>
      <c r="H24" s="38">
        <f t="shared" si="2"/>
        <v>3992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38.0</v>
      </c>
      <c r="F25" s="43"/>
      <c r="G25" s="40">
        <f t="shared" si="1"/>
        <v>38</v>
      </c>
      <c r="H25" s="38">
        <f t="shared" si="2"/>
        <v>7904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2.0</v>
      </c>
      <c r="F28" s="43"/>
      <c r="G28" s="40">
        <f t="shared" si="1"/>
        <v>2</v>
      </c>
      <c r="H28" s="38">
        <f t="shared" si="2"/>
        <v>4129.68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1.0</v>
      </c>
      <c r="F30" s="47"/>
      <c r="G30" s="40">
        <f t="shared" si="1"/>
        <v>1</v>
      </c>
      <c r="H30" s="38">
        <f t="shared" si="2"/>
        <v>10521.31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1.0</v>
      </c>
      <c r="F33" s="29"/>
      <c r="G33" s="57">
        <f t="shared" ref="G33:G63" si="3">SUM(E33:F33)</f>
        <v>1</v>
      </c>
      <c r="H33" s="58">
        <f t="shared" si="2"/>
        <v>8805.63</v>
      </c>
      <c r="I33" s="31">
        <f>sum(H33:H63)</f>
        <v>321010.49</v>
      </c>
      <c r="J33" s="32">
        <v>538745.0</v>
      </c>
      <c r="K33" s="33">
        <f>(J33-I33)/J33</f>
        <v>0.4041513332</v>
      </c>
      <c r="L33" s="34">
        <f>J33-I33</f>
        <v>217734.51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2.0</v>
      </c>
      <c r="F37" s="39"/>
      <c r="G37" s="59">
        <f t="shared" si="3"/>
        <v>2</v>
      </c>
      <c r="H37" s="60">
        <f t="shared" si="2"/>
        <v>7496.42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1.0</v>
      </c>
      <c r="F38" s="39"/>
      <c r="G38" s="59">
        <f t="shared" si="3"/>
        <v>1</v>
      </c>
      <c r="H38" s="60">
        <f t="shared" si="2"/>
        <v>1448.63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6.0</v>
      </c>
      <c r="F39" s="39"/>
      <c r="G39" s="59">
        <f t="shared" si="3"/>
        <v>6</v>
      </c>
      <c r="H39" s="60">
        <f t="shared" si="2"/>
        <v>70020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1.0</v>
      </c>
      <c r="F40" s="39"/>
      <c r="G40" s="59">
        <f t="shared" si="3"/>
        <v>1</v>
      </c>
      <c r="H40" s="60">
        <f t="shared" si="2"/>
        <v>9350.16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1.0</v>
      </c>
      <c r="F41" s="39"/>
      <c r="G41" s="59">
        <f t="shared" si="3"/>
        <v>1</v>
      </c>
      <c r="H41" s="60">
        <f t="shared" si="2"/>
        <v>9990.16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10.0</v>
      </c>
      <c r="F42" s="39"/>
      <c r="G42" s="59">
        <f t="shared" si="3"/>
        <v>10</v>
      </c>
      <c r="H42" s="60">
        <f t="shared" si="2"/>
        <v>74452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0.0</v>
      </c>
      <c r="F44" s="39"/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2.0</v>
      </c>
      <c r="F47" s="39"/>
      <c r="G47" s="59">
        <f t="shared" si="3"/>
        <v>2</v>
      </c>
      <c r="H47" s="60">
        <f t="shared" si="2"/>
        <v>23100.32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4.0</v>
      </c>
      <c r="F48" s="39"/>
      <c r="G48" s="59">
        <f t="shared" si="3"/>
        <v>4</v>
      </c>
      <c r="H48" s="60">
        <f t="shared" si="2"/>
        <v>37200.64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3.0</v>
      </c>
      <c r="F49" s="39"/>
      <c r="G49" s="59">
        <f t="shared" si="3"/>
        <v>3</v>
      </c>
      <c r="H49" s="60">
        <f t="shared" si="2"/>
        <v>5223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1.0</v>
      </c>
      <c r="F50" s="43"/>
      <c r="G50" s="59">
        <f t="shared" si="3"/>
        <v>1</v>
      </c>
      <c r="H50" s="60">
        <f t="shared" si="2"/>
        <v>2200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/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10.0</v>
      </c>
      <c r="F53" s="43"/>
      <c r="G53" s="59">
        <f t="shared" si="3"/>
        <v>10</v>
      </c>
      <c r="H53" s="60">
        <f t="shared" si="2"/>
        <v>2350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2.0</v>
      </c>
      <c r="F54" s="43"/>
      <c r="G54" s="59">
        <f t="shared" si="3"/>
        <v>2</v>
      </c>
      <c r="H54" s="60">
        <f t="shared" si="2"/>
        <v>592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9.0</v>
      </c>
      <c r="F55" s="43"/>
      <c r="G55" s="59">
        <f t="shared" si="3"/>
        <v>9</v>
      </c>
      <c r="H55" s="60">
        <f t="shared" si="2"/>
        <v>2245.5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23.0</v>
      </c>
      <c r="F56" s="43"/>
      <c r="G56" s="59">
        <f t="shared" si="3"/>
        <v>23</v>
      </c>
      <c r="H56" s="60">
        <f t="shared" si="2"/>
        <v>4784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8.0</v>
      </c>
      <c r="F59" s="43"/>
      <c r="G59" s="59">
        <f t="shared" si="3"/>
        <v>8</v>
      </c>
      <c r="H59" s="60">
        <f t="shared" si="2"/>
        <v>16518.72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2.0</v>
      </c>
      <c r="F60" s="47"/>
      <c r="G60" s="59">
        <f t="shared" si="3"/>
        <v>2</v>
      </c>
      <c r="H60" s="60">
        <f t="shared" si="2"/>
        <v>27742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1.0</v>
      </c>
      <c r="F63" s="53"/>
      <c r="G63" s="61">
        <f t="shared" si="3"/>
        <v>1</v>
      </c>
      <c r="H63" s="62">
        <f t="shared" si="2"/>
        <v>14616.31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41271.31</v>
      </c>
      <c r="J64" s="32">
        <v>74682.0</v>
      </c>
      <c r="K64" s="33">
        <f>(J64-I64)/J64</f>
        <v>0.447372727</v>
      </c>
      <c r="L64" s="34">
        <f>J64-I64</f>
        <v>33410.69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1.0</v>
      </c>
      <c r="F68" s="65"/>
      <c r="G68" s="66">
        <f t="shared" si="4"/>
        <v>1</v>
      </c>
      <c r="H68" s="60">
        <f t="shared" si="2"/>
        <v>3748.21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1.0</v>
      </c>
      <c r="F84" s="65"/>
      <c r="G84" s="66">
        <f t="shared" si="4"/>
        <v>1</v>
      </c>
      <c r="H84" s="60">
        <f t="shared" si="2"/>
        <v>235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1.0</v>
      </c>
      <c r="F86" s="65"/>
      <c r="G86" s="66">
        <f t="shared" si="4"/>
        <v>1</v>
      </c>
      <c r="H86" s="60">
        <f t="shared" si="2"/>
        <v>249.5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4.0</v>
      </c>
      <c r="F87" s="65"/>
      <c r="G87" s="66">
        <f t="shared" si="4"/>
        <v>4</v>
      </c>
      <c r="H87" s="60">
        <f t="shared" si="2"/>
        <v>832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1.0</v>
      </c>
      <c r="F91" s="67"/>
      <c r="G91" s="66">
        <f t="shared" si="4"/>
        <v>1</v>
      </c>
      <c r="H91" s="60">
        <f t="shared" si="2"/>
        <v>13871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737045.41</v>
      </c>
      <c r="J126" s="76">
        <f t="shared" si="6"/>
        <v>1160648</v>
      </c>
      <c r="K126" s="76"/>
      <c r="L126" s="76">
        <f>SUM(L2:L125)</f>
        <v>423602.59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'20062026'!$I$130:$J$158, 2, )</f>
        <v>9</v>
      </c>
      <c r="G131" s="100">
        <f>D131*F131</f>
        <v>630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9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9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9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1620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'20062026'!$I$130:$J$158, 2, )</f>
        <v>8</v>
      </c>
      <c r="G136" s="100">
        <f>D136*F136</f>
        <v>1040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8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8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1440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'20062026'!$I$130:$J$158, 2, )</f>
        <v>4</v>
      </c>
      <c r="G140" s="100">
        <f>D140*F140</f>
        <v>520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4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4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720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80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'20062026'!$I$130:$J$158,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'20062026'!$I$130:$J$158, 2, )</f>
        <v>0</v>
      </c>
      <c r="G147" s="101">
        <f>D147*F147</f>
        <v>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0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0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'20062026'!$I$130:$J$158,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'20062026'!$I$130:$J$158, 2, )</f>
        <v>2</v>
      </c>
      <c r="G154" s="101">
        <f>D154*F154</f>
        <v>260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2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2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360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2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'20062026'!$I$130:$J$158,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'20062026'!$I$130:$J$158, 2, )</f>
        <v>5</v>
      </c>
      <c r="G167" s="101">
        <f>D167*F167</f>
        <v>5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5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2.5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5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'20062026'!$I$130:$J$158,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1</v>
      </c>
      <c r="G173" s="101">
        <f t="shared" ref="G173:G177" si="7">D173*F173</f>
        <v>1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2</v>
      </c>
      <c r="G174" s="101">
        <f t="shared" si="7"/>
        <v>2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'20062026'!$I$130:$J$158,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'20062026'!$I$130:$J$158,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'20062026'!$I$130:$J$158, 2, )</f>
        <v>36</v>
      </c>
      <c r="G177" s="101">
        <f t="shared" si="7"/>
        <v>36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360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36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36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6480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36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'20062026'!$I$130:$J$158, 2, )</f>
        <v>6</v>
      </c>
      <c r="G183" s="101">
        <f>D183*F183</f>
        <v>6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6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6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6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1080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6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'20062026'!$I$130:$J$158, 2, )</f>
        <v>2</v>
      </c>
      <c r="G189" s="101">
        <f>D189*F189</f>
        <v>8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30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100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360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250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2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2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'20062026'!$I$130:$J$158,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'20062026'!$I$130:$J$158,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'20062026'!$I$130:$J$158, 2, )</f>
        <v>4</v>
      </c>
      <c r="G211" s="100">
        <f>D211*F211</f>
        <v>6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100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200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720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500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4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4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'20062026'!$I$130:$J$158,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'20062026'!$I$130:$J$158, 2, )</f>
        <v>3</v>
      </c>
      <c r="G227" s="115">
        <f>D227*F227</f>
        <v>0.201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60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540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3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3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'20062026'!$I$130:$J$158, 2, )</f>
        <v>3</v>
      </c>
      <c r="G233" s="123">
        <f>D233*F233</f>
        <v>210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3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3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3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540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3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'20062026'!$I$130:$J$158, 2, )</f>
        <v>10</v>
      </c>
      <c r="G239" s="127">
        <f t="shared" ref="G239:G240" si="8">D239*F239</f>
        <v>10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'20062026'!$I$130:$J$158,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'20062026'!$I$130:$J$158, 2, )</f>
        <v>1</v>
      </c>
      <c r="G255" s="144">
        <f>D255*F255</f>
        <v>67.5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7.5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117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1.25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70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2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1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10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100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15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15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10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1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10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'20062026'!$I$130:$J$158, 2, )</f>
        <v>1</v>
      </c>
      <c r="G271" s="134">
        <f>D271*F271</f>
        <v>67.5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7.5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117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1.25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1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1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10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100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15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15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10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1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10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573511.46</v>
      </c>
      <c r="J2" s="32">
        <v>921835.0</v>
      </c>
      <c r="K2" s="33">
        <f>(J2-I2)/J2</f>
        <v>0.3778588793</v>
      </c>
      <c r="L2" s="34">
        <f>J2-I2</f>
        <v>348323.54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2.0</v>
      </c>
      <c r="F6" s="39"/>
      <c r="G6" s="40">
        <f t="shared" si="1"/>
        <v>2</v>
      </c>
      <c r="H6" s="38">
        <f t="shared" si="2"/>
        <v>7496.42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2.0</v>
      </c>
      <c r="F7" s="39"/>
      <c r="G7" s="40">
        <f t="shared" si="1"/>
        <v>2</v>
      </c>
      <c r="H7" s="38">
        <f t="shared" si="2"/>
        <v>2897.26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5.0</v>
      </c>
      <c r="F8" s="39"/>
      <c r="G8" s="40">
        <f t="shared" si="1"/>
        <v>5</v>
      </c>
      <c r="H8" s="38">
        <f t="shared" si="2"/>
        <v>58350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18.0</v>
      </c>
      <c r="F9" s="39"/>
      <c r="G9" s="40">
        <f t="shared" si="1"/>
        <v>18</v>
      </c>
      <c r="H9" s="38">
        <f t="shared" si="2"/>
        <v>168302.88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3.0</v>
      </c>
      <c r="F10" s="39"/>
      <c r="G10" s="40">
        <f t="shared" si="1"/>
        <v>3</v>
      </c>
      <c r="H10" s="38">
        <f t="shared" si="2"/>
        <v>29970.48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22.0</v>
      </c>
      <c r="F11" s="39"/>
      <c r="G11" s="40">
        <f t="shared" si="1"/>
        <v>22</v>
      </c>
      <c r="H11" s="38">
        <f t="shared" si="2"/>
        <v>163794.4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6.0</v>
      </c>
      <c r="F17" s="39"/>
      <c r="G17" s="40">
        <f t="shared" si="1"/>
        <v>6</v>
      </c>
      <c r="H17" s="38">
        <f t="shared" si="2"/>
        <v>55800.96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8.0</v>
      </c>
      <c r="F18" s="39"/>
      <c r="G18" s="40">
        <f t="shared" si="1"/>
        <v>8</v>
      </c>
      <c r="H18" s="38">
        <f t="shared" si="2"/>
        <v>13928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13.0</v>
      </c>
      <c r="F22" s="43"/>
      <c r="G22" s="40">
        <f t="shared" si="1"/>
        <v>13</v>
      </c>
      <c r="H22" s="38">
        <f t="shared" si="2"/>
        <v>3055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23.0</v>
      </c>
      <c r="F23" s="43"/>
      <c r="G23" s="40">
        <f t="shared" si="1"/>
        <v>23</v>
      </c>
      <c r="H23" s="38">
        <f t="shared" si="2"/>
        <v>6808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35.0</v>
      </c>
      <c r="F24" s="43"/>
      <c r="G24" s="40">
        <f t="shared" si="1"/>
        <v>35</v>
      </c>
      <c r="H24" s="38">
        <f t="shared" si="2"/>
        <v>8732.5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56.0</v>
      </c>
      <c r="F25" s="43"/>
      <c r="G25" s="40">
        <f t="shared" si="1"/>
        <v>56</v>
      </c>
      <c r="H25" s="38">
        <f t="shared" si="2"/>
        <v>11648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152894.17</v>
      </c>
      <c r="J33" s="32">
        <v>100180.0</v>
      </c>
      <c r="K33" s="33">
        <f>(J33-I33)/J33</f>
        <v>-0.5261945498</v>
      </c>
      <c r="L33" s="34">
        <f>J33-I33</f>
        <v>-52714.17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2.0</v>
      </c>
      <c r="F37" s="39"/>
      <c r="G37" s="59">
        <f t="shared" si="3"/>
        <v>2</v>
      </c>
      <c r="H37" s="60">
        <f t="shared" si="2"/>
        <v>7496.42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0.0</v>
      </c>
      <c r="F38" s="39"/>
      <c r="G38" s="59">
        <f t="shared" si="3"/>
        <v>0</v>
      </c>
      <c r="H38" s="60">
        <f t="shared" si="2"/>
        <v>0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/>
      <c r="G39" s="59">
        <f t="shared" si="3"/>
        <v>1</v>
      </c>
      <c r="H39" s="60">
        <f t="shared" si="2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0.0</v>
      </c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10.0</v>
      </c>
      <c r="F42" s="39"/>
      <c r="G42" s="59">
        <f t="shared" si="3"/>
        <v>10</v>
      </c>
      <c r="H42" s="60">
        <f t="shared" si="2"/>
        <v>74452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0.0</v>
      </c>
      <c r="F44" s="39"/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/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0.0</v>
      </c>
      <c r="F49" s="39"/>
      <c r="G49" s="59">
        <f t="shared" si="3"/>
        <v>0</v>
      </c>
      <c r="H49" s="60">
        <f t="shared" si="2"/>
        <v>0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6.0</v>
      </c>
      <c r="F53" s="43"/>
      <c r="G53" s="59">
        <f t="shared" si="3"/>
        <v>6</v>
      </c>
      <c r="H53" s="60">
        <f t="shared" si="2"/>
        <v>1410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10.0</v>
      </c>
      <c r="F54" s="43"/>
      <c r="G54" s="59">
        <f t="shared" si="3"/>
        <v>10</v>
      </c>
      <c r="H54" s="60">
        <f t="shared" si="2"/>
        <v>2960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9.0</v>
      </c>
      <c r="F55" s="43"/>
      <c r="G55" s="59">
        <f t="shared" si="3"/>
        <v>9</v>
      </c>
      <c r="H55" s="60">
        <f t="shared" si="2"/>
        <v>2245.5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12.0</v>
      </c>
      <c r="F56" s="43"/>
      <c r="G56" s="59">
        <f t="shared" si="3"/>
        <v>12</v>
      </c>
      <c r="H56" s="60">
        <f t="shared" si="2"/>
        <v>2496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3.0</v>
      </c>
      <c r="F61" s="47"/>
      <c r="G61" s="59">
        <f t="shared" si="3"/>
        <v>3</v>
      </c>
      <c r="H61" s="60">
        <f t="shared" si="2"/>
        <v>31563.93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39201.62</v>
      </c>
      <c r="J64" s="32">
        <v>87717.0</v>
      </c>
      <c r="K64" s="33">
        <f>(J64-I64)/J64</f>
        <v>0.553089823</v>
      </c>
      <c r="L64" s="34">
        <f>J64-I64</f>
        <v>48515.38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1.0</v>
      </c>
      <c r="F66" s="65"/>
      <c r="G66" s="66">
        <f t="shared" si="4"/>
        <v>1</v>
      </c>
      <c r="H66" s="60">
        <f t="shared" si="2"/>
        <v>6013.63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1.0</v>
      </c>
      <c r="F69" s="65"/>
      <c r="G69" s="66">
        <f t="shared" si="4"/>
        <v>1</v>
      </c>
      <c r="H69" s="60">
        <f t="shared" si="2"/>
        <v>1448.63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1.0</v>
      </c>
      <c r="F73" s="65"/>
      <c r="G73" s="66">
        <f t="shared" si="4"/>
        <v>1</v>
      </c>
      <c r="H73" s="60">
        <f t="shared" si="2"/>
        <v>7445.2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1.0</v>
      </c>
      <c r="F79" s="65"/>
      <c r="G79" s="66">
        <f t="shared" si="4"/>
        <v>1</v>
      </c>
      <c r="H79" s="60">
        <f t="shared" si="2"/>
        <v>9300.16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0.0</v>
      </c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2.0</v>
      </c>
      <c r="F86" s="65"/>
      <c r="G86" s="66">
        <f t="shared" si="4"/>
        <v>2</v>
      </c>
      <c r="H86" s="60">
        <f t="shared" si="2"/>
        <v>499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3.0</v>
      </c>
      <c r="F87" s="65"/>
      <c r="G87" s="66">
        <f t="shared" si="4"/>
        <v>3</v>
      </c>
      <c r="H87" s="60">
        <f t="shared" si="2"/>
        <v>624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1.0</v>
      </c>
      <c r="F91" s="67"/>
      <c r="G91" s="66">
        <f t="shared" si="4"/>
        <v>1</v>
      </c>
      <c r="H91" s="60">
        <f t="shared" si="2"/>
        <v>13871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 t="s">
        <v>107</v>
      </c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213173.2</v>
      </c>
      <c r="J95" s="32">
        <v>420000.0</v>
      </c>
      <c r="K95" s="33">
        <f>(J95-I95)/J95</f>
        <v>0.4924447619</v>
      </c>
      <c r="L95" s="34">
        <f>J95-I95</f>
        <v>206826.8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>
        <v>10.0</v>
      </c>
      <c r="F102" s="65"/>
      <c r="G102" s="66">
        <f t="shared" si="5"/>
        <v>10</v>
      </c>
      <c r="H102" s="60">
        <f t="shared" si="2"/>
        <v>93501.6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>
        <v>10.0</v>
      </c>
      <c r="F103" s="65"/>
      <c r="G103" s="66">
        <f t="shared" si="5"/>
        <v>10</v>
      </c>
      <c r="H103" s="60">
        <f t="shared" si="2"/>
        <v>99901.6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>
        <v>20.0</v>
      </c>
      <c r="F115" s="65"/>
      <c r="G115" s="66">
        <f t="shared" si="5"/>
        <v>20</v>
      </c>
      <c r="H115" s="60">
        <f t="shared" si="2"/>
        <v>4700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>
        <v>20.0</v>
      </c>
      <c r="F116" s="65"/>
      <c r="G116" s="66">
        <f t="shared" si="5"/>
        <v>20</v>
      </c>
      <c r="H116" s="60">
        <f t="shared" si="2"/>
        <v>5920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>
        <v>20.0</v>
      </c>
      <c r="F117" s="65"/>
      <c r="G117" s="66">
        <f t="shared" si="5"/>
        <v>20</v>
      </c>
      <c r="H117" s="60">
        <f t="shared" si="2"/>
        <v>4990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>
        <v>20.0</v>
      </c>
      <c r="F118" s="65"/>
      <c r="G118" s="66">
        <f t="shared" si="5"/>
        <v>20</v>
      </c>
      <c r="H118" s="60">
        <f t="shared" si="2"/>
        <v>4160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978780.45</v>
      </c>
      <c r="J126" s="76">
        <f t="shared" si="6"/>
        <v>1529732</v>
      </c>
      <c r="K126" s="76"/>
      <c r="L126" s="76">
        <f>SUM(L2:L125)</f>
        <v>550951.55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'19062026'!$I$130:$J$158, 2, )</f>
        <v>6</v>
      </c>
      <c r="G131" s="100">
        <f>D131*F131</f>
        <v>420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6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6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6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1080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'19062026'!$I$130:$J$158, 2, )</f>
        <v>28</v>
      </c>
      <c r="G136" s="100">
        <f>D136*F136</f>
        <v>3640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28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28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5040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'19062026'!$I$130:$J$158, 2, )</f>
        <v>13</v>
      </c>
      <c r="G140" s="100">
        <f>D140*F140</f>
        <v>1690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13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13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2340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260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'19062026'!$I$130:$J$158,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'19062026'!$I$130:$J$158, 2, )</f>
        <v>0</v>
      </c>
      <c r="G147" s="101">
        <f>D147*F147</f>
        <v>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0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0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'19062026'!$I$130:$J$158,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'19062026'!$I$130:$J$158,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'19062026'!$I$130:$J$158,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'19062026'!$I$130:$J$158, 2, )</f>
        <v>8</v>
      </c>
      <c r="G167" s="101">
        <f>D167*F167</f>
        <v>8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8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8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'19062026'!$I$130:$J$158,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'19062026'!$I$130:$J$158,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'19062026'!$I$130:$J$158,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'19062026'!$I$130:$J$158, 2, )</f>
        <v>33</v>
      </c>
      <c r="G177" s="101">
        <f t="shared" si="7"/>
        <v>33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330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33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33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5940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33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'19062026'!$I$130:$J$158, 2, )</f>
        <v>9</v>
      </c>
      <c r="G183" s="101">
        <f>D183*F183</f>
        <v>9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9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9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9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1620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9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'19062026'!$I$130:$J$158,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'19062026'!$I$130:$J$158,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'19062026'!$I$130:$J$158,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'19062026'!$I$130:$J$158, 2, )</f>
        <v>4</v>
      </c>
      <c r="G211" s="100">
        <f>D211*F211</f>
        <v>6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100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200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720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500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4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4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'19062026'!$I$130:$J$158,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'19062026'!$I$130:$J$158, 2, )</f>
        <v>3</v>
      </c>
      <c r="G227" s="115">
        <f>D227*F227</f>
        <v>0.201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60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540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3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3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'19062026'!$I$130:$J$158, 2, )</f>
        <v>1</v>
      </c>
      <c r="G233" s="123">
        <f>D233*F233</f>
        <v>70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1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1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1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180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1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'19062026'!$I$130:$J$158, 2, )</f>
        <v>0</v>
      </c>
      <c r="G239" s="127">
        <f t="shared" ref="G239:G240" si="8">D239*F239</f>
        <v>0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'19062026'!$I$130:$J$158,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'19062026'!$I$130:$J$158,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'19062026'!$I$130:$J$158, 2, )</f>
        <v>5</v>
      </c>
      <c r="G271" s="134">
        <f>D271*F271</f>
        <v>337.5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37.5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585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6.25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5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5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50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25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500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75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75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50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25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5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50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652454.72</v>
      </c>
      <c r="J2" s="32">
        <v>1072185.0</v>
      </c>
      <c r="K2" s="33">
        <f>(J2-I2)/J2</f>
        <v>0.3914718822</v>
      </c>
      <c r="L2" s="34">
        <f>J2-I2</f>
        <v>419730.28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4.0</v>
      </c>
      <c r="F7" s="39"/>
      <c r="G7" s="40">
        <f t="shared" si="1"/>
        <v>4</v>
      </c>
      <c r="H7" s="38">
        <f t="shared" si="2"/>
        <v>5794.52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8.0</v>
      </c>
      <c r="F8" s="39"/>
      <c r="G8" s="40">
        <f t="shared" si="1"/>
        <v>8</v>
      </c>
      <c r="H8" s="38">
        <f t="shared" si="2"/>
        <v>93360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6.0</v>
      </c>
      <c r="F9" s="39"/>
      <c r="G9" s="40">
        <f t="shared" si="1"/>
        <v>6</v>
      </c>
      <c r="H9" s="38">
        <f t="shared" si="2"/>
        <v>56100.96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7.0</v>
      </c>
      <c r="F10" s="39"/>
      <c r="G10" s="40">
        <f t="shared" si="1"/>
        <v>7</v>
      </c>
      <c r="H10" s="38">
        <f t="shared" si="2"/>
        <v>69931.12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30.0</v>
      </c>
      <c r="F11" s="39"/>
      <c r="G11" s="40">
        <f t="shared" si="1"/>
        <v>30</v>
      </c>
      <c r="H11" s="38">
        <f t="shared" si="2"/>
        <v>223356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3.0</v>
      </c>
      <c r="F16" s="39"/>
      <c r="G16" s="40">
        <f t="shared" si="1"/>
        <v>3</v>
      </c>
      <c r="H16" s="38">
        <f t="shared" si="2"/>
        <v>34650.48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6.0</v>
      </c>
      <c r="F17" s="39"/>
      <c r="G17" s="40">
        <f t="shared" si="1"/>
        <v>6</v>
      </c>
      <c r="H17" s="38">
        <f t="shared" si="2"/>
        <v>55800.96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6.0</v>
      </c>
      <c r="F18" s="39"/>
      <c r="G18" s="40">
        <f t="shared" si="1"/>
        <v>6</v>
      </c>
      <c r="H18" s="38">
        <f t="shared" si="2"/>
        <v>10446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22.0</v>
      </c>
      <c r="F22" s="43"/>
      <c r="G22" s="40">
        <f t="shared" si="1"/>
        <v>22</v>
      </c>
      <c r="H22" s="38">
        <f t="shared" si="2"/>
        <v>5170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26.0</v>
      </c>
      <c r="F23" s="43"/>
      <c r="G23" s="40">
        <f t="shared" si="1"/>
        <v>26</v>
      </c>
      <c r="H23" s="38">
        <f t="shared" si="2"/>
        <v>7696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37.0</v>
      </c>
      <c r="F24" s="43"/>
      <c r="G24" s="40">
        <f t="shared" si="1"/>
        <v>37</v>
      </c>
      <c r="H24" s="38">
        <f t="shared" si="2"/>
        <v>9231.5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54.0</v>
      </c>
      <c r="F25" s="43"/>
      <c r="G25" s="40">
        <f t="shared" si="1"/>
        <v>54</v>
      </c>
      <c r="H25" s="38">
        <f t="shared" si="2"/>
        <v>11232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3.0</v>
      </c>
      <c r="F30" s="47"/>
      <c r="G30" s="40">
        <f t="shared" si="1"/>
        <v>3</v>
      </c>
      <c r="H30" s="38">
        <f t="shared" si="2"/>
        <v>31563.93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2.0</v>
      </c>
      <c r="F32" s="53"/>
      <c r="G32" s="54">
        <f t="shared" si="1"/>
        <v>2</v>
      </c>
      <c r="H32" s="52">
        <f t="shared" si="2"/>
        <v>29232.62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264708.89</v>
      </c>
      <c r="J33" s="32">
        <v>547574.0</v>
      </c>
      <c r="K33" s="33">
        <f>(J33-I33)/J33</f>
        <v>0.516578782</v>
      </c>
      <c r="L33" s="34">
        <f>J33-I33</f>
        <v>282865.11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/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1.0</v>
      </c>
      <c r="F36" s="39"/>
      <c r="G36" s="59">
        <f t="shared" si="3"/>
        <v>1</v>
      </c>
      <c r="H36" s="60">
        <f t="shared" si="2"/>
        <v>7131.43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2.0</v>
      </c>
      <c r="F38" s="39"/>
      <c r="G38" s="59">
        <f t="shared" si="3"/>
        <v>2</v>
      </c>
      <c r="H38" s="60">
        <f t="shared" si="2"/>
        <v>2897.26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/>
      <c r="G39" s="59">
        <f t="shared" si="3"/>
        <v>1</v>
      </c>
      <c r="H39" s="60">
        <f t="shared" si="2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1.0</v>
      </c>
      <c r="F41" s="39"/>
      <c r="G41" s="59">
        <f t="shared" si="3"/>
        <v>1</v>
      </c>
      <c r="H41" s="60">
        <f t="shared" si="2"/>
        <v>9990.16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15.0</v>
      </c>
      <c r="F42" s="39"/>
      <c r="G42" s="59">
        <f t="shared" si="3"/>
        <v>15</v>
      </c>
      <c r="H42" s="60">
        <f t="shared" si="2"/>
        <v>111678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/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3.0</v>
      </c>
      <c r="F49" s="39"/>
      <c r="G49" s="59">
        <f t="shared" si="3"/>
        <v>3</v>
      </c>
      <c r="H49" s="60">
        <f t="shared" si="2"/>
        <v>5223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2.0</v>
      </c>
      <c r="F51" s="43"/>
      <c r="G51" s="59">
        <f t="shared" si="3"/>
        <v>2</v>
      </c>
      <c r="H51" s="60">
        <f t="shared" si="2"/>
        <v>5750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8.0</v>
      </c>
      <c r="F53" s="43"/>
      <c r="G53" s="59">
        <f t="shared" si="3"/>
        <v>8</v>
      </c>
      <c r="H53" s="60">
        <f t="shared" si="2"/>
        <v>1880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6.0</v>
      </c>
      <c r="F54" s="43"/>
      <c r="G54" s="59">
        <f t="shared" si="3"/>
        <v>6</v>
      </c>
      <c r="H54" s="60">
        <f t="shared" si="2"/>
        <v>1776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12.0</v>
      </c>
      <c r="F55" s="43"/>
      <c r="G55" s="59">
        <f t="shared" si="3"/>
        <v>12</v>
      </c>
      <c r="H55" s="60">
        <f t="shared" si="2"/>
        <v>2994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22.0</v>
      </c>
      <c r="F56" s="43"/>
      <c r="G56" s="59">
        <f t="shared" si="3"/>
        <v>22</v>
      </c>
      <c r="H56" s="60">
        <f t="shared" si="2"/>
        <v>4576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3.0</v>
      </c>
      <c r="F61" s="47"/>
      <c r="G61" s="59">
        <f t="shared" si="3"/>
        <v>3</v>
      </c>
      <c r="H61" s="60">
        <f t="shared" si="2"/>
        <v>31563.93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/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0</v>
      </c>
      <c r="J64" s="32"/>
      <c r="K64" s="33" t="str">
        <f>(J64-I64)/J64</f>
        <v>#DIV/0!</v>
      </c>
      <c r="L64" s="34">
        <f>J64-I64</f>
        <v>0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/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/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/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/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/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/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/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/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/>
      <c r="F73" s="65"/>
      <c r="G73" s="66">
        <f t="shared" si="4"/>
        <v>0</v>
      </c>
      <c r="H73" s="60">
        <f t="shared" si="2"/>
        <v>0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/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/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/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/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/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/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/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/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/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/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/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/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/>
      <c r="F86" s="65"/>
      <c r="G86" s="66">
        <f t="shared" si="4"/>
        <v>0</v>
      </c>
      <c r="H86" s="60">
        <f t="shared" si="2"/>
        <v>0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/>
      <c r="F87" s="65"/>
      <c r="G87" s="66">
        <f t="shared" si="4"/>
        <v>0</v>
      </c>
      <c r="H87" s="60">
        <f t="shared" si="2"/>
        <v>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/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/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/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/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/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/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/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917163.61</v>
      </c>
      <c r="J126" s="76">
        <f t="shared" si="6"/>
        <v>1619759</v>
      </c>
      <c r="K126" s="76"/>
      <c r="L126" s="76">
        <f>SUM(L2:L125)</f>
        <v>702595.39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'18062026'!$I$130:$J$158, 2, )</f>
        <v>9</v>
      </c>
      <c r="G131" s="100">
        <f>D131*F131</f>
        <v>630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9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9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9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1620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'18062026'!$I$130:$J$158, 2, )</f>
        <v>6</v>
      </c>
      <c r="G136" s="100">
        <f>D136*F136</f>
        <v>780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6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6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1080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'18062026'!$I$130:$J$158, 2, )</f>
        <v>8</v>
      </c>
      <c r="G140" s="100">
        <f>D140*F140</f>
        <v>1040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8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8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1440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160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'18062026'!$I$130:$J$158,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'18062026'!$I$130:$J$158,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'18062026'!$I$130:$J$158,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'18062026'!$I$130:$J$158, 2, )</f>
        <v>4</v>
      </c>
      <c r="G154" s="101">
        <f>D154*F154</f>
        <v>520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4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4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720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4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'18062026'!$I$130:$J$158,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'18062026'!$I$130:$J$158, 2, )</f>
        <v>9</v>
      </c>
      <c r="G167" s="101">
        <f>D167*F167</f>
        <v>9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9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9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'18062026'!$I$130:$J$158,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3</v>
      </c>
      <c r="G174" s="101">
        <f t="shared" si="7"/>
        <v>3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'18062026'!$I$130:$J$158,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'18062026'!$I$130:$J$158,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'18062026'!$I$130:$J$158, 2, )</f>
        <v>45</v>
      </c>
      <c r="G177" s="101">
        <f t="shared" si="7"/>
        <v>45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450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45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45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8100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45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'18062026'!$I$130:$J$158, 2, )</f>
        <v>8</v>
      </c>
      <c r="G183" s="101">
        <f>D183*F183</f>
        <v>8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8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8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8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1440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8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'18062026'!$I$130:$J$158,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'18062026'!$I$130:$J$158,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'18062026'!$I$130:$J$158,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'18062026'!$I$130:$J$158, 2, )</f>
        <v>0</v>
      </c>
      <c r="G211" s="100">
        <f>D211*F211</f>
        <v>0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0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0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'18062026'!$I$130:$J$158, 2, )</f>
        <v>1</v>
      </c>
      <c r="G218" s="100">
        <f>D218*F218</f>
        <v>16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15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8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20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50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125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180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1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1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'18062026'!$I$130:$J$158, 2, )</f>
        <v>6</v>
      </c>
      <c r="G227" s="115">
        <f>D227*F227</f>
        <v>0.402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120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300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1080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6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6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'18062026'!$I$130:$J$158,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'18062026'!$I$130:$J$158, 2, )</f>
        <v>0</v>
      </c>
      <c r="G239" s="127">
        <f t="shared" ref="G239:G240" si="8">D239*F239</f>
        <v>0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'18062026'!$I$130:$J$158,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'18062026'!$I$130:$J$158, 2, )</f>
        <v>2</v>
      </c>
      <c r="G255" s="144">
        <f>D255*F255</f>
        <v>135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15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234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2.5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140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4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2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20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200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30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30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20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2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20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'18062026'!$I$130:$J$158, 2, )</f>
        <v>6</v>
      </c>
      <c r="G271" s="134">
        <f>D271*F271</f>
        <v>405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45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702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7.5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6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6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60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30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600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90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90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60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30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6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60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569976.63</v>
      </c>
      <c r="J2" s="32">
        <v>907481.0</v>
      </c>
      <c r="K2" s="33">
        <f>(J2-I2)/J2</f>
        <v>0.3719134285</v>
      </c>
      <c r="L2" s="34">
        <f>J2-I2</f>
        <v>337504.37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2.0</v>
      </c>
      <c r="F6" s="39"/>
      <c r="G6" s="40">
        <f t="shared" si="1"/>
        <v>2</v>
      </c>
      <c r="H6" s="38">
        <f t="shared" si="2"/>
        <v>7496.42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7.0</v>
      </c>
      <c r="F7" s="39"/>
      <c r="G7" s="40">
        <f t="shared" si="1"/>
        <v>7</v>
      </c>
      <c r="H7" s="38">
        <f t="shared" si="2"/>
        <v>10140.41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3.0</v>
      </c>
      <c r="F8" s="39"/>
      <c r="G8" s="40">
        <f t="shared" si="1"/>
        <v>3</v>
      </c>
      <c r="H8" s="38">
        <f t="shared" si="2"/>
        <v>35010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4.0</v>
      </c>
      <c r="F9" s="39"/>
      <c r="G9" s="40">
        <f t="shared" si="1"/>
        <v>4</v>
      </c>
      <c r="H9" s="38">
        <f t="shared" si="2"/>
        <v>37400.64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3.0</v>
      </c>
      <c r="F10" s="39"/>
      <c r="G10" s="40">
        <f t="shared" si="1"/>
        <v>3</v>
      </c>
      <c r="H10" s="38">
        <f t="shared" si="2"/>
        <v>29970.48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27.0</v>
      </c>
      <c r="F11" s="39"/>
      <c r="G11" s="40">
        <f t="shared" si="1"/>
        <v>27</v>
      </c>
      <c r="H11" s="38">
        <f t="shared" si="2"/>
        <v>201020.4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3.0</v>
      </c>
      <c r="F16" s="39"/>
      <c r="G16" s="40">
        <f t="shared" si="1"/>
        <v>3</v>
      </c>
      <c r="H16" s="38">
        <f t="shared" si="2"/>
        <v>34650.48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6.0</v>
      </c>
      <c r="F17" s="39"/>
      <c r="G17" s="40">
        <f t="shared" si="1"/>
        <v>6</v>
      </c>
      <c r="H17" s="38">
        <f t="shared" si="2"/>
        <v>55800.96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1.0</v>
      </c>
      <c r="F18" s="39"/>
      <c r="G18" s="40">
        <f t="shared" si="1"/>
        <v>1</v>
      </c>
      <c r="H18" s="38">
        <f t="shared" si="2"/>
        <v>1741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15.0</v>
      </c>
      <c r="F22" s="43"/>
      <c r="G22" s="40">
        <f t="shared" si="1"/>
        <v>15</v>
      </c>
      <c r="H22" s="38">
        <f t="shared" si="2"/>
        <v>3525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21.0</v>
      </c>
      <c r="F23" s="43"/>
      <c r="G23" s="40">
        <f t="shared" si="1"/>
        <v>21</v>
      </c>
      <c r="H23" s="38">
        <f t="shared" si="2"/>
        <v>6216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25.0</v>
      </c>
      <c r="F24" s="43"/>
      <c r="G24" s="40">
        <f t="shared" si="1"/>
        <v>25</v>
      </c>
      <c r="H24" s="38">
        <f t="shared" si="2"/>
        <v>6237.5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44.0</v>
      </c>
      <c r="F25" s="43"/>
      <c r="G25" s="40">
        <f t="shared" si="1"/>
        <v>44</v>
      </c>
      <c r="H25" s="38">
        <f t="shared" si="2"/>
        <v>9152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7.0</v>
      </c>
      <c r="F26" s="43"/>
      <c r="G26" s="40">
        <f t="shared" si="1"/>
        <v>7</v>
      </c>
      <c r="H26" s="38">
        <f t="shared" si="2"/>
        <v>17122.56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2.0</v>
      </c>
      <c r="F28" s="43"/>
      <c r="G28" s="40">
        <f t="shared" si="1"/>
        <v>2</v>
      </c>
      <c r="H28" s="38">
        <f t="shared" si="2"/>
        <v>4129.68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9.0</v>
      </c>
      <c r="F30" s="47"/>
      <c r="G30" s="40">
        <f t="shared" si="1"/>
        <v>9</v>
      </c>
      <c r="H30" s="38">
        <f t="shared" si="2"/>
        <v>94691.79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1.0</v>
      </c>
      <c r="F33" s="29"/>
      <c r="G33" s="57">
        <f t="shared" ref="G33:G63" si="3">SUM(E33:F33)</f>
        <v>1</v>
      </c>
      <c r="H33" s="58">
        <f t="shared" si="2"/>
        <v>8805.63</v>
      </c>
      <c r="I33" s="31">
        <f>sum(H33:H63)</f>
        <v>282415.13</v>
      </c>
      <c r="J33" s="32">
        <v>469582.0</v>
      </c>
      <c r="K33" s="33">
        <f>(J33-I33)/J33</f>
        <v>0.3985818664</v>
      </c>
      <c r="L33" s="34">
        <f>J33-I33</f>
        <v>187166.87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0.0</v>
      </c>
      <c r="F38" s="39"/>
      <c r="G38" s="59">
        <f t="shared" si="3"/>
        <v>0</v>
      </c>
      <c r="H38" s="60">
        <f t="shared" si="2"/>
        <v>0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/>
      <c r="G39" s="59">
        <f t="shared" si="3"/>
        <v>1</v>
      </c>
      <c r="H39" s="60">
        <f t="shared" si="2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1.0</v>
      </c>
      <c r="F40" s="39"/>
      <c r="G40" s="59">
        <f t="shared" si="3"/>
        <v>1</v>
      </c>
      <c r="H40" s="60">
        <f t="shared" si="2"/>
        <v>9350.16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0.0</v>
      </c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8.0</v>
      </c>
      <c r="F42" s="39"/>
      <c r="G42" s="59">
        <f t="shared" si="3"/>
        <v>8</v>
      </c>
      <c r="H42" s="60">
        <f t="shared" si="2"/>
        <v>59561.6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2.0</v>
      </c>
      <c r="F46" s="39"/>
      <c r="G46" s="59">
        <f t="shared" si="3"/>
        <v>2</v>
      </c>
      <c r="H46" s="60">
        <f t="shared" si="2"/>
        <v>18459.18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3.0</v>
      </c>
      <c r="F47" s="39"/>
      <c r="G47" s="59">
        <f t="shared" si="3"/>
        <v>3</v>
      </c>
      <c r="H47" s="60">
        <f t="shared" si="2"/>
        <v>34650.48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4.0</v>
      </c>
      <c r="F48" s="39"/>
      <c r="G48" s="59">
        <f t="shared" si="3"/>
        <v>4</v>
      </c>
      <c r="H48" s="60">
        <f t="shared" si="2"/>
        <v>37200.64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3.0</v>
      </c>
      <c r="F49" s="39"/>
      <c r="G49" s="59">
        <f t="shared" si="3"/>
        <v>3</v>
      </c>
      <c r="H49" s="60">
        <f t="shared" si="2"/>
        <v>5223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11.0</v>
      </c>
      <c r="F53" s="43"/>
      <c r="G53" s="59">
        <f t="shared" si="3"/>
        <v>11</v>
      </c>
      <c r="H53" s="60">
        <f t="shared" si="2"/>
        <v>2585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13.0</v>
      </c>
      <c r="F54" s="43"/>
      <c r="G54" s="59">
        <f t="shared" si="3"/>
        <v>13</v>
      </c>
      <c r="H54" s="60">
        <f t="shared" si="2"/>
        <v>3848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9.0</v>
      </c>
      <c r="F55" s="43"/>
      <c r="G55" s="59">
        <f t="shared" si="3"/>
        <v>9</v>
      </c>
      <c r="H55" s="60">
        <f t="shared" si="2"/>
        <v>2245.5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24.0</v>
      </c>
      <c r="F56" s="43"/>
      <c r="G56" s="59">
        <f t="shared" si="3"/>
        <v>24</v>
      </c>
      <c r="H56" s="60">
        <f t="shared" si="2"/>
        <v>4992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1.0</v>
      </c>
      <c r="F57" s="43"/>
      <c r="G57" s="59">
        <f t="shared" si="3"/>
        <v>1</v>
      </c>
      <c r="H57" s="60">
        <f t="shared" si="2"/>
        <v>2446.08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1.0</v>
      </c>
      <c r="F58" s="43"/>
      <c r="G58" s="59">
        <f t="shared" si="3"/>
        <v>1</v>
      </c>
      <c r="H58" s="60">
        <f t="shared" si="2"/>
        <v>4095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6.0</v>
      </c>
      <c r="F61" s="47"/>
      <c r="G61" s="59">
        <f t="shared" si="3"/>
        <v>6</v>
      </c>
      <c r="H61" s="60">
        <f t="shared" si="2"/>
        <v>63127.86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28518.31</v>
      </c>
      <c r="J64" s="32">
        <v>66475.0</v>
      </c>
      <c r="K64" s="33">
        <f>(J64-I64)/J64</f>
        <v>0.5709919519</v>
      </c>
      <c r="L64" s="34">
        <f>J64-I64</f>
        <v>37956.69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1.0</v>
      </c>
      <c r="F68" s="65"/>
      <c r="G68" s="66">
        <f t="shared" si="4"/>
        <v>1</v>
      </c>
      <c r="H68" s="60">
        <f t="shared" si="2"/>
        <v>3748.21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2.0</v>
      </c>
      <c r="F84" s="65"/>
      <c r="G84" s="66">
        <f t="shared" si="4"/>
        <v>2</v>
      </c>
      <c r="H84" s="60">
        <f t="shared" si="2"/>
        <v>470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2.0</v>
      </c>
      <c r="F85" s="65"/>
      <c r="G85" s="66">
        <f t="shared" si="4"/>
        <v>2</v>
      </c>
      <c r="H85" s="60">
        <f t="shared" si="2"/>
        <v>592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3.0</v>
      </c>
      <c r="F87" s="65"/>
      <c r="G87" s="66">
        <f t="shared" si="4"/>
        <v>3</v>
      </c>
      <c r="H87" s="60">
        <f t="shared" si="2"/>
        <v>624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880910.07</v>
      </c>
      <c r="J126" s="76">
        <f t="shared" si="6"/>
        <v>1443538</v>
      </c>
      <c r="K126" s="76"/>
      <c r="L126" s="76">
        <f>SUM(L2:L125)</f>
        <v>562627.93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'17062026'!$I$130:$J$158, 2, )</f>
        <v>4</v>
      </c>
      <c r="G131" s="100">
        <f>D131*F131</f>
        <v>280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4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4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4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720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'17062026'!$I$130:$J$158, 2, )</f>
        <v>5</v>
      </c>
      <c r="G136" s="100">
        <f>D136*F136</f>
        <v>650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5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5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900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'17062026'!$I$130:$J$158, 2, )</f>
        <v>3</v>
      </c>
      <c r="G140" s="100">
        <f>D140*F140</f>
        <v>390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3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3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540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60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'17062026'!$I$130:$J$158,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'17062026'!$I$130:$J$158,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'17062026'!$I$130:$J$158,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'17062026'!$I$130:$J$158, 2, )</f>
        <v>6</v>
      </c>
      <c r="G154" s="101">
        <f>D154*F154</f>
        <v>780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6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6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1080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6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'17062026'!$I$130:$J$158, 2, )</f>
        <v>2</v>
      </c>
      <c r="G159" s="101">
        <f>D159*F159</f>
        <v>4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2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2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360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2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6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6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10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'17062026'!$I$130:$J$158, 2, )</f>
        <v>4</v>
      </c>
      <c r="G167" s="101">
        <f>D167*F167</f>
        <v>4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4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2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4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'17062026'!$I$130:$J$158,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'17062026'!$I$130:$J$158, 2, )</f>
        <v>8</v>
      </c>
      <c r="G175" s="101">
        <f t="shared" si="7"/>
        <v>520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'17062026'!$I$130:$J$158, 2, )</f>
        <v>1</v>
      </c>
      <c r="G176" s="101">
        <f t="shared" si="7"/>
        <v>35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'17062026'!$I$130:$J$158, 2, )</f>
        <v>38</v>
      </c>
      <c r="G177" s="101">
        <f t="shared" si="7"/>
        <v>38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380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38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38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6840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38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'17062026'!$I$130:$J$158, 2, )</f>
        <v>10</v>
      </c>
      <c r="G183" s="101">
        <f>D183*F183</f>
        <v>10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10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10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10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1800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10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'17062026'!$I$130:$J$158,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'17062026'!$I$130:$J$158,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'17062026'!$I$130:$J$158,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'17062026'!$I$130:$J$158, 2, )</f>
        <v>3</v>
      </c>
      <c r="G211" s="100">
        <f>D211*F211</f>
        <v>4.5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75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540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375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3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3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'17062026'!$I$130:$J$158,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'17062026'!$I$130:$J$158, 2, )</f>
        <v>7</v>
      </c>
      <c r="G227" s="115">
        <f>D227*F227</f>
        <v>0.469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140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350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1260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7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7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'17062026'!$I$130:$J$158,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'17062026'!$I$130:$J$158, 2, )</f>
        <v>2</v>
      </c>
      <c r="G239" s="127">
        <f t="shared" ref="G239:G240" si="8">D239*F239</f>
        <v>2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'17062026'!$I$130:$J$158,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'17062026'!$I$130:$J$158,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'17062026'!$I$130:$J$158, 2, )</f>
        <v>15</v>
      </c>
      <c r="G271" s="134">
        <f>D271*F271</f>
        <v>1012.5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112.5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1755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18.75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15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30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15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150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75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1500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225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225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150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75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15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150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789122.4</v>
      </c>
      <c r="J2" s="32">
        <v>1301577.0</v>
      </c>
      <c r="K2" s="33">
        <f>(J2-I2)/J2</f>
        <v>0.3937182356</v>
      </c>
      <c r="L2" s="34">
        <f>J2-I2</f>
        <v>512454.6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2.0</v>
      </c>
      <c r="F4" s="39"/>
      <c r="G4" s="40">
        <f t="shared" si="1"/>
        <v>2</v>
      </c>
      <c r="H4" s="38">
        <f t="shared" si="2"/>
        <v>12027.26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2.0</v>
      </c>
      <c r="F5" s="39"/>
      <c r="G5" s="40">
        <f t="shared" si="1"/>
        <v>2</v>
      </c>
      <c r="H5" s="38">
        <f t="shared" si="2"/>
        <v>14262.86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5.0</v>
      </c>
      <c r="F6" s="39"/>
      <c r="G6" s="40">
        <f t="shared" si="1"/>
        <v>5</v>
      </c>
      <c r="H6" s="38">
        <f t="shared" si="2"/>
        <v>18741.05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12.0</v>
      </c>
      <c r="F7" s="39"/>
      <c r="G7" s="40">
        <f t="shared" si="1"/>
        <v>12</v>
      </c>
      <c r="H7" s="38">
        <f t="shared" si="2"/>
        <v>17383.56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4.0</v>
      </c>
      <c r="F8" s="39"/>
      <c r="G8" s="40">
        <f t="shared" si="1"/>
        <v>4</v>
      </c>
      <c r="H8" s="38">
        <f t="shared" si="2"/>
        <v>46680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11.0</v>
      </c>
      <c r="F9" s="39"/>
      <c r="G9" s="40">
        <f t="shared" si="1"/>
        <v>11</v>
      </c>
      <c r="H9" s="38">
        <f t="shared" si="2"/>
        <v>102851.76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2.0</v>
      </c>
      <c r="F10" s="39"/>
      <c r="G10" s="40">
        <f t="shared" si="1"/>
        <v>2</v>
      </c>
      <c r="H10" s="38">
        <f t="shared" si="2"/>
        <v>19980.32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39.0</v>
      </c>
      <c r="F11" s="39"/>
      <c r="G11" s="40">
        <f t="shared" si="1"/>
        <v>39</v>
      </c>
      <c r="H11" s="38">
        <f t="shared" si="2"/>
        <v>290362.8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2.0</v>
      </c>
      <c r="F12" s="39"/>
      <c r="G12" s="40">
        <f t="shared" si="1"/>
        <v>2</v>
      </c>
      <c r="H12" s="38">
        <f t="shared" si="2"/>
        <v>34520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2.0</v>
      </c>
      <c r="F15" s="39"/>
      <c r="G15" s="40">
        <f t="shared" si="1"/>
        <v>2</v>
      </c>
      <c r="H15" s="38">
        <f t="shared" si="2"/>
        <v>18459.18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1.0</v>
      </c>
      <c r="F16" s="39"/>
      <c r="G16" s="40">
        <f t="shared" si="1"/>
        <v>1</v>
      </c>
      <c r="H16" s="38">
        <f t="shared" si="2"/>
        <v>11550.16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4.0</v>
      </c>
      <c r="F17" s="39"/>
      <c r="G17" s="40">
        <f t="shared" si="1"/>
        <v>4</v>
      </c>
      <c r="H17" s="38">
        <f t="shared" si="2"/>
        <v>37200.64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7.0</v>
      </c>
      <c r="F18" s="39"/>
      <c r="G18" s="40">
        <f t="shared" si="1"/>
        <v>7</v>
      </c>
      <c r="H18" s="38">
        <f t="shared" si="2"/>
        <v>12187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18.0</v>
      </c>
      <c r="F22" s="43"/>
      <c r="G22" s="40">
        <f t="shared" si="1"/>
        <v>18</v>
      </c>
      <c r="H22" s="38">
        <f t="shared" si="2"/>
        <v>4230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39.0</v>
      </c>
      <c r="F23" s="43"/>
      <c r="G23" s="40">
        <f t="shared" si="1"/>
        <v>39</v>
      </c>
      <c r="H23" s="38">
        <f t="shared" si="2"/>
        <v>11544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35.0</v>
      </c>
      <c r="F24" s="43"/>
      <c r="G24" s="40">
        <f t="shared" si="1"/>
        <v>35</v>
      </c>
      <c r="H24" s="38">
        <f t="shared" si="2"/>
        <v>8732.5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66.0</v>
      </c>
      <c r="F25" s="43"/>
      <c r="G25" s="40">
        <f t="shared" si="1"/>
        <v>66</v>
      </c>
      <c r="H25" s="38">
        <f t="shared" si="2"/>
        <v>13728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3.0</v>
      </c>
      <c r="F28" s="43"/>
      <c r="G28" s="40">
        <f t="shared" si="1"/>
        <v>3</v>
      </c>
      <c r="H28" s="38">
        <f t="shared" si="2"/>
        <v>6194.52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5.0</v>
      </c>
      <c r="F30" s="47"/>
      <c r="G30" s="40">
        <f t="shared" si="1"/>
        <v>5</v>
      </c>
      <c r="H30" s="38">
        <f t="shared" si="2"/>
        <v>52606.55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3.0</v>
      </c>
      <c r="F31" s="47"/>
      <c r="G31" s="40">
        <f t="shared" si="1"/>
        <v>3</v>
      </c>
      <c r="H31" s="38">
        <f t="shared" si="2"/>
        <v>38388.93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1.0</v>
      </c>
      <c r="F32" s="53"/>
      <c r="G32" s="54">
        <f t="shared" si="1"/>
        <v>1</v>
      </c>
      <c r="H32" s="52">
        <f t="shared" si="2"/>
        <v>14616.31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1.0</v>
      </c>
      <c r="F33" s="29"/>
      <c r="G33" s="57">
        <f t="shared" ref="G33:G63" si="3">SUM(E33:F33)</f>
        <v>1</v>
      </c>
      <c r="H33" s="58">
        <f t="shared" si="2"/>
        <v>8805.63</v>
      </c>
      <c r="I33" s="31">
        <f>sum(H33:H63)</f>
        <v>398599.38</v>
      </c>
      <c r="J33" s="32">
        <v>583516.0</v>
      </c>
      <c r="K33" s="33">
        <f>(J33-I33)/J33</f>
        <v>0.3169006848</v>
      </c>
      <c r="L33" s="34">
        <f>J33-I33</f>
        <v>184916.62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2.0</v>
      </c>
      <c r="F37" s="39"/>
      <c r="G37" s="59">
        <f t="shared" si="3"/>
        <v>2</v>
      </c>
      <c r="H37" s="60">
        <f t="shared" si="2"/>
        <v>7496.42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3.0</v>
      </c>
      <c r="F38" s="39"/>
      <c r="G38" s="59">
        <f t="shared" si="3"/>
        <v>3</v>
      </c>
      <c r="H38" s="60">
        <f t="shared" si="2"/>
        <v>4345.89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/>
      <c r="G39" s="59">
        <f t="shared" si="3"/>
        <v>1</v>
      </c>
      <c r="H39" s="60">
        <f t="shared" si="2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0.0</v>
      </c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21.0</v>
      </c>
      <c r="F42" s="39"/>
      <c r="G42" s="59">
        <f t="shared" si="3"/>
        <v>21</v>
      </c>
      <c r="H42" s="60">
        <f t="shared" si="2"/>
        <v>156349.2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2.0</v>
      </c>
      <c r="F44" s="39"/>
      <c r="G44" s="59">
        <f t="shared" si="3"/>
        <v>2</v>
      </c>
      <c r="H44" s="60">
        <f t="shared" si="2"/>
        <v>28310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5.0</v>
      </c>
      <c r="F48" s="39"/>
      <c r="G48" s="59">
        <f t="shared" si="3"/>
        <v>5</v>
      </c>
      <c r="H48" s="60">
        <f t="shared" si="2"/>
        <v>46500.8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2.0</v>
      </c>
      <c r="F49" s="39"/>
      <c r="G49" s="59">
        <f t="shared" si="3"/>
        <v>2</v>
      </c>
      <c r="H49" s="60">
        <f t="shared" si="2"/>
        <v>3482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2.0</v>
      </c>
      <c r="F51" s="43"/>
      <c r="G51" s="59">
        <f t="shared" si="3"/>
        <v>2</v>
      </c>
      <c r="H51" s="60">
        <f t="shared" si="2"/>
        <v>5750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13.0</v>
      </c>
      <c r="F53" s="43"/>
      <c r="G53" s="59">
        <f t="shared" si="3"/>
        <v>13</v>
      </c>
      <c r="H53" s="60">
        <f t="shared" si="2"/>
        <v>3055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14.0</v>
      </c>
      <c r="F54" s="43"/>
      <c r="G54" s="59">
        <f t="shared" si="3"/>
        <v>14</v>
      </c>
      <c r="H54" s="60">
        <f t="shared" si="2"/>
        <v>4144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20.0</v>
      </c>
      <c r="F55" s="43"/>
      <c r="G55" s="59">
        <f t="shared" si="3"/>
        <v>20</v>
      </c>
      <c r="H55" s="60">
        <f t="shared" si="2"/>
        <v>4990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28.0</v>
      </c>
      <c r="F56" s="43"/>
      <c r="G56" s="59">
        <f t="shared" si="3"/>
        <v>28</v>
      </c>
      <c r="H56" s="60">
        <f t="shared" si="2"/>
        <v>5824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5.0</v>
      </c>
      <c r="F59" s="43"/>
      <c r="G59" s="59">
        <f t="shared" si="3"/>
        <v>5</v>
      </c>
      <c r="H59" s="60">
        <f t="shared" si="2"/>
        <v>10324.2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2.0</v>
      </c>
      <c r="F60" s="47"/>
      <c r="G60" s="59">
        <f t="shared" si="3"/>
        <v>2</v>
      </c>
      <c r="H60" s="60">
        <f t="shared" si="2"/>
        <v>27742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1.0</v>
      </c>
      <c r="F61" s="47"/>
      <c r="G61" s="59">
        <f t="shared" si="3"/>
        <v>1</v>
      </c>
      <c r="H61" s="60">
        <f t="shared" si="2"/>
        <v>10521.31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1.0</v>
      </c>
      <c r="F62" s="47"/>
      <c r="G62" s="59">
        <f t="shared" si="3"/>
        <v>1</v>
      </c>
      <c r="H62" s="60">
        <f t="shared" si="2"/>
        <v>12796.31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2.0</v>
      </c>
      <c r="F63" s="53"/>
      <c r="G63" s="61">
        <f t="shared" si="3"/>
        <v>2</v>
      </c>
      <c r="H63" s="62">
        <f t="shared" si="2"/>
        <v>29232.62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61630.22</v>
      </c>
      <c r="J64" s="32">
        <v>151000.0</v>
      </c>
      <c r="K64" s="33">
        <f>(J64-I64)/J64</f>
        <v>0.5918528477</v>
      </c>
      <c r="L64" s="34">
        <f>J64-I64</f>
        <v>89369.78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1.0</v>
      </c>
      <c r="F70" s="65"/>
      <c r="G70" s="66">
        <f t="shared" si="4"/>
        <v>1</v>
      </c>
      <c r="H70" s="60">
        <f t="shared" si="2"/>
        <v>11670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2.0</v>
      </c>
      <c r="F71" s="65"/>
      <c r="G71" s="66">
        <f t="shared" si="4"/>
        <v>2</v>
      </c>
      <c r="H71" s="60">
        <f t="shared" si="2"/>
        <v>18700.32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3.0</v>
      </c>
      <c r="F84" s="65"/>
      <c r="G84" s="66">
        <f t="shared" si="4"/>
        <v>3</v>
      </c>
      <c r="H84" s="60">
        <f t="shared" si="2"/>
        <v>705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1.0</v>
      </c>
      <c r="F85" s="65"/>
      <c r="G85" s="66">
        <f t="shared" si="4"/>
        <v>1</v>
      </c>
      <c r="H85" s="60">
        <f t="shared" si="2"/>
        <v>296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1.0</v>
      </c>
      <c r="F86" s="65"/>
      <c r="G86" s="66">
        <f t="shared" si="4"/>
        <v>1</v>
      </c>
      <c r="H86" s="60">
        <f t="shared" si="2"/>
        <v>249.5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6.0</v>
      </c>
      <c r="F87" s="65"/>
      <c r="G87" s="66">
        <f t="shared" si="4"/>
        <v>6</v>
      </c>
      <c r="H87" s="60">
        <f t="shared" si="2"/>
        <v>1248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1.0</v>
      </c>
      <c r="F91" s="67"/>
      <c r="G91" s="66">
        <f t="shared" si="4"/>
        <v>1</v>
      </c>
      <c r="H91" s="60">
        <f t="shared" si="2"/>
        <v>13871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1249352</v>
      </c>
      <c r="J126" s="76">
        <f t="shared" si="6"/>
        <v>2036093</v>
      </c>
      <c r="K126" s="76"/>
      <c r="L126" s="76">
        <f>SUM(L2:L125)</f>
        <v>786741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'16062026'!$I$130:$J$158, 2, )</f>
        <v>6</v>
      </c>
      <c r="G131" s="100">
        <f>D131*F131</f>
        <v>420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6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6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6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1080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'16062026'!$I$130:$J$158, 2, )</f>
        <v>13</v>
      </c>
      <c r="G136" s="100">
        <f>D136*F136</f>
        <v>1690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13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13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2340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'16062026'!$I$130:$J$158, 2, )</f>
        <v>2</v>
      </c>
      <c r="G140" s="100">
        <f>D140*F140</f>
        <v>260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2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2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360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40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'16062026'!$I$130:$J$158, 2, )</f>
        <v>3</v>
      </c>
      <c r="G145" s="101">
        <f>D145*F145</f>
        <v>420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3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'16062026'!$I$130:$J$158, 2, )</f>
        <v>2</v>
      </c>
      <c r="G147" s="101">
        <f>D147*F147</f>
        <v>520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2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2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'16062026'!$I$130:$J$158,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'16062026'!$I$130:$J$158, 2, )</f>
        <v>1</v>
      </c>
      <c r="G154" s="101">
        <f>D154*F154</f>
        <v>130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1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1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180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1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'16062026'!$I$130:$J$158, 2, )</f>
        <v>2</v>
      </c>
      <c r="G159" s="101">
        <f>D159*F159</f>
        <v>4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2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2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360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2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6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6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10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'16062026'!$I$130:$J$158, 2, )</f>
        <v>9</v>
      </c>
      <c r="G167" s="101">
        <f>D167*F167</f>
        <v>9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9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9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'16062026'!$I$130:$J$158,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3</v>
      </c>
      <c r="G174" s="101">
        <f t="shared" si="7"/>
        <v>3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'16062026'!$I$130:$J$158,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'16062026'!$I$130:$J$158,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'16062026'!$I$130:$J$158, 2, )</f>
        <v>62</v>
      </c>
      <c r="G177" s="101">
        <f t="shared" si="7"/>
        <v>62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620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62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62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11160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62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'16062026'!$I$130:$J$158, 2, )</f>
        <v>9</v>
      </c>
      <c r="G183" s="101">
        <f>D183*F183</f>
        <v>9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9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9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9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1620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9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'16062026'!$I$130:$J$158,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'16062026'!$I$130:$J$158,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'16062026'!$I$130:$J$158,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'16062026'!$I$130:$J$158, 2, )</f>
        <v>7</v>
      </c>
      <c r="G211" s="100">
        <f>D211*F211</f>
        <v>10.5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175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350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1260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875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7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7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'16062026'!$I$130:$J$158, 2, )</f>
        <v>2</v>
      </c>
      <c r="G218" s="100">
        <f>D218*F218</f>
        <v>32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30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16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40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100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250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360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2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2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'16062026'!$I$130:$J$158, 2, )</f>
        <v>15</v>
      </c>
      <c r="G227" s="115">
        <f>D227*F227</f>
        <v>1.005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300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750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2700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15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15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'16062026'!$I$130:$J$158, 2, )</f>
        <v>3</v>
      </c>
      <c r="G233" s="123">
        <f>D233*F233</f>
        <v>210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3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3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3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540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3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'16062026'!$I$130:$J$158, 2, )</f>
        <v>8</v>
      </c>
      <c r="G239" s="127">
        <f t="shared" ref="G239:G240" si="8">D239*F239</f>
        <v>8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'16062026'!$I$130:$J$158, 2, )</f>
        <v>4</v>
      </c>
      <c r="G240" s="134">
        <f t="shared" si="8"/>
        <v>270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30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468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520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8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4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40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20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400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60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60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40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20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40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'16062026'!$I$130:$J$158, 2, )</f>
        <v>3</v>
      </c>
      <c r="G255" s="144">
        <f>D255*F255</f>
        <v>202.5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22.5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351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3.75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210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6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3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30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300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45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45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30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3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30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'16062026'!$I$130:$J$158, 2, )</f>
        <v>6</v>
      </c>
      <c r="G271" s="134">
        <f>D271*F271</f>
        <v>405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45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702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7.5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6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6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60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30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600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90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90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60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30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6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60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432554.95</v>
      </c>
      <c r="J2" s="32">
        <v>665818.0</v>
      </c>
      <c r="K2" s="33">
        <f>(J2-I2)/J2</f>
        <v>0.3503405585</v>
      </c>
      <c r="L2" s="34">
        <f>J2-I2</f>
        <v>233263.05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2.0</v>
      </c>
      <c r="F6" s="39"/>
      <c r="G6" s="40">
        <f t="shared" si="1"/>
        <v>2</v>
      </c>
      <c r="H6" s="38">
        <f t="shared" si="2"/>
        <v>7496.42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15.0</v>
      </c>
      <c r="F7" s="39"/>
      <c r="G7" s="40">
        <f t="shared" si="1"/>
        <v>15</v>
      </c>
      <c r="H7" s="38">
        <f t="shared" si="2"/>
        <v>21729.45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2.0</v>
      </c>
      <c r="F8" s="39"/>
      <c r="G8" s="40">
        <f t="shared" si="1"/>
        <v>2</v>
      </c>
      <c r="H8" s="38">
        <f t="shared" si="2"/>
        <v>23340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9.0</v>
      </c>
      <c r="F9" s="39"/>
      <c r="G9" s="40">
        <f t="shared" si="1"/>
        <v>9</v>
      </c>
      <c r="H9" s="38">
        <f t="shared" si="2"/>
        <v>84151.44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29.0</v>
      </c>
      <c r="F11" s="39"/>
      <c r="G11" s="40">
        <f t="shared" si="1"/>
        <v>29</v>
      </c>
      <c r="H11" s="38">
        <f t="shared" si="2"/>
        <v>215910.8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1.0</v>
      </c>
      <c r="F15" s="39"/>
      <c r="G15" s="40">
        <f t="shared" si="1"/>
        <v>1</v>
      </c>
      <c r="H15" s="38">
        <f t="shared" si="2"/>
        <v>9229.59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0.0</v>
      </c>
      <c r="F17" s="39"/>
      <c r="G17" s="40">
        <f t="shared" si="1"/>
        <v>0</v>
      </c>
      <c r="H17" s="38">
        <f t="shared" si="2"/>
        <v>0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6.0</v>
      </c>
      <c r="F18" s="39"/>
      <c r="G18" s="40">
        <f t="shared" si="1"/>
        <v>6</v>
      </c>
      <c r="H18" s="38">
        <f t="shared" si="2"/>
        <v>10446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12.0</v>
      </c>
      <c r="F22" s="43"/>
      <c r="G22" s="40">
        <f t="shared" si="1"/>
        <v>12</v>
      </c>
      <c r="H22" s="38">
        <f t="shared" si="2"/>
        <v>2820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21.0</v>
      </c>
      <c r="F23" s="43"/>
      <c r="G23" s="40">
        <f t="shared" si="1"/>
        <v>21</v>
      </c>
      <c r="H23" s="38">
        <f t="shared" si="2"/>
        <v>6216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16.0</v>
      </c>
      <c r="F24" s="43"/>
      <c r="G24" s="40">
        <f t="shared" si="1"/>
        <v>16</v>
      </c>
      <c r="H24" s="38">
        <f t="shared" si="2"/>
        <v>3992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39.0</v>
      </c>
      <c r="F25" s="43"/>
      <c r="G25" s="40">
        <f t="shared" si="1"/>
        <v>39</v>
      </c>
      <c r="H25" s="38">
        <f t="shared" si="2"/>
        <v>8112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1.0</v>
      </c>
      <c r="F28" s="43"/>
      <c r="G28" s="40">
        <f t="shared" si="1"/>
        <v>1</v>
      </c>
      <c r="H28" s="38">
        <f t="shared" si="2"/>
        <v>2064.84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94016.32</v>
      </c>
      <c r="J33" s="32">
        <v>161316.0</v>
      </c>
      <c r="K33" s="33">
        <f>(J33-I33)/J33</f>
        <v>0.4171915991</v>
      </c>
      <c r="L33" s="34">
        <f>J33-I33</f>
        <v>67299.68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1.0</v>
      </c>
      <c r="F37" s="39"/>
      <c r="G37" s="59">
        <f t="shared" si="3"/>
        <v>1</v>
      </c>
      <c r="H37" s="60">
        <f t="shared" si="2"/>
        <v>3748.21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2.0</v>
      </c>
      <c r="F38" s="39"/>
      <c r="G38" s="59">
        <f t="shared" si="3"/>
        <v>2</v>
      </c>
      <c r="H38" s="60">
        <f t="shared" si="2"/>
        <v>2897.26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0.0</v>
      </c>
      <c r="F39" s="39"/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1.0</v>
      </c>
      <c r="F41" s="39"/>
      <c r="G41" s="59">
        <f t="shared" si="3"/>
        <v>1</v>
      </c>
      <c r="H41" s="60">
        <f t="shared" si="2"/>
        <v>9990.16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2.0</v>
      </c>
      <c r="F42" s="39"/>
      <c r="G42" s="59">
        <f t="shared" si="3"/>
        <v>2</v>
      </c>
      <c r="H42" s="60">
        <f t="shared" si="2"/>
        <v>14890.4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/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2.0</v>
      </c>
      <c r="F49" s="39"/>
      <c r="G49" s="59">
        <f t="shared" si="3"/>
        <v>2</v>
      </c>
      <c r="H49" s="60">
        <f t="shared" si="2"/>
        <v>3482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3.0</v>
      </c>
      <c r="F53" s="43"/>
      <c r="G53" s="59">
        <f t="shared" si="3"/>
        <v>3</v>
      </c>
      <c r="H53" s="60">
        <f t="shared" si="2"/>
        <v>705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5.0</v>
      </c>
      <c r="F54" s="43"/>
      <c r="G54" s="59">
        <f t="shared" si="3"/>
        <v>5</v>
      </c>
      <c r="H54" s="60">
        <f t="shared" si="2"/>
        <v>1480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3.0</v>
      </c>
      <c r="F55" s="43"/>
      <c r="G55" s="59">
        <f t="shared" si="3"/>
        <v>3</v>
      </c>
      <c r="H55" s="60">
        <f t="shared" si="2"/>
        <v>748.5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6.0</v>
      </c>
      <c r="F56" s="43"/>
      <c r="G56" s="59">
        <f t="shared" si="3"/>
        <v>6</v>
      </c>
      <c r="H56" s="60">
        <f t="shared" si="2"/>
        <v>1248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1.0</v>
      </c>
      <c r="F61" s="47"/>
      <c r="G61" s="59">
        <f t="shared" si="3"/>
        <v>1</v>
      </c>
      <c r="H61" s="60">
        <f t="shared" si="2"/>
        <v>10521.31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53386.47</v>
      </c>
      <c r="J64" s="32">
        <v>127945.0</v>
      </c>
      <c r="K64" s="33">
        <f>(J64-I64)/J64</f>
        <v>0.5827389113</v>
      </c>
      <c r="L64" s="34">
        <f>J64-I64</f>
        <v>74558.53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1.0</v>
      </c>
      <c r="F68" s="65"/>
      <c r="G68" s="66">
        <f t="shared" si="4"/>
        <v>1</v>
      </c>
      <c r="H68" s="60">
        <f t="shared" si="2"/>
        <v>3748.21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1.0</v>
      </c>
      <c r="F78" s="65"/>
      <c r="G78" s="66">
        <f t="shared" si="4"/>
        <v>1</v>
      </c>
      <c r="H78" s="60">
        <f t="shared" si="2"/>
        <v>11550.16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0.0</v>
      </c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2.0</v>
      </c>
      <c r="F85" s="65"/>
      <c r="G85" s="66">
        <f t="shared" si="4"/>
        <v>2</v>
      </c>
      <c r="H85" s="60">
        <f t="shared" si="2"/>
        <v>592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1.0</v>
      </c>
      <c r="F86" s="65"/>
      <c r="G86" s="66">
        <f t="shared" si="4"/>
        <v>1</v>
      </c>
      <c r="H86" s="60">
        <f t="shared" si="2"/>
        <v>249.5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5.0</v>
      </c>
      <c r="F87" s="65"/>
      <c r="G87" s="66">
        <f t="shared" si="4"/>
        <v>5</v>
      </c>
      <c r="H87" s="60">
        <f t="shared" si="2"/>
        <v>1040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1.0</v>
      </c>
      <c r="F91" s="67"/>
      <c r="G91" s="66">
        <f t="shared" si="4"/>
        <v>1</v>
      </c>
      <c r="H91" s="60">
        <f t="shared" si="2"/>
        <v>13871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579957.74</v>
      </c>
      <c r="J126" s="76">
        <f t="shared" si="6"/>
        <v>955079</v>
      </c>
      <c r="K126" s="76"/>
      <c r="L126" s="76">
        <f>SUM(L2:L125)</f>
        <v>375121.26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'15062026'!$I$130:$J$158, 2, )</f>
        <v>2</v>
      </c>
      <c r="G131" s="100">
        <f>D131*F131</f>
        <v>140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2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2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2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360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'15062026'!$I$130:$J$158, 2, )</f>
        <v>9</v>
      </c>
      <c r="G136" s="100">
        <f>D136*F136</f>
        <v>1170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9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9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1620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'15062026'!$I$130:$J$158, 2, )</f>
        <v>2</v>
      </c>
      <c r="G140" s="100">
        <f>D140*F140</f>
        <v>260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2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2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360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40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'15062026'!$I$130:$J$158,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'15062026'!$I$130:$J$158,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'15062026'!$I$130:$J$158,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'15062026'!$I$130:$J$158, 2, )</f>
        <v>2</v>
      </c>
      <c r="G154" s="101">
        <f>D154*F154</f>
        <v>260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2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2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360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2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'15062026'!$I$130:$J$158, 2, )</f>
        <v>1</v>
      </c>
      <c r="G159" s="101">
        <f>D159*F159</f>
        <v>2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1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1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180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1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3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3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5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'15062026'!$I$130:$J$158, 2, )</f>
        <v>8</v>
      </c>
      <c r="G167" s="101">
        <f>D167*F167</f>
        <v>8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8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8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'15062026'!$I$130:$J$158,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0</v>
      </c>
      <c r="G174" s="101">
        <f t="shared" si="7"/>
        <v>0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'15062026'!$I$130:$J$158,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'15062026'!$I$130:$J$158,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'15062026'!$I$130:$J$158, 2, )</f>
        <v>34</v>
      </c>
      <c r="G177" s="101">
        <f t="shared" si="7"/>
        <v>34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340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34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34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6120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34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'15062026'!$I$130:$J$158, 2, )</f>
        <v>2</v>
      </c>
      <c r="G183" s="101">
        <f>D183*F183</f>
        <v>2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2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2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2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360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2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'15062026'!$I$130:$J$158,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'15062026'!$I$130:$J$158,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'15062026'!$I$130:$J$158, 2, )</f>
        <v>1</v>
      </c>
      <c r="G203" s="100">
        <f>D203*F203</f>
        <v>16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15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8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50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125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180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1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1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'15062026'!$I$130:$J$158, 2, )</f>
        <v>4</v>
      </c>
      <c r="G211" s="100">
        <f>D211*F211</f>
        <v>6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100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200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720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500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4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4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'15062026'!$I$130:$J$158,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'15062026'!$I$130:$J$158, 2, )</f>
        <v>17</v>
      </c>
      <c r="G227" s="115">
        <f>D227*F227</f>
        <v>1.139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340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850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3060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17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17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'15062026'!$I$130:$J$158, 2, )</f>
        <v>1</v>
      </c>
      <c r="G233" s="123">
        <f>D233*F233</f>
        <v>70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1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1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1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180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1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'15062026'!$I$130:$J$158, 2, )</f>
        <v>1</v>
      </c>
      <c r="G239" s="127">
        <f t="shared" ref="G239:G240" si="8">D239*F239</f>
        <v>1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'15062026'!$I$130:$J$158,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'15062026'!$I$130:$J$158,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'15062026'!$I$130:$J$158, 2, )</f>
        <v>3</v>
      </c>
      <c r="G271" s="134">
        <f>D271*F271</f>
        <v>202.5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22.5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351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3.75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3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6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3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30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300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45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45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30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3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30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557551.38</v>
      </c>
      <c r="J2" s="32">
        <v>865369.0</v>
      </c>
      <c r="K2" s="33">
        <f>(J2-I2)/J2</f>
        <v>0.3557067794</v>
      </c>
      <c r="L2" s="34">
        <f>J2-I2</f>
        <v>307817.62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2.0</v>
      </c>
      <c r="F6" s="39"/>
      <c r="G6" s="40">
        <f t="shared" si="1"/>
        <v>2</v>
      </c>
      <c r="H6" s="38">
        <f t="shared" si="2"/>
        <v>7496.42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15.0</v>
      </c>
      <c r="F7" s="39"/>
      <c r="G7" s="40">
        <f t="shared" si="1"/>
        <v>15</v>
      </c>
      <c r="H7" s="38">
        <f t="shared" si="2"/>
        <v>21729.45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3.0</v>
      </c>
      <c r="F8" s="39"/>
      <c r="G8" s="40">
        <f t="shared" si="1"/>
        <v>3</v>
      </c>
      <c r="H8" s="38">
        <f t="shared" si="2"/>
        <v>35010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10.0</v>
      </c>
      <c r="F9" s="39"/>
      <c r="G9" s="40">
        <f t="shared" si="1"/>
        <v>10</v>
      </c>
      <c r="H9" s="38">
        <f t="shared" si="2"/>
        <v>93501.6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0.0</v>
      </c>
      <c r="F10" s="39"/>
      <c r="G10" s="40">
        <f t="shared" si="1"/>
        <v>0</v>
      </c>
      <c r="H10" s="38">
        <f t="shared" si="2"/>
        <v>0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40.0</v>
      </c>
      <c r="F11" s="39"/>
      <c r="G11" s="40">
        <f t="shared" si="1"/>
        <v>40</v>
      </c>
      <c r="H11" s="38">
        <f t="shared" si="2"/>
        <v>297808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1.0</v>
      </c>
      <c r="F15" s="39"/>
      <c r="G15" s="40">
        <f t="shared" si="1"/>
        <v>1</v>
      </c>
      <c r="H15" s="38">
        <f t="shared" si="2"/>
        <v>9229.59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0.0</v>
      </c>
      <c r="F17" s="39"/>
      <c r="G17" s="40">
        <f t="shared" si="1"/>
        <v>0</v>
      </c>
      <c r="H17" s="38">
        <f t="shared" si="2"/>
        <v>0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7.0</v>
      </c>
      <c r="F18" s="39"/>
      <c r="G18" s="40">
        <f t="shared" si="1"/>
        <v>7</v>
      </c>
      <c r="H18" s="38">
        <f t="shared" si="2"/>
        <v>12187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28.0</v>
      </c>
      <c r="F22" s="43"/>
      <c r="G22" s="40">
        <f t="shared" si="1"/>
        <v>28</v>
      </c>
      <c r="H22" s="38">
        <f t="shared" si="2"/>
        <v>6580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28.0</v>
      </c>
      <c r="F23" s="43"/>
      <c r="G23" s="40">
        <f t="shared" si="1"/>
        <v>28</v>
      </c>
      <c r="H23" s="38">
        <f t="shared" si="2"/>
        <v>8288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26.0</v>
      </c>
      <c r="F24" s="43"/>
      <c r="G24" s="40">
        <f t="shared" si="1"/>
        <v>26</v>
      </c>
      <c r="H24" s="38">
        <f t="shared" si="2"/>
        <v>6487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51.0</v>
      </c>
      <c r="F25" s="43"/>
      <c r="G25" s="40">
        <f t="shared" si="1"/>
        <v>51</v>
      </c>
      <c r="H25" s="38">
        <f t="shared" si="2"/>
        <v>10608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1.0</v>
      </c>
      <c r="F26" s="43"/>
      <c r="G26" s="40">
        <f t="shared" si="1"/>
        <v>1</v>
      </c>
      <c r="H26" s="38">
        <f t="shared" si="2"/>
        <v>2446.08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3.0</v>
      </c>
      <c r="F30" s="47"/>
      <c r="G30" s="40">
        <f t="shared" si="1"/>
        <v>3</v>
      </c>
      <c r="H30" s="38">
        <f t="shared" si="2"/>
        <v>31563.93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1.0</v>
      </c>
      <c r="F32" s="53"/>
      <c r="G32" s="54">
        <f t="shared" si="1"/>
        <v>1</v>
      </c>
      <c r="H32" s="52">
        <f t="shared" si="2"/>
        <v>14616.31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305246.67</v>
      </c>
      <c r="J33" s="32">
        <v>480751.0</v>
      </c>
      <c r="K33" s="33">
        <f>(J33-I33)/J33</f>
        <v>0.3650628496</v>
      </c>
      <c r="L33" s="34">
        <f>J33-I33</f>
        <v>175504.33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2.0</v>
      </c>
      <c r="F35" s="39"/>
      <c r="G35" s="59">
        <f t="shared" si="3"/>
        <v>2</v>
      </c>
      <c r="H35" s="60">
        <f t="shared" si="2"/>
        <v>12027.26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1.0</v>
      </c>
      <c r="F36" s="39"/>
      <c r="G36" s="59">
        <f t="shared" si="3"/>
        <v>1</v>
      </c>
      <c r="H36" s="60">
        <f t="shared" si="2"/>
        <v>7131.43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10.0</v>
      </c>
      <c r="F38" s="39"/>
      <c r="G38" s="59">
        <f t="shared" si="3"/>
        <v>10</v>
      </c>
      <c r="H38" s="60">
        <f t="shared" si="2"/>
        <v>14486.3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4.0</v>
      </c>
      <c r="F39" s="39"/>
      <c r="G39" s="59">
        <f t="shared" si="3"/>
        <v>4</v>
      </c>
      <c r="H39" s="60">
        <f t="shared" si="2"/>
        <v>46680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2.0</v>
      </c>
      <c r="F40" s="39"/>
      <c r="G40" s="59">
        <f t="shared" si="3"/>
        <v>2</v>
      </c>
      <c r="H40" s="60">
        <f t="shared" si="2"/>
        <v>18700.32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0.0</v>
      </c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9.0</v>
      </c>
      <c r="F42" s="39"/>
      <c r="G42" s="59">
        <f t="shared" si="3"/>
        <v>9</v>
      </c>
      <c r="H42" s="60">
        <f t="shared" si="2"/>
        <v>67006.8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1.0</v>
      </c>
      <c r="F45" s="39"/>
      <c r="G45" s="59">
        <f t="shared" si="3"/>
        <v>1</v>
      </c>
      <c r="H45" s="60">
        <f t="shared" si="2"/>
        <v>15435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1.0</v>
      </c>
      <c r="F48" s="39"/>
      <c r="G48" s="59">
        <f t="shared" si="3"/>
        <v>1</v>
      </c>
      <c r="H48" s="60">
        <f t="shared" si="2"/>
        <v>9300.16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13.0</v>
      </c>
      <c r="F53" s="43"/>
      <c r="G53" s="59">
        <f t="shared" si="3"/>
        <v>13</v>
      </c>
      <c r="H53" s="60">
        <f t="shared" si="2"/>
        <v>3055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11.0</v>
      </c>
      <c r="F54" s="43"/>
      <c r="G54" s="59">
        <f t="shared" si="3"/>
        <v>11</v>
      </c>
      <c r="H54" s="60">
        <f t="shared" si="2"/>
        <v>3256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2.0</v>
      </c>
      <c r="F55" s="43"/>
      <c r="G55" s="59">
        <f t="shared" si="3"/>
        <v>2</v>
      </c>
      <c r="H55" s="60">
        <f t="shared" si="2"/>
        <v>499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14.0</v>
      </c>
      <c r="F56" s="43"/>
      <c r="G56" s="59">
        <f t="shared" si="3"/>
        <v>14</v>
      </c>
      <c r="H56" s="60">
        <f t="shared" si="2"/>
        <v>2912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1.0</v>
      </c>
      <c r="F60" s="47"/>
      <c r="G60" s="59">
        <f t="shared" si="3"/>
        <v>1</v>
      </c>
      <c r="H60" s="60">
        <f t="shared" si="2"/>
        <v>13871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3.0</v>
      </c>
      <c r="F61" s="47"/>
      <c r="G61" s="59">
        <f t="shared" si="3"/>
        <v>3</v>
      </c>
      <c r="H61" s="60">
        <f t="shared" si="2"/>
        <v>31563.93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1.0</v>
      </c>
      <c r="F63" s="53"/>
      <c r="G63" s="61">
        <f t="shared" si="3"/>
        <v>1</v>
      </c>
      <c r="H63" s="62">
        <f t="shared" si="2"/>
        <v>14616.31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92264.22</v>
      </c>
      <c r="J64" s="32">
        <v>189434.0</v>
      </c>
      <c r="K64" s="33">
        <f>(J64-I64)/J64</f>
        <v>0.5129479397</v>
      </c>
      <c r="L64" s="34">
        <f>J64-I64</f>
        <v>97169.78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1.0</v>
      </c>
      <c r="F66" s="65"/>
      <c r="G66" s="66">
        <f t="shared" si="4"/>
        <v>1</v>
      </c>
      <c r="H66" s="60">
        <f t="shared" si="2"/>
        <v>6013.63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1.0</v>
      </c>
      <c r="F67" s="65"/>
      <c r="G67" s="66">
        <f t="shared" si="4"/>
        <v>1</v>
      </c>
      <c r="H67" s="60">
        <f t="shared" si="2"/>
        <v>7131.43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2.0</v>
      </c>
      <c r="F69" s="65"/>
      <c r="G69" s="66">
        <f t="shared" si="4"/>
        <v>2</v>
      </c>
      <c r="H69" s="60">
        <f t="shared" si="2"/>
        <v>2897.26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4.0</v>
      </c>
      <c r="F72" s="65"/>
      <c r="G72" s="66">
        <f t="shared" si="4"/>
        <v>4</v>
      </c>
      <c r="H72" s="60">
        <f t="shared" si="2"/>
        <v>39960.64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1.0</v>
      </c>
      <c r="F79" s="65"/>
      <c r="G79" s="66">
        <f t="shared" si="4"/>
        <v>1</v>
      </c>
      <c r="H79" s="60">
        <f t="shared" si="2"/>
        <v>9300.16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1.0</v>
      </c>
      <c r="F80" s="65"/>
      <c r="G80" s="66">
        <f t="shared" si="4"/>
        <v>1</v>
      </c>
      <c r="H80" s="60">
        <f t="shared" si="2"/>
        <v>1741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0.0</v>
      </c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3.0</v>
      </c>
      <c r="F85" s="65"/>
      <c r="G85" s="66">
        <f t="shared" si="4"/>
        <v>3</v>
      </c>
      <c r="H85" s="60">
        <f t="shared" si="2"/>
        <v>888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6.0</v>
      </c>
      <c r="F87" s="65"/>
      <c r="G87" s="66">
        <f t="shared" si="4"/>
        <v>6</v>
      </c>
      <c r="H87" s="60">
        <f t="shared" si="2"/>
        <v>1248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955062.27</v>
      </c>
      <c r="J126" s="76">
        <f t="shared" si="6"/>
        <v>1535554</v>
      </c>
      <c r="K126" s="76"/>
      <c r="L126" s="76">
        <f>SUM(L2:L125)</f>
        <v>580491.73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'14062026'!$I$130:$J$158, 2, )</f>
        <v>7</v>
      </c>
      <c r="G131" s="100">
        <f>D131*F131</f>
        <v>490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7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7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7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1260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'14062026'!$I$130:$J$158, 2, )</f>
        <v>12</v>
      </c>
      <c r="G136" s="100">
        <f>D136*F136</f>
        <v>1560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12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12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2160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'14062026'!$I$130:$J$158, 2, )</f>
        <v>4</v>
      </c>
      <c r="G140" s="100">
        <f>D140*F140</f>
        <v>520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4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4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720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80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'14062026'!$I$130:$J$158,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'14062026'!$I$130:$J$158,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'14062026'!$I$130:$J$158, 2, )</f>
        <v>1</v>
      </c>
      <c r="G150" s="101">
        <f>D150*F150</f>
        <v>260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1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1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40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'14062026'!$I$130:$J$158, 2, )</f>
        <v>1</v>
      </c>
      <c r="G154" s="101">
        <f>D154*F154</f>
        <v>130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1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1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180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1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'14062026'!$I$130:$J$158, 2, )</f>
        <v>1</v>
      </c>
      <c r="G159" s="101">
        <f>D159*F159</f>
        <v>2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1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1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180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1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3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3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5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'14062026'!$I$130:$J$158, 2, )</f>
        <v>9</v>
      </c>
      <c r="G167" s="101">
        <f>D167*F167</f>
        <v>9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9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9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'14062026'!$I$130:$J$158,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0</v>
      </c>
      <c r="G174" s="101">
        <f t="shared" si="7"/>
        <v>0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'14062026'!$I$130:$J$158, 2, )</f>
        <v>1</v>
      </c>
      <c r="G175" s="101">
        <f t="shared" si="7"/>
        <v>65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'14062026'!$I$130:$J$158,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'14062026'!$I$130:$J$158, 2, )</f>
        <v>52</v>
      </c>
      <c r="G177" s="101">
        <f t="shared" si="7"/>
        <v>52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520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52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52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9360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52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'14062026'!$I$130:$J$158, 2, )</f>
        <v>2</v>
      </c>
      <c r="G183" s="101">
        <f>D183*F183</f>
        <v>2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2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2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2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360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2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'14062026'!$I$130:$J$158,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'14062026'!$I$130:$J$158,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'14062026'!$I$130:$J$158, 2, )</f>
        <v>3</v>
      </c>
      <c r="G203" s="100">
        <f>D203*F203</f>
        <v>48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45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24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150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375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540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3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3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'14062026'!$I$130:$J$158, 2, )</f>
        <v>2</v>
      </c>
      <c r="G211" s="100">
        <f>D211*F211</f>
        <v>3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50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360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250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2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2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'14062026'!$I$130:$J$158, 2, )</f>
        <v>2</v>
      </c>
      <c r="G218" s="100">
        <f>D218*F218</f>
        <v>32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30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16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40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100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250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360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2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2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'14062026'!$I$130:$J$158, 2, )</f>
        <v>27</v>
      </c>
      <c r="G227" s="115">
        <f>D227*F227</f>
        <v>1.809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540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1350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4860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27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27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'14062026'!$I$130:$J$158, 2, )</f>
        <v>1</v>
      </c>
      <c r="G233" s="123">
        <f>D233*F233</f>
        <v>70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1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1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1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180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1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'14062026'!$I$130:$J$158, 2, )</f>
        <v>0</v>
      </c>
      <c r="G239" s="127">
        <f t="shared" ref="G239:G240" si="8">D239*F239</f>
        <v>0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'14062026'!$I$130:$J$158,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'14062026'!$I$130:$J$158, 2, )</f>
        <v>2</v>
      </c>
      <c r="G255" s="144">
        <f>D255*F255</f>
        <v>135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15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234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2.5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140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4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2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20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200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30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30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20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2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20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'14062026'!$I$130:$J$158, 2, )</f>
        <v>6</v>
      </c>
      <c r="G271" s="134">
        <f>D271*F271</f>
        <v>405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45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702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7.5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6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6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60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30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600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90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90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60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30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6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60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332308.58</v>
      </c>
      <c r="J2" s="32">
        <v>513337.0</v>
      </c>
      <c r="K2" s="33">
        <f>(J2-I2)/J2</f>
        <v>0.3526502473</v>
      </c>
      <c r="L2" s="34">
        <f>J2-I2</f>
        <v>181028.42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6.0</v>
      </c>
      <c r="F7" s="39"/>
      <c r="G7" s="40">
        <f t="shared" si="1"/>
        <v>6</v>
      </c>
      <c r="H7" s="38">
        <f t="shared" si="2"/>
        <v>8691.78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2.0</v>
      </c>
      <c r="F8" s="39"/>
      <c r="G8" s="40">
        <f t="shared" si="1"/>
        <v>2</v>
      </c>
      <c r="H8" s="38">
        <f t="shared" si="2"/>
        <v>23340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5.0</v>
      </c>
      <c r="F9" s="39"/>
      <c r="G9" s="40">
        <f t="shared" si="1"/>
        <v>5</v>
      </c>
      <c r="H9" s="38">
        <f t="shared" si="2"/>
        <v>46750.8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0.0</v>
      </c>
      <c r="F10" s="39"/>
      <c r="G10" s="40">
        <f t="shared" si="1"/>
        <v>0</v>
      </c>
      <c r="H10" s="38">
        <f t="shared" si="2"/>
        <v>0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21.0</v>
      </c>
      <c r="F11" s="39"/>
      <c r="G11" s="40">
        <f t="shared" si="1"/>
        <v>21</v>
      </c>
      <c r="H11" s="38">
        <f t="shared" si="2"/>
        <v>156349.2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1.0</v>
      </c>
      <c r="F13" s="39"/>
      <c r="G13" s="40">
        <f t="shared" si="1"/>
        <v>1</v>
      </c>
      <c r="H13" s="38">
        <f t="shared" si="2"/>
        <v>14155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2.0</v>
      </c>
      <c r="F15" s="39"/>
      <c r="G15" s="40">
        <f t="shared" si="1"/>
        <v>2</v>
      </c>
      <c r="H15" s="38">
        <f t="shared" si="2"/>
        <v>18459.18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1.0</v>
      </c>
      <c r="F17" s="39"/>
      <c r="G17" s="40">
        <f t="shared" si="1"/>
        <v>1</v>
      </c>
      <c r="H17" s="38">
        <f t="shared" si="2"/>
        <v>9300.16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4.0</v>
      </c>
      <c r="F18" s="39"/>
      <c r="G18" s="40">
        <f t="shared" si="1"/>
        <v>4</v>
      </c>
      <c r="H18" s="38">
        <f t="shared" si="2"/>
        <v>6964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1.0</v>
      </c>
      <c r="F21" s="43"/>
      <c r="G21" s="40">
        <f t="shared" si="1"/>
        <v>1</v>
      </c>
      <c r="H21" s="38">
        <f t="shared" si="2"/>
        <v>2113.16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13.0</v>
      </c>
      <c r="F22" s="43"/>
      <c r="G22" s="40">
        <f t="shared" si="1"/>
        <v>13</v>
      </c>
      <c r="H22" s="38">
        <f t="shared" si="2"/>
        <v>3055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8.0</v>
      </c>
      <c r="F23" s="43"/>
      <c r="G23" s="40">
        <f t="shared" si="1"/>
        <v>8</v>
      </c>
      <c r="H23" s="38">
        <f t="shared" si="2"/>
        <v>2368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16.0</v>
      </c>
      <c r="F24" s="43"/>
      <c r="G24" s="40">
        <f t="shared" si="1"/>
        <v>16</v>
      </c>
      <c r="H24" s="38">
        <f t="shared" si="2"/>
        <v>3992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31.0</v>
      </c>
      <c r="F25" s="43"/>
      <c r="G25" s="40">
        <f t="shared" si="1"/>
        <v>31</v>
      </c>
      <c r="H25" s="38">
        <f t="shared" si="2"/>
        <v>6448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2.0</v>
      </c>
      <c r="F28" s="43"/>
      <c r="G28" s="40">
        <f t="shared" si="1"/>
        <v>2</v>
      </c>
      <c r="H28" s="38">
        <f t="shared" si="2"/>
        <v>4129.68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1.0</v>
      </c>
      <c r="F30" s="47"/>
      <c r="G30" s="40">
        <f t="shared" si="1"/>
        <v>1</v>
      </c>
      <c r="H30" s="38">
        <f t="shared" si="2"/>
        <v>10521.31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223785.97</v>
      </c>
      <c r="J33" s="32">
        <v>382521.0</v>
      </c>
      <c r="K33" s="33">
        <f>(J33-I33)/J33</f>
        <v>0.4149707598</v>
      </c>
      <c r="L33" s="34">
        <f>J33-I33</f>
        <v>158735.03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/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1.0</v>
      </c>
      <c r="F37" s="39"/>
      <c r="G37" s="59">
        <f t="shared" si="3"/>
        <v>1</v>
      </c>
      <c r="H37" s="60">
        <f t="shared" si="2"/>
        <v>3748.21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2.0</v>
      </c>
      <c r="F38" s="39"/>
      <c r="G38" s="59">
        <f t="shared" si="3"/>
        <v>2</v>
      </c>
      <c r="H38" s="60">
        <f t="shared" si="2"/>
        <v>2897.26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/>
      <c r="G39" s="59">
        <f t="shared" si="3"/>
        <v>1</v>
      </c>
      <c r="H39" s="60">
        <f t="shared" si="2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1.0</v>
      </c>
      <c r="F41" s="39"/>
      <c r="G41" s="59">
        <f t="shared" si="3"/>
        <v>1</v>
      </c>
      <c r="H41" s="60">
        <f t="shared" si="2"/>
        <v>9990.16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2.0</v>
      </c>
      <c r="F42" s="39"/>
      <c r="G42" s="59">
        <f t="shared" si="3"/>
        <v>2</v>
      </c>
      <c r="H42" s="60">
        <f t="shared" si="2"/>
        <v>14890.4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1.0</v>
      </c>
      <c r="F46" s="39"/>
      <c r="G46" s="59">
        <f t="shared" si="3"/>
        <v>1</v>
      </c>
      <c r="H46" s="60">
        <f t="shared" si="2"/>
        <v>9229.59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4.0</v>
      </c>
      <c r="F48" s="39"/>
      <c r="G48" s="59">
        <f t="shared" si="3"/>
        <v>4</v>
      </c>
      <c r="H48" s="60">
        <f t="shared" si="2"/>
        <v>37200.64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0.0</v>
      </c>
      <c r="F49" s="39"/>
      <c r="G49" s="59">
        <f t="shared" si="3"/>
        <v>0</v>
      </c>
      <c r="H49" s="60">
        <f t="shared" si="2"/>
        <v>0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12.0</v>
      </c>
      <c r="F53" s="43"/>
      <c r="G53" s="59">
        <f t="shared" si="3"/>
        <v>12</v>
      </c>
      <c r="H53" s="60">
        <f t="shared" si="2"/>
        <v>2820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13.0</v>
      </c>
      <c r="F54" s="43"/>
      <c r="G54" s="59">
        <f t="shared" si="3"/>
        <v>13</v>
      </c>
      <c r="H54" s="60">
        <f t="shared" si="2"/>
        <v>3848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12.0</v>
      </c>
      <c r="F55" s="43"/>
      <c r="G55" s="59">
        <f t="shared" si="3"/>
        <v>12</v>
      </c>
      <c r="H55" s="60">
        <f t="shared" si="2"/>
        <v>2994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16.0</v>
      </c>
      <c r="F56" s="43"/>
      <c r="G56" s="59">
        <f t="shared" si="3"/>
        <v>16</v>
      </c>
      <c r="H56" s="60">
        <f t="shared" si="2"/>
        <v>3328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1.0</v>
      </c>
      <c r="F57" s="43"/>
      <c r="G57" s="59">
        <f t="shared" si="3"/>
        <v>1</v>
      </c>
      <c r="H57" s="60">
        <f t="shared" si="2"/>
        <v>2446.08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3.0</v>
      </c>
      <c r="F59" s="43"/>
      <c r="G59" s="59">
        <f t="shared" si="3"/>
        <v>3</v>
      </c>
      <c r="H59" s="60">
        <f t="shared" si="2"/>
        <v>6194.52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6.0</v>
      </c>
      <c r="F61" s="47"/>
      <c r="G61" s="59">
        <f t="shared" si="3"/>
        <v>6</v>
      </c>
      <c r="H61" s="60">
        <f t="shared" si="2"/>
        <v>63127.86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2.0</v>
      </c>
      <c r="F63" s="53"/>
      <c r="G63" s="61">
        <f t="shared" si="3"/>
        <v>2</v>
      </c>
      <c r="H63" s="62">
        <f t="shared" si="2"/>
        <v>29232.62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77923.92</v>
      </c>
      <c r="J64" s="32">
        <v>169565.0</v>
      </c>
      <c r="K64" s="33">
        <f>(J64-I64)/J64</f>
        <v>0.5404480878</v>
      </c>
      <c r="L64" s="34">
        <f>J64-I64</f>
        <v>91641.08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1.0</v>
      </c>
      <c r="F70" s="65"/>
      <c r="G70" s="66">
        <f t="shared" si="4"/>
        <v>1</v>
      </c>
      <c r="H70" s="60">
        <f t="shared" si="2"/>
        <v>11670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1.0</v>
      </c>
      <c r="F71" s="65"/>
      <c r="G71" s="66">
        <f t="shared" si="4"/>
        <v>1</v>
      </c>
      <c r="H71" s="60">
        <f t="shared" si="2"/>
        <v>9350.16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1.0</v>
      </c>
      <c r="F75" s="65"/>
      <c r="G75" s="66">
        <f t="shared" si="4"/>
        <v>1</v>
      </c>
      <c r="H75" s="60">
        <f t="shared" si="2"/>
        <v>14155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2.0</v>
      </c>
      <c r="F77" s="65"/>
      <c r="G77" s="66">
        <f t="shared" si="4"/>
        <v>2</v>
      </c>
      <c r="H77" s="60">
        <f t="shared" si="2"/>
        <v>18459.18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1.0</v>
      </c>
      <c r="F80" s="65"/>
      <c r="G80" s="66">
        <f t="shared" si="4"/>
        <v>1</v>
      </c>
      <c r="H80" s="60">
        <f t="shared" si="2"/>
        <v>1741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4.0</v>
      </c>
      <c r="F84" s="65"/>
      <c r="G84" s="66">
        <f t="shared" si="4"/>
        <v>4</v>
      </c>
      <c r="H84" s="60">
        <f t="shared" si="2"/>
        <v>940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2.0</v>
      </c>
      <c r="F85" s="65"/>
      <c r="G85" s="66">
        <f t="shared" si="4"/>
        <v>2</v>
      </c>
      <c r="H85" s="60">
        <f t="shared" si="2"/>
        <v>592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6.0</v>
      </c>
      <c r="F87" s="65"/>
      <c r="G87" s="66">
        <f t="shared" si="4"/>
        <v>6</v>
      </c>
      <c r="H87" s="60">
        <f t="shared" si="2"/>
        <v>1248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2.0</v>
      </c>
      <c r="F90" s="65"/>
      <c r="G90" s="66">
        <f t="shared" si="4"/>
        <v>2</v>
      </c>
      <c r="H90" s="60">
        <f t="shared" si="2"/>
        <v>4129.68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634018.47</v>
      </c>
      <c r="J126" s="76">
        <f t="shared" si="6"/>
        <v>1065423</v>
      </c>
      <c r="K126" s="76"/>
      <c r="L126" s="76">
        <f>SUM(L2:L125)</f>
        <v>431404.53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'13062026'!$I$130:$J$158, 2, )</f>
        <v>4</v>
      </c>
      <c r="G131" s="100">
        <f>D131*F131</f>
        <v>280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4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4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4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720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'13062026'!$I$130:$J$158, 2, )</f>
        <v>6</v>
      </c>
      <c r="G136" s="100">
        <f>D136*F136</f>
        <v>780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6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6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1080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'13062026'!$I$130:$J$158, 2, )</f>
        <v>1</v>
      </c>
      <c r="G140" s="100">
        <f>D140*F140</f>
        <v>130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1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1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180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20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'13062026'!$I$130:$J$158,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'13062026'!$I$130:$J$158, 2, )</f>
        <v>3</v>
      </c>
      <c r="G147" s="101">
        <f>D147*F147</f>
        <v>780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3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3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'13062026'!$I$130:$J$158,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'13062026'!$I$130:$J$158,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'13062026'!$I$130:$J$158, 2, )</f>
        <v>5</v>
      </c>
      <c r="G159" s="101">
        <f>D159*F159</f>
        <v>10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5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5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900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5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15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15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25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'13062026'!$I$130:$J$158, 2, )</f>
        <v>5</v>
      </c>
      <c r="G167" s="101">
        <f>D167*F167</f>
        <v>5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5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2.5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5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'13062026'!$I$130:$J$158,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'13062026'!$I$130:$J$158, 2, )</f>
        <v>1</v>
      </c>
      <c r="G175" s="101">
        <f t="shared" si="7"/>
        <v>65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'13062026'!$I$130:$J$158,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'13062026'!$I$130:$J$158, 2, )</f>
        <v>25</v>
      </c>
      <c r="G177" s="101">
        <f t="shared" si="7"/>
        <v>25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250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25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25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4500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25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'13062026'!$I$130:$J$158, 2, )</f>
        <v>5</v>
      </c>
      <c r="G183" s="101">
        <f>D183*F183</f>
        <v>5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5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5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5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900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5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'13062026'!$I$130:$J$158,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'13062026'!$I$130:$J$158,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'13062026'!$I$130:$J$158, 2, )</f>
        <v>1</v>
      </c>
      <c r="G203" s="100">
        <f>D203*F203</f>
        <v>16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15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8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50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125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180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1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1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'13062026'!$I$130:$J$158, 2, )</f>
        <v>1</v>
      </c>
      <c r="G211" s="100">
        <f>D211*F211</f>
        <v>1.5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180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125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1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1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'13062026'!$I$130:$J$158,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'13062026'!$I$130:$J$158, 2, )</f>
        <v>8</v>
      </c>
      <c r="G227" s="115">
        <f>D227*F227</f>
        <v>0.536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160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400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1440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8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8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'13062026'!$I$130:$J$158,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'13062026'!$I$130:$J$158, 2, )</f>
        <v>7</v>
      </c>
      <c r="G239" s="127">
        <f t="shared" ref="G239:G240" si="8">D239*F239</f>
        <v>7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'13062026'!$I$130:$J$158,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'13062026'!$I$130:$J$158, 2, )</f>
        <v>2</v>
      </c>
      <c r="G255" s="144">
        <f>D255*F255</f>
        <v>135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15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234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2.5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140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4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2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20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200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30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30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20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2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20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'13062026'!$I$130:$J$158, 2, )</f>
        <v>7</v>
      </c>
      <c r="G271" s="134">
        <f>D271*F271</f>
        <v>472.5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52.5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819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8.75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7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14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7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70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35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700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105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105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70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35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7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70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285121.27</v>
      </c>
      <c r="J2" s="32">
        <v>462620.0</v>
      </c>
      <c r="K2" s="33">
        <f>(J2-I2)/J2</f>
        <v>0.383681488</v>
      </c>
      <c r="L2" s="34">
        <f>J2-I2</f>
        <v>177498.73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7.0</v>
      </c>
      <c r="F7" s="39"/>
      <c r="G7" s="40">
        <f t="shared" si="1"/>
        <v>7</v>
      </c>
      <c r="H7" s="38">
        <f t="shared" si="2"/>
        <v>10140.41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1.0</v>
      </c>
      <c r="F8" s="39"/>
      <c r="G8" s="40">
        <f t="shared" si="1"/>
        <v>1</v>
      </c>
      <c r="H8" s="38">
        <f t="shared" si="2"/>
        <v>11670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2.0</v>
      </c>
      <c r="F9" s="39"/>
      <c r="G9" s="40">
        <f t="shared" si="1"/>
        <v>2</v>
      </c>
      <c r="H9" s="38">
        <f t="shared" si="2"/>
        <v>18700.32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20.0</v>
      </c>
      <c r="F11" s="39"/>
      <c r="G11" s="40">
        <f t="shared" si="1"/>
        <v>20</v>
      </c>
      <c r="H11" s="38">
        <f t="shared" si="2"/>
        <v>148904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1.0</v>
      </c>
      <c r="F15" s="39"/>
      <c r="G15" s="40">
        <f t="shared" si="1"/>
        <v>1</v>
      </c>
      <c r="H15" s="38">
        <f t="shared" si="2"/>
        <v>9229.59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3.0</v>
      </c>
      <c r="F17" s="39"/>
      <c r="G17" s="40">
        <f t="shared" si="1"/>
        <v>3</v>
      </c>
      <c r="H17" s="38">
        <f t="shared" si="2"/>
        <v>27900.48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9.0</v>
      </c>
      <c r="F18" s="39"/>
      <c r="G18" s="40">
        <f t="shared" si="1"/>
        <v>9</v>
      </c>
      <c r="H18" s="38">
        <f t="shared" si="2"/>
        <v>15669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2.0</v>
      </c>
      <c r="F21" s="43"/>
      <c r="G21" s="40">
        <f t="shared" si="1"/>
        <v>2</v>
      </c>
      <c r="H21" s="38">
        <f t="shared" si="2"/>
        <v>4226.32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11.0</v>
      </c>
      <c r="F22" s="43"/>
      <c r="G22" s="40">
        <f t="shared" si="1"/>
        <v>11</v>
      </c>
      <c r="H22" s="38">
        <f t="shared" si="2"/>
        <v>2585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12.0</v>
      </c>
      <c r="F23" s="43"/>
      <c r="G23" s="40">
        <f t="shared" si="1"/>
        <v>12</v>
      </c>
      <c r="H23" s="38">
        <f t="shared" si="2"/>
        <v>3552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10.0</v>
      </c>
      <c r="F24" s="43"/>
      <c r="G24" s="40">
        <f t="shared" si="1"/>
        <v>10</v>
      </c>
      <c r="H24" s="38">
        <f t="shared" si="2"/>
        <v>2495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26.0</v>
      </c>
      <c r="F25" s="43"/>
      <c r="G25" s="40">
        <f t="shared" si="1"/>
        <v>26</v>
      </c>
      <c r="H25" s="38">
        <f t="shared" si="2"/>
        <v>5408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2.0</v>
      </c>
      <c r="F28" s="43"/>
      <c r="G28" s="40">
        <f t="shared" si="1"/>
        <v>2</v>
      </c>
      <c r="H28" s="38">
        <f t="shared" si="2"/>
        <v>4129.68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1.0</v>
      </c>
      <c r="F30" s="47"/>
      <c r="G30" s="40">
        <f t="shared" si="1"/>
        <v>1</v>
      </c>
      <c r="H30" s="38">
        <f t="shared" si="2"/>
        <v>10521.31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483286.76</v>
      </c>
      <c r="J33" s="32">
        <v>982650.0</v>
      </c>
      <c r="K33" s="33">
        <f>(J33-I33)/J33</f>
        <v>0.5081801659</v>
      </c>
      <c r="L33" s="34">
        <f>J33-I33</f>
        <v>499363.24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1.0</v>
      </c>
      <c r="F36" s="39"/>
      <c r="G36" s="59">
        <f t="shared" si="3"/>
        <v>1</v>
      </c>
      <c r="H36" s="60">
        <f t="shared" si="2"/>
        <v>7131.43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6.0</v>
      </c>
      <c r="F38" s="39"/>
      <c r="G38" s="59">
        <f t="shared" si="3"/>
        <v>6</v>
      </c>
      <c r="H38" s="60">
        <f t="shared" si="2"/>
        <v>8691.78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0.0</v>
      </c>
      <c r="F39" s="39"/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1.0</v>
      </c>
      <c r="F40" s="39"/>
      <c r="G40" s="59">
        <f t="shared" si="3"/>
        <v>1</v>
      </c>
      <c r="H40" s="60">
        <f t="shared" si="2"/>
        <v>9350.16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0.0</v>
      </c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6.0</v>
      </c>
      <c r="F42" s="39"/>
      <c r="G42" s="59">
        <f t="shared" si="3"/>
        <v>6</v>
      </c>
      <c r="H42" s="60">
        <f t="shared" si="2"/>
        <v>44671.2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2.0</v>
      </c>
      <c r="F44" s="39"/>
      <c r="G44" s="59">
        <f t="shared" si="3"/>
        <v>2</v>
      </c>
      <c r="H44" s="60">
        <f t="shared" si="2"/>
        <v>28310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2.0</v>
      </c>
      <c r="F45" s="39"/>
      <c r="G45" s="59">
        <f t="shared" si="3"/>
        <v>2</v>
      </c>
      <c r="H45" s="60">
        <f t="shared" si="2"/>
        <v>30870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8.0</v>
      </c>
      <c r="F46" s="39"/>
      <c r="G46" s="59">
        <f t="shared" si="3"/>
        <v>8</v>
      </c>
      <c r="H46" s="60">
        <f t="shared" si="2"/>
        <v>73836.72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1.0</v>
      </c>
      <c r="F48" s="39"/>
      <c r="G48" s="59">
        <f t="shared" si="3"/>
        <v>1</v>
      </c>
      <c r="H48" s="60">
        <f t="shared" si="2"/>
        <v>9300.16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3.0</v>
      </c>
      <c r="F49" s="39"/>
      <c r="G49" s="59">
        <f t="shared" si="3"/>
        <v>3</v>
      </c>
      <c r="H49" s="60">
        <f t="shared" si="2"/>
        <v>5223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6.0</v>
      </c>
      <c r="F53" s="43"/>
      <c r="G53" s="59">
        <f t="shared" si="3"/>
        <v>6</v>
      </c>
      <c r="H53" s="60">
        <f t="shared" si="2"/>
        <v>1410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19.0</v>
      </c>
      <c r="F54" s="43"/>
      <c r="G54" s="59">
        <f t="shared" si="3"/>
        <v>19</v>
      </c>
      <c r="H54" s="60">
        <f t="shared" si="2"/>
        <v>5624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7.0</v>
      </c>
      <c r="F55" s="43"/>
      <c r="G55" s="59">
        <f t="shared" si="3"/>
        <v>7</v>
      </c>
      <c r="H55" s="60">
        <f t="shared" si="2"/>
        <v>1746.5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25.0</v>
      </c>
      <c r="F56" s="43"/>
      <c r="G56" s="59">
        <f t="shared" si="3"/>
        <v>25</v>
      </c>
      <c r="H56" s="60">
        <f t="shared" si="2"/>
        <v>5200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6.0</v>
      </c>
      <c r="F57" s="43"/>
      <c r="G57" s="59">
        <f t="shared" si="3"/>
        <v>6</v>
      </c>
      <c r="H57" s="60">
        <f t="shared" si="2"/>
        <v>14676.48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2.0</v>
      </c>
      <c r="F59" s="43"/>
      <c r="G59" s="59">
        <f t="shared" si="3"/>
        <v>2</v>
      </c>
      <c r="H59" s="60">
        <f t="shared" si="2"/>
        <v>4129.68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1.0</v>
      </c>
      <c r="F60" s="47"/>
      <c r="G60" s="59">
        <f t="shared" si="3"/>
        <v>1</v>
      </c>
      <c r="H60" s="60">
        <f t="shared" si="2"/>
        <v>13871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15.0</v>
      </c>
      <c r="F63" s="53"/>
      <c r="G63" s="61">
        <f t="shared" si="3"/>
        <v>15</v>
      </c>
      <c r="H63" s="62">
        <f t="shared" si="2"/>
        <v>219244.65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60193.34</v>
      </c>
      <c r="J64" s="32">
        <v>126268.0</v>
      </c>
      <c r="K64" s="33">
        <f>(J64-I64)/J64</f>
        <v>0.523289036</v>
      </c>
      <c r="L64" s="34">
        <f>J64-I64</f>
        <v>66074.66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1.0</v>
      </c>
      <c r="F70" s="65"/>
      <c r="G70" s="66">
        <f t="shared" si="4"/>
        <v>1</v>
      </c>
      <c r="H70" s="60">
        <f t="shared" si="2"/>
        <v>11670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2.0</v>
      </c>
      <c r="F71" s="65"/>
      <c r="G71" s="66">
        <f t="shared" si="4"/>
        <v>2</v>
      </c>
      <c r="H71" s="60">
        <f t="shared" si="2"/>
        <v>18700.32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1.0</v>
      </c>
      <c r="F72" s="65"/>
      <c r="G72" s="66">
        <f t="shared" si="4"/>
        <v>1</v>
      </c>
      <c r="H72" s="60">
        <f t="shared" si="2"/>
        <v>9990.16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1.0</v>
      </c>
      <c r="F73" s="65"/>
      <c r="G73" s="66">
        <f t="shared" si="4"/>
        <v>1</v>
      </c>
      <c r="H73" s="60">
        <f t="shared" si="2"/>
        <v>7445.2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1.0</v>
      </c>
      <c r="F79" s="65"/>
      <c r="G79" s="66">
        <f t="shared" si="4"/>
        <v>1</v>
      </c>
      <c r="H79" s="60">
        <f t="shared" si="2"/>
        <v>9300.16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0.0</v>
      </c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2.0</v>
      </c>
      <c r="F85" s="65"/>
      <c r="G85" s="66">
        <f t="shared" si="4"/>
        <v>2</v>
      </c>
      <c r="H85" s="60">
        <f t="shared" si="2"/>
        <v>592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5.0</v>
      </c>
      <c r="F86" s="65"/>
      <c r="G86" s="66">
        <f t="shared" si="4"/>
        <v>5</v>
      </c>
      <c r="H86" s="60">
        <f t="shared" si="2"/>
        <v>1247.5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6.0</v>
      </c>
      <c r="F87" s="65"/>
      <c r="G87" s="66">
        <f t="shared" si="4"/>
        <v>6</v>
      </c>
      <c r="H87" s="60">
        <f t="shared" si="2"/>
        <v>1248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828601.37</v>
      </c>
      <c r="J126" s="76">
        <f t="shared" si="6"/>
        <v>1571538</v>
      </c>
      <c r="K126" s="76"/>
      <c r="L126" s="76">
        <f>SUM(L2:L125)</f>
        <v>742936.63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'12062026'!$I$130:$J$158, 2, )</f>
        <v>2</v>
      </c>
      <c r="G131" s="100">
        <f>D131*F131</f>
        <v>140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2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2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2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360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'12062026'!$I$130:$J$158, 2, )</f>
        <v>5</v>
      </c>
      <c r="G136" s="100">
        <f>D136*F136</f>
        <v>650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5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5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900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'12062026'!$I$130:$J$158, 2, )</f>
        <v>2</v>
      </c>
      <c r="G140" s="100">
        <f>D140*F140</f>
        <v>260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2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2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360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40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'12062026'!$I$130:$J$158,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'12062026'!$I$130:$J$158, 2, )</f>
        <v>2</v>
      </c>
      <c r="G147" s="101">
        <f>D147*F147</f>
        <v>520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2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2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'12062026'!$I$130:$J$158, 2, )</f>
        <v>2</v>
      </c>
      <c r="G150" s="101">
        <f>D150*F150</f>
        <v>520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2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2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80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'12062026'!$I$130:$J$158,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'12062026'!$I$130:$J$158, 2, )</f>
        <v>9</v>
      </c>
      <c r="G159" s="101">
        <f>D159*F159</f>
        <v>18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9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9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1620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9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27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27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45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'12062026'!$I$130:$J$158, 2, )</f>
        <v>12</v>
      </c>
      <c r="G167" s="101">
        <f>D167*F167</f>
        <v>12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12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6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12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'12062026'!$I$130:$J$158, 2, )</f>
        <v>2</v>
      </c>
      <c r="G171" s="101">
        <f>D171*F171</f>
        <v>360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2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0</v>
      </c>
      <c r="G174" s="101">
        <f t="shared" si="7"/>
        <v>0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'12062026'!$I$130:$J$158, 2, )</f>
        <v>6</v>
      </c>
      <c r="G175" s="101">
        <f t="shared" si="7"/>
        <v>390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'12062026'!$I$130:$J$158,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'12062026'!$I$130:$J$158, 2, )</f>
        <v>27</v>
      </c>
      <c r="G177" s="101">
        <f t="shared" si="7"/>
        <v>27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270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27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27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4860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27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'12062026'!$I$130:$J$158, 2, )</f>
        <v>5</v>
      </c>
      <c r="G183" s="101">
        <f>D183*F183</f>
        <v>5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5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5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5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900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5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'12062026'!$I$130:$J$158,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'12062026'!$I$130:$J$158,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'12062026'!$I$130:$J$158,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'12062026'!$I$130:$J$158, 2, )</f>
        <v>0</v>
      </c>
      <c r="G211" s="100">
        <f>D211*F211</f>
        <v>0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0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0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'12062026'!$I$130:$J$158, 2, )</f>
        <v>1</v>
      </c>
      <c r="G218" s="100">
        <f>D218*F218</f>
        <v>16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15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8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20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50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125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180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1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1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'12062026'!$I$130:$J$158, 2, )</f>
        <v>13</v>
      </c>
      <c r="G227" s="115">
        <f>D227*F227</f>
        <v>0.871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260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650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2340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13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13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'12062026'!$I$130:$J$158, 2, )</f>
        <v>1</v>
      </c>
      <c r="G233" s="123">
        <f>D233*F233</f>
        <v>70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1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1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1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180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1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'12062026'!$I$130:$J$158, 2, )</f>
        <v>4</v>
      </c>
      <c r="G239" s="127">
        <f t="shared" ref="G239:G240" si="8">D239*F239</f>
        <v>4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'12062026'!$I$130:$J$158,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'12062026'!$I$130:$J$158, 2, )</f>
        <v>15</v>
      </c>
      <c r="G255" s="144">
        <f>D255*F255</f>
        <v>1012.5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112.5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1755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18.75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1050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30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15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150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75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1500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225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225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150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75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15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150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'12062026'!$I$130:$J$158, 2, )</f>
        <v>1</v>
      </c>
      <c r="G271" s="134">
        <f>D271*F271</f>
        <v>67.5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7.5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117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1.25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1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1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10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100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15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15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10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1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10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226595.26</v>
      </c>
      <c r="J2" s="32">
        <v>337446.0</v>
      </c>
      <c r="K2" s="33">
        <f>(J2-I2)/J2</f>
        <v>0.3284991969</v>
      </c>
      <c r="L2" s="34">
        <f>J2-I2</f>
        <v>110850.74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1.0</v>
      </c>
      <c r="F5" s="39"/>
      <c r="G5" s="40">
        <f t="shared" si="1"/>
        <v>1</v>
      </c>
      <c r="H5" s="38">
        <f t="shared" si="2"/>
        <v>7131.43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8.0</v>
      </c>
      <c r="F7" s="39"/>
      <c r="G7" s="40">
        <f t="shared" si="1"/>
        <v>8</v>
      </c>
      <c r="H7" s="38">
        <f t="shared" si="2"/>
        <v>11589.04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2.0</v>
      </c>
      <c r="F8" s="39"/>
      <c r="G8" s="40">
        <f t="shared" si="1"/>
        <v>2</v>
      </c>
      <c r="H8" s="38">
        <f t="shared" si="2"/>
        <v>23340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5.0</v>
      </c>
      <c r="F9" s="39"/>
      <c r="G9" s="40">
        <f t="shared" si="1"/>
        <v>5</v>
      </c>
      <c r="H9" s="38">
        <f t="shared" si="2"/>
        <v>46750.8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10.0</v>
      </c>
      <c r="F11" s="39"/>
      <c r="G11" s="40">
        <f t="shared" si="1"/>
        <v>10</v>
      </c>
      <c r="H11" s="38">
        <f t="shared" si="2"/>
        <v>74452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1.0</v>
      </c>
      <c r="F17" s="39"/>
      <c r="G17" s="40">
        <f t="shared" si="1"/>
        <v>1</v>
      </c>
      <c r="H17" s="38">
        <f t="shared" si="2"/>
        <v>9300.16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4.0</v>
      </c>
      <c r="F18" s="39"/>
      <c r="G18" s="40">
        <f t="shared" si="1"/>
        <v>4</v>
      </c>
      <c r="H18" s="38">
        <f t="shared" si="2"/>
        <v>6964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3.0</v>
      </c>
      <c r="F22" s="43"/>
      <c r="G22" s="40">
        <f t="shared" si="1"/>
        <v>3</v>
      </c>
      <c r="H22" s="38">
        <f t="shared" si="2"/>
        <v>705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7.0</v>
      </c>
      <c r="F23" s="43"/>
      <c r="G23" s="40">
        <f t="shared" si="1"/>
        <v>7</v>
      </c>
      <c r="H23" s="38">
        <f t="shared" si="2"/>
        <v>2072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14.0</v>
      </c>
      <c r="F24" s="43"/>
      <c r="G24" s="40">
        <f t="shared" si="1"/>
        <v>14</v>
      </c>
      <c r="H24" s="38">
        <f t="shared" si="2"/>
        <v>3493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19.0</v>
      </c>
      <c r="F25" s="43"/>
      <c r="G25" s="40">
        <f t="shared" si="1"/>
        <v>19</v>
      </c>
      <c r="H25" s="38">
        <f t="shared" si="2"/>
        <v>3952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1.0</v>
      </c>
      <c r="F28" s="43"/>
      <c r="G28" s="40">
        <f t="shared" si="1"/>
        <v>1</v>
      </c>
      <c r="H28" s="38">
        <f t="shared" si="2"/>
        <v>2064.84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>
        <v>0.0</v>
      </c>
      <c r="G33" s="57">
        <f t="shared" ref="G33:G63" si="3">SUM(E33:F33)</f>
        <v>0</v>
      </c>
      <c r="H33" s="58">
        <f t="shared" si="2"/>
        <v>0</v>
      </c>
      <c r="I33" s="31">
        <f>sum(H33:H63)</f>
        <v>193022.66</v>
      </c>
      <c r="J33" s="32">
        <v>342083.0</v>
      </c>
      <c r="K33" s="33">
        <f>(J33-I33)/J33</f>
        <v>0.4357431968</v>
      </c>
      <c r="L33" s="34">
        <f>J33-I33</f>
        <v>149060.34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1.0</v>
      </c>
      <c r="F34" s="39">
        <v>0.0</v>
      </c>
      <c r="G34" s="59">
        <f t="shared" si="3"/>
        <v>1</v>
      </c>
      <c r="H34" s="60">
        <f t="shared" si="2"/>
        <v>8150.63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>
        <v>0.0</v>
      </c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>
        <v>0.0</v>
      </c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>
        <v>0.0</v>
      </c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4.0</v>
      </c>
      <c r="F38" s="39">
        <v>0.0</v>
      </c>
      <c r="G38" s="59">
        <f t="shared" si="3"/>
        <v>4</v>
      </c>
      <c r="H38" s="60">
        <f t="shared" si="2"/>
        <v>5794.52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0.0</v>
      </c>
      <c r="F39" s="39">
        <v>0.0</v>
      </c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>
        <v>0.0</v>
      </c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1.0</v>
      </c>
      <c r="F41" s="39">
        <v>0.0</v>
      </c>
      <c r="G41" s="59">
        <f t="shared" si="3"/>
        <v>1</v>
      </c>
      <c r="H41" s="60">
        <f t="shared" si="2"/>
        <v>9990.16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4.0</v>
      </c>
      <c r="F42" s="39">
        <v>0.0</v>
      </c>
      <c r="G42" s="59">
        <f t="shared" si="3"/>
        <v>4</v>
      </c>
      <c r="H42" s="60">
        <f t="shared" si="2"/>
        <v>29780.8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>
        <v>0.0</v>
      </c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2.0</v>
      </c>
      <c r="F44" s="39">
        <v>0.0</v>
      </c>
      <c r="G44" s="59">
        <f t="shared" si="3"/>
        <v>2</v>
      </c>
      <c r="H44" s="60">
        <f t="shared" si="2"/>
        <v>28310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2.0</v>
      </c>
      <c r="F45" s="39">
        <v>0.0</v>
      </c>
      <c r="G45" s="59">
        <f t="shared" si="3"/>
        <v>2</v>
      </c>
      <c r="H45" s="60">
        <f t="shared" si="2"/>
        <v>30870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1.0</v>
      </c>
      <c r="F46" s="39">
        <v>0.0</v>
      </c>
      <c r="G46" s="59">
        <f t="shared" si="3"/>
        <v>1</v>
      </c>
      <c r="H46" s="60">
        <f t="shared" si="2"/>
        <v>9229.59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>
        <v>0.0</v>
      </c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0.0</v>
      </c>
      <c r="F48" s="39">
        <v>0.0</v>
      </c>
      <c r="G48" s="59">
        <f t="shared" si="3"/>
        <v>0</v>
      </c>
      <c r="H48" s="60">
        <f t="shared" si="2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>
        <v>0.0</v>
      </c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1.0</v>
      </c>
      <c r="F50" s="43">
        <v>0.0</v>
      </c>
      <c r="G50" s="59">
        <f t="shared" si="3"/>
        <v>1</v>
      </c>
      <c r="H50" s="60">
        <f t="shared" si="2"/>
        <v>2200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>
        <v>0.0</v>
      </c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1.0</v>
      </c>
      <c r="F52" s="43">
        <v>0.0</v>
      </c>
      <c r="G52" s="59">
        <f t="shared" si="3"/>
        <v>1</v>
      </c>
      <c r="H52" s="60">
        <f t="shared" si="2"/>
        <v>2113.16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2.0</v>
      </c>
      <c r="F53" s="43">
        <v>0.0</v>
      </c>
      <c r="G53" s="59">
        <f t="shared" si="3"/>
        <v>2</v>
      </c>
      <c r="H53" s="60">
        <f t="shared" si="2"/>
        <v>470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12.0</v>
      </c>
      <c r="F54" s="43">
        <v>0.0</v>
      </c>
      <c r="G54" s="59">
        <f t="shared" si="3"/>
        <v>12</v>
      </c>
      <c r="H54" s="60">
        <f t="shared" si="2"/>
        <v>3552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3.0</v>
      </c>
      <c r="F55" s="43">
        <v>0.0</v>
      </c>
      <c r="G55" s="59">
        <f t="shared" si="3"/>
        <v>3</v>
      </c>
      <c r="H55" s="60">
        <f t="shared" si="2"/>
        <v>748.5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9.0</v>
      </c>
      <c r="F56" s="43">
        <v>0.0</v>
      </c>
      <c r="G56" s="59">
        <f t="shared" si="3"/>
        <v>9</v>
      </c>
      <c r="H56" s="60">
        <f t="shared" si="2"/>
        <v>1872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>
        <v>0.0</v>
      </c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>
        <v>0.0</v>
      </c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>
        <v>4.0</v>
      </c>
      <c r="G59" s="59">
        <f t="shared" si="3"/>
        <v>4</v>
      </c>
      <c r="H59" s="60">
        <f t="shared" si="2"/>
        <v>8259.36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1.0</v>
      </c>
      <c r="F60" s="47">
        <v>0.0</v>
      </c>
      <c r="G60" s="59">
        <f t="shared" si="3"/>
        <v>1</v>
      </c>
      <c r="H60" s="60">
        <f t="shared" si="2"/>
        <v>13871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>
        <v>0.0</v>
      </c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1.0</v>
      </c>
      <c r="F62" s="47">
        <v>0.0</v>
      </c>
      <c r="G62" s="59">
        <f t="shared" si="3"/>
        <v>1</v>
      </c>
      <c r="H62" s="60">
        <f t="shared" si="2"/>
        <v>12796.31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>
        <v>0.0</v>
      </c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134454.55</v>
      </c>
      <c r="J64" s="32">
        <v>273811.0</v>
      </c>
      <c r="K64" s="33">
        <f>(J64-I64)/J64</f>
        <v>0.5089512474</v>
      </c>
      <c r="L64" s="34">
        <f>J64-I64</f>
        <v>139356.45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1.0</v>
      </c>
      <c r="F66" s="65"/>
      <c r="G66" s="66">
        <f t="shared" si="4"/>
        <v>1</v>
      </c>
      <c r="H66" s="60">
        <f t="shared" si="2"/>
        <v>6013.63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3.0</v>
      </c>
      <c r="F67" s="65"/>
      <c r="G67" s="66">
        <f t="shared" si="4"/>
        <v>3</v>
      </c>
      <c r="H67" s="60">
        <f t="shared" si="2"/>
        <v>21394.29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3.0</v>
      </c>
      <c r="F69" s="65"/>
      <c r="G69" s="66">
        <f t="shared" si="4"/>
        <v>3</v>
      </c>
      <c r="H69" s="60">
        <f t="shared" si="2"/>
        <v>4345.89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2.0</v>
      </c>
      <c r="F71" s="65"/>
      <c r="G71" s="66">
        <f t="shared" si="4"/>
        <v>2</v>
      </c>
      <c r="H71" s="60">
        <f t="shared" si="2"/>
        <v>18700.32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3.0</v>
      </c>
      <c r="F72" s="65"/>
      <c r="G72" s="66">
        <f t="shared" si="4"/>
        <v>3</v>
      </c>
      <c r="H72" s="60">
        <f t="shared" si="2"/>
        <v>29970.48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2.0</v>
      </c>
      <c r="F77" s="65"/>
      <c r="G77" s="66">
        <f t="shared" si="4"/>
        <v>2</v>
      </c>
      <c r="H77" s="60">
        <f t="shared" si="2"/>
        <v>18459.18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1.0</v>
      </c>
      <c r="F79" s="65"/>
      <c r="G79" s="66">
        <f t="shared" si="4"/>
        <v>1</v>
      </c>
      <c r="H79" s="60">
        <f t="shared" si="2"/>
        <v>9300.16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5.0</v>
      </c>
      <c r="F84" s="65"/>
      <c r="G84" s="66">
        <f t="shared" si="4"/>
        <v>5</v>
      </c>
      <c r="H84" s="60">
        <f t="shared" si="2"/>
        <v>1175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3.0</v>
      </c>
      <c r="F85" s="65"/>
      <c r="G85" s="66">
        <f t="shared" si="4"/>
        <v>3</v>
      </c>
      <c r="H85" s="60">
        <f t="shared" si="2"/>
        <v>888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0.0</v>
      </c>
      <c r="F86" s="65"/>
      <c r="G86" s="66">
        <f t="shared" si="4"/>
        <v>0</v>
      </c>
      <c r="H86" s="60">
        <f t="shared" si="2"/>
        <v>0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9.0</v>
      </c>
      <c r="F87" s="65"/>
      <c r="G87" s="66">
        <f t="shared" si="4"/>
        <v>9</v>
      </c>
      <c r="H87" s="60">
        <f t="shared" si="2"/>
        <v>1872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554072.47</v>
      </c>
      <c r="J126" s="76">
        <f t="shared" si="6"/>
        <v>953340</v>
      </c>
      <c r="K126" s="76"/>
      <c r="L126" s="76">
        <f>SUM(L2:L125)</f>
        <v>399267.53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'11062026'!$I$130:$J$158, 2, )</f>
        <v>2</v>
      </c>
      <c r="G131" s="100">
        <f>D131*F131</f>
        <v>140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2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2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2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360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'11062026'!$I$130:$J$158, 2, )</f>
        <v>7</v>
      </c>
      <c r="G136" s="100">
        <f>D136*F136</f>
        <v>910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7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7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1260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'11062026'!$I$130:$J$158, 2, )</f>
        <v>5</v>
      </c>
      <c r="G140" s="100">
        <f>D140*F140</f>
        <v>650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5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5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900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100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'11062026'!$I$130:$J$158,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'11062026'!$I$130:$J$158, 2, )</f>
        <v>2</v>
      </c>
      <c r="G147" s="101">
        <f>D147*F147</f>
        <v>520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2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2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'11062026'!$I$130:$J$158, 2, )</f>
        <v>2</v>
      </c>
      <c r="G150" s="101">
        <f>D150*F150</f>
        <v>520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2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2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80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'11062026'!$I$130:$J$158,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'11062026'!$I$130:$J$158, 2, )</f>
        <v>3</v>
      </c>
      <c r="G159" s="101">
        <f>D159*F159</f>
        <v>6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3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3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540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3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9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9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15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'11062026'!$I$130:$J$158, 2, )</f>
        <v>5</v>
      </c>
      <c r="G167" s="101">
        <f>D167*F167</f>
        <v>5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5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2.5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5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'11062026'!$I$130:$J$158,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1</v>
      </c>
      <c r="G173" s="101">
        <f t="shared" ref="G173:G177" si="7">D173*F173</f>
        <v>1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0</v>
      </c>
      <c r="G174" s="101">
        <f t="shared" si="7"/>
        <v>0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'11062026'!$I$130:$J$158,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'11062026'!$I$130:$J$158,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'11062026'!$I$130:$J$158, 2, )</f>
        <v>17</v>
      </c>
      <c r="G177" s="101">
        <f t="shared" si="7"/>
        <v>17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170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17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17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3060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17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'11062026'!$I$130:$J$158, 2, )</f>
        <v>2</v>
      </c>
      <c r="G183" s="101">
        <f>D183*F183</f>
        <v>2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2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2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2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360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2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'11062026'!$I$130:$J$158,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'11062026'!$I$130:$J$158, 2, )</f>
        <v>1</v>
      </c>
      <c r="G196" s="100">
        <f>D196*F196</f>
        <v>5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15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50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180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125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1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1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'11062026'!$I$130:$J$158,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'11062026'!$I$130:$J$158, 2, )</f>
        <v>1</v>
      </c>
      <c r="G211" s="100">
        <f>D211*F211</f>
        <v>1.5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180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125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1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1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'11062026'!$I$130:$J$158, 2, )</f>
        <v>4</v>
      </c>
      <c r="G218" s="100">
        <f>D218*F218</f>
        <v>64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60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32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80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200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500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720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4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4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'11062026'!$I$130:$J$158, 2, )</f>
        <v>15</v>
      </c>
      <c r="G227" s="115">
        <f>D227*F227</f>
        <v>1.005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300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750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2700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15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15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'11062026'!$I$130:$J$158, 2, )</f>
        <v>1</v>
      </c>
      <c r="G233" s="123">
        <f>D233*F233</f>
        <v>70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1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1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1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180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1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'11062026'!$I$130:$J$158, 2, )</f>
        <v>5</v>
      </c>
      <c r="G239" s="127">
        <f t="shared" ref="G239:G240" si="8">D239*F239</f>
        <v>5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'11062026'!$I$130:$J$158,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'11062026'!$I$130:$J$158,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'11062026'!$I$130:$J$158, 2, )</f>
        <v>2</v>
      </c>
      <c r="G271" s="134">
        <f>D271*F271</f>
        <v>135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15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234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2.5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2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4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2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20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200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30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30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20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2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20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401277.29</v>
      </c>
      <c r="J2" s="32">
        <v>611236.0</v>
      </c>
      <c r="K2" s="33">
        <f>(J2-I2)/J2</f>
        <v>0.3434985996</v>
      </c>
      <c r="L2" s="34">
        <f>J2-I2</f>
        <v>209958.71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13.0</v>
      </c>
      <c r="F7" s="39"/>
      <c r="G7" s="40">
        <f t="shared" si="1"/>
        <v>13</v>
      </c>
      <c r="H7" s="38">
        <f t="shared" si="2"/>
        <v>18832.19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3.0</v>
      </c>
      <c r="F8" s="39"/>
      <c r="G8" s="40">
        <f t="shared" si="1"/>
        <v>3</v>
      </c>
      <c r="H8" s="38">
        <f t="shared" si="2"/>
        <v>35010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8.0</v>
      </c>
      <c r="F9" s="39"/>
      <c r="G9" s="40">
        <f t="shared" si="1"/>
        <v>8</v>
      </c>
      <c r="H9" s="38">
        <f t="shared" si="2"/>
        <v>74801.28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17.0</v>
      </c>
      <c r="F11" s="39"/>
      <c r="G11" s="40">
        <f t="shared" si="1"/>
        <v>17</v>
      </c>
      <c r="H11" s="38">
        <f t="shared" si="2"/>
        <v>126568.4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1.0</v>
      </c>
      <c r="F13" s="39"/>
      <c r="G13" s="40">
        <f t="shared" si="1"/>
        <v>1</v>
      </c>
      <c r="H13" s="38">
        <f t="shared" si="2"/>
        <v>14155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2.0</v>
      </c>
      <c r="F16" s="39"/>
      <c r="G16" s="40">
        <f t="shared" si="1"/>
        <v>2</v>
      </c>
      <c r="H16" s="38">
        <f t="shared" si="2"/>
        <v>23100.32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0.0</v>
      </c>
      <c r="F17" s="39"/>
      <c r="G17" s="40">
        <f t="shared" si="1"/>
        <v>0</v>
      </c>
      <c r="H17" s="38">
        <f t="shared" si="2"/>
        <v>0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6.0</v>
      </c>
      <c r="F18" s="39"/>
      <c r="G18" s="40">
        <f t="shared" si="1"/>
        <v>6</v>
      </c>
      <c r="H18" s="38">
        <f t="shared" si="2"/>
        <v>10446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15.0</v>
      </c>
      <c r="F22" s="43"/>
      <c r="G22" s="40">
        <f t="shared" si="1"/>
        <v>15</v>
      </c>
      <c r="H22" s="38">
        <f t="shared" si="2"/>
        <v>3525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13.0</v>
      </c>
      <c r="F23" s="43"/>
      <c r="G23" s="40">
        <f t="shared" si="1"/>
        <v>13</v>
      </c>
      <c r="H23" s="38">
        <f t="shared" si="2"/>
        <v>3848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21.0</v>
      </c>
      <c r="F24" s="43"/>
      <c r="G24" s="40">
        <f t="shared" si="1"/>
        <v>21</v>
      </c>
      <c r="H24" s="38">
        <f t="shared" si="2"/>
        <v>5239.5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29.0</v>
      </c>
      <c r="F25" s="43"/>
      <c r="G25" s="40">
        <f t="shared" si="1"/>
        <v>29</v>
      </c>
      <c r="H25" s="38">
        <f t="shared" si="2"/>
        <v>6032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2.0</v>
      </c>
      <c r="F28" s="43"/>
      <c r="G28" s="40">
        <f t="shared" si="1"/>
        <v>2</v>
      </c>
      <c r="H28" s="38">
        <f t="shared" si="2"/>
        <v>4129.68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3.0</v>
      </c>
      <c r="F30" s="47"/>
      <c r="G30" s="40">
        <f t="shared" si="1"/>
        <v>3</v>
      </c>
      <c r="H30" s="38">
        <f t="shared" si="2"/>
        <v>31563.93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1.0</v>
      </c>
      <c r="F32" s="53"/>
      <c r="G32" s="54">
        <f t="shared" si="1"/>
        <v>1</v>
      </c>
      <c r="H32" s="52">
        <f t="shared" si="2"/>
        <v>14616.31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204388.08</v>
      </c>
      <c r="J33" s="32">
        <v>328199.0</v>
      </c>
      <c r="K33" s="33">
        <f>(J33-I33)/J33</f>
        <v>0.3772434407</v>
      </c>
      <c r="L33" s="34">
        <f>J33-I33</f>
        <v>123810.92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/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4.0</v>
      </c>
      <c r="F38" s="39"/>
      <c r="G38" s="59">
        <f t="shared" si="3"/>
        <v>4</v>
      </c>
      <c r="H38" s="60">
        <f t="shared" si="2"/>
        <v>5794.52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0.0</v>
      </c>
      <c r="F39" s="39"/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/>
      <c r="G41" s="59">
        <f t="shared" si="3"/>
        <v>2</v>
      </c>
      <c r="H41" s="60">
        <f t="shared" si="2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2.0</v>
      </c>
      <c r="F42" s="39"/>
      <c r="G42" s="59">
        <f t="shared" si="3"/>
        <v>2</v>
      </c>
      <c r="H42" s="60">
        <f t="shared" si="2"/>
        <v>14890.4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2.0</v>
      </c>
      <c r="F44" s="39"/>
      <c r="G44" s="59">
        <f t="shared" si="3"/>
        <v>2</v>
      </c>
      <c r="H44" s="60">
        <f t="shared" si="2"/>
        <v>28310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1.0</v>
      </c>
      <c r="F45" s="39"/>
      <c r="G45" s="59">
        <f t="shared" si="3"/>
        <v>1</v>
      </c>
      <c r="H45" s="60">
        <f t="shared" si="2"/>
        <v>15435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0.0</v>
      </c>
      <c r="F48" s="39"/>
      <c r="G48" s="59">
        <f t="shared" si="3"/>
        <v>0</v>
      </c>
      <c r="H48" s="60">
        <f t="shared" si="2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13.0</v>
      </c>
      <c r="F53" s="43"/>
      <c r="G53" s="59">
        <f t="shared" si="3"/>
        <v>13</v>
      </c>
      <c r="H53" s="60">
        <f t="shared" si="2"/>
        <v>3055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7.0</v>
      </c>
      <c r="F54" s="43"/>
      <c r="G54" s="59">
        <f t="shared" si="3"/>
        <v>7</v>
      </c>
      <c r="H54" s="60">
        <f t="shared" si="2"/>
        <v>2072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7.0</v>
      </c>
      <c r="F55" s="43"/>
      <c r="G55" s="59">
        <f t="shared" si="3"/>
        <v>7</v>
      </c>
      <c r="H55" s="60">
        <f t="shared" si="2"/>
        <v>1746.5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9.0</v>
      </c>
      <c r="F56" s="43"/>
      <c r="G56" s="59">
        <f t="shared" si="3"/>
        <v>9</v>
      </c>
      <c r="H56" s="60">
        <f t="shared" si="2"/>
        <v>1872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1.0</v>
      </c>
      <c r="F60" s="47"/>
      <c r="G60" s="59">
        <f t="shared" si="3"/>
        <v>1</v>
      </c>
      <c r="H60" s="60">
        <f t="shared" si="2"/>
        <v>13871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3.0</v>
      </c>
      <c r="F61" s="47"/>
      <c r="G61" s="59">
        <f t="shared" si="3"/>
        <v>3</v>
      </c>
      <c r="H61" s="60">
        <f t="shared" si="2"/>
        <v>31563.93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2.0</v>
      </c>
      <c r="F63" s="53"/>
      <c r="G63" s="61">
        <f t="shared" si="3"/>
        <v>2</v>
      </c>
      <c r="H63" s="62">
        <f t="shared" si="2"/>
        <v>29232.62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114955.3</v>
      </c>
      <c r="J64" s="32">
        <v>235384.0</v>
      </c>
      <c r="K64" s="33">
        <f>(J64-I64)/J64</f>
        <v>0.5116265337</v>
      </c>
      <c r="L64" s="34">
        <f>J64-I64</f>
        <v>120428.7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1.0</v>
      </c>
      <c r="F66" s="65"/>
      <c r="G66" s="66">
        <f t="shared" si="4"/>
        <v>1</v>
      </c>
      <c r="H66" s="60">
        <f t="shared" si="2"/>
        <v>6013.63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3.0</v>
      </c>
      <c r="F69" s="65"/>
      <c r="G69" s="66">
        <f t="shared" si="4"/>
        <v>3</v>
      </c>
      <c r="H69" s="60">
        <f t="shared" si="2"/>
        <v>4345.89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1.0</v>
      </c>
      <c r="F71" s="65"/>
      <c r="G71" s="66">
        <f t="shared" si="4"/>
        <v>1</v>
      </c>
      <c r="H71" s="60">
        <f t="shared" si="2"/>
        <v>9350.16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2.0</v>
      </c>
      <c r="F72" s="65"/>
      <c r="G72" s="66">
        <f t="shared" si="4"/>
        <v>2</v>
      </c>
      <c r="H72" s="60">
        <f t="shared" si="2"/>
        <v>19980.32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4.0</v>
      </c>
      <c r="F73" s="65"/>
      <c r="G73" s="66">
        <f t="shared" si="4"/>
        <v>4</v>
      </c>
      <c r="H73" s="60">
        <f t="shared" si="2"/>
        <v>29780.8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1.0</v>
      </c>
      <c r="F76" s="65"/>
      <c r="G76" s="66">
        <f t="shared" si="4"/>
        <v>1</v>
      </c>
      <c r="H76" s="60">
        <f t="shared" si="2"/>
        <v>15435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1.0</v>
      </c>
      <c r="F78" s="65"/>
      <c r="G78" s="66">
        <f t="shared" si="4"/>
        <v>1</v>
      </c>
      <c r="H78" s="60">
        <f t="shared" si="2"/>
        <v>11550.16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1.0</v>
      </c>
      <c r="F79" s="65"/>
      <c r="G79" s="66">
        <f t="shared" si="4"/>
        <v>1</v>
      </c>
      <c r="H79" s="60">
        <f t="shared" si="2"/>
        <v>9300.16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2.0</v>
      </c>
      <c r="F84" s="65"/>
      <c r="G84" s="66">
        <f t="shared" si="4"/>
        <v>2</v>
      </c>
      <c r="H84" s="60">
        <f t="shared" si="2"/>
        <v>470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5.0</v>
      </c>
      <c r="F85" s="65"/>
      <c r="G85" s="66">
        <f t="shared" si="4"/>
        <v>5</v>
      </c>
      <c r="H85" s="60">
        <f t="shared" si="2"/>
        <v>1480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5.0</v>
      </c>
      <c r="F86" s="65"/>
      <c r="G86" s="66">
        <f t="shared" si="4"/>
        <v>5</v>
      </c>
      <c r="H86" s="60">
        <f t="shared" si="2"/>
        <v>1247.5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9.0</v>
      </c>
      <c r="F87" s="65"/>
      <c r="G87" s="66">
        <f t="shared" si="4"/>
        <v>9</v>
      </c>
      <c r="H87" s="60">
        <f t="shared" si="2"/>
        <v>1872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2.0</v>
      </c>
      <c r="F90" s="65"/>
      <c r="G90" s="66">
        <f t="shared" si="4"/>
        <v>2</v>
      </c>
      <c r="H90" s="60">
        <f t="shared" si="2"/>
        <v>4129.68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720620.67</v>
      </c>
      <c r="J126" s="76">
        <f t="shared" si="6"/>
        <v>1174819</v>
      </c>
      <c r="K126" s="76"/>
      <c r="L126" s="76">
        <f>SUM(L2:L125)</f>
        <v>454198.33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'10062026'!$I$130:$J$158, 2, )</f>
        <v>3</v>
      </c>
      <c r="G131" s="100">
        <f>D131*F131</f>
        <v>210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3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3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3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540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'10062026'!$I$130:$J$158, 2, )</f>
        <v>9</v>
      </c>
      <c r="G136" s="100">
        <f>D136*F136</f>
        <v>1170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9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9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1620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'10062026'!$I$130:$J$158, 2, )</f>
        <v>5</v>
      </c>
      <c r="G140" s="100">
        <f>D140*F140</f>
        <v>650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5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5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900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100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'10062026'!$I$130:$J$158,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'10062026'!$I$130:$J$158, 2, )</f>
        <v>3</v>
      </c>
      <c r="G147" s="101">
        <f>D147*F147</f>
        <v>780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3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3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'10062026'!$I$130:$J$158, 2, )</f>
        <v>2</v>
      </c>
      <c r="G150" s="101">
        <f>D150*F150</f>
        <v>520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2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2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80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'10062026'!$I$130:$J$158, 2, )</f>
        <v>4</v>
      </c>
      <c r="G154" s="101">
        <f>D154*F154</f>
        <v>520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4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4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720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4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'10062026'!$I$130:$J$158,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'10062026'!$I$130:$J$158, 2, )</f>
        <v>7</v>
      </c>
      <c r="G167" s="101">
        <f>D167*F167</f>
        <v>7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7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3.5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7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'10062026'!$I$130:$J$158,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'10062026'!$I$130:$J$158,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'10062026'!$I$130:$J$158,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'10062026'!$I$130:$J$158, 2, )</f>
        <v>23</v>
      </c>
      <c r="G177" s="101">
        <f t="shared" si="7"/>
        <v>23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230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23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23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4140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23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'10062026'!$I$130:$J$158, 2, )</f>
        <v>1</v>
      </c>
      <c r="G183" s="101">
        <f>D183*F183</f>
        <v>1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1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1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1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180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1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'10062026'!$I$130:$J$158,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'10062026'!$I$130:$J$158,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'10062026'!$I$130:$J$158,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'10062026'!$I$130:$J$158, 2, )</f>
        <v>1</v>
      </c>
      <c r="G211" s="100">
        <f>D211*F211</f>
        <v>1.5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180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125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1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1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'10062026'!$I$130:$J$158,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'10062026'!$I$130:$J$158, 2, )</f>
        <v>20</v>
      </c>
      <c r="G227" s="115">
        <f>D227*F227</f>
        <v>1.34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400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1000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3600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20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20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'10062026'!$I$130:$J$158, 2, )</f>
        <v>1</v>
      </c>
      <c r="G233" s="123">
        <f>D233*F233</f>
        <v>70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1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1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1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180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1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'10062026'!$I$130:$J$158, 2, )</f>
        <v>4</v>
      </c>
      <c r="G239" s="127">
        <f t="shared" ref="G239:G240" si="8">D239*F239</f>
        <v>4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'10062026'!$I$130:$J$158,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'10062026'!$I$130:$J$158, 2, )</f>
        <v>3</v>
      </c>
      <c r="G255" s="144">
        <f>D255*F255</f>
        <v>202.5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22.5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351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3.75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210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6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3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30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300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45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45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30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3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30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'10062026'!$I$130:$J$158, 2, )</f>
        <v>6</v>
      </c>
      <c r="G271" s="134">
        <f>D271*F271</f>
        <v>405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45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702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7.5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6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6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60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30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600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90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90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60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30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6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60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>
        <v>655146.0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2.0</v>
      </c>
      <c r="F2" s="29"/>
      <c r="G2" s="30">
        <f t="shared" ref="G2:G32" si="1">sum(E2:F2)</f>
        <v>2</v>
      </c>
      <c r="H2" s="28">
        <f t="shared" ref="H2:H125" si="2">D2*G2</f>
        <v>17611.26</v>
      </c>
      <c r="I2" s="31">
        <f>sum(H2:H32)</f>
        <v>406558.01</v>
      </c>
      <c r="J2" s="32">
        <v>655146.0</v>
      </c>
      <c r="K2" s="33">
        <f>(J2-I2)/J2</f>
        <v>0.3794390716</v>
      </c>
      <c r="L2" s="34">
        <f>J2-I2</f>
        <v>248587.99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1.0</v>
      </c>
      <c r="F5" s="39"/>
      <c r="G5" s="40">
        <f t="shared" si="1"/>
        <v>1</v>
      </c>
      <c r="H5" s="38">
        <f t="shared" si="2"/>
        <v>7131.43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7.0</v>
      </c>
      <c r="F7" s="39"/>
      <c r="G7" s="40">
        <f t="shared" si="1"/>
        <v>7</v>
      </c>
      <c r="H7" s="38">
        <f t="shared" si="2"/>
        <v>10140.41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1.0</v>
      </c>
      <c r="F8" s="39"/>
      <c r="G8" s="40">
        <f t="shared" si="1"/>
        <v>1</v>
      </c>
      <c r="H8" s="38">
        <f t="shared" si="2"/>
        <v>11670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4.0</v>
      </c>
      <c r="F9" s="39"/>
      <c r="G9" s="40">
        <f t="shared" si="1"/>
        <v>4</v>
      </c>
      <c r="H9" s="38">
        <f t="shared" si="2"/>
        <v>37400.64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3.0</v>
      </c>
      <c r="F10" s="39"/>
      <c r="G10" s="40">
        <f t="shared" si="1"/>
        <v>3</v>
      </c>
      <c r="H10" s="38">
        <f t="shared" si="2"/>
        <v>29970.48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19.0</v>
      </c>
      <c r="F11" s="39"/>
      <c r="G11" s="40">
        <f t="shared" si="1"/>
        <v>19</v>
      </c>
      <c r="H11" s="38">
        <f t="shared" si="2"/>
        <v>141458.8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2.0</v>
      </c>
      <c r="F13" s="39"/>
      <c r="G13" s="40">
        <f t="shared" si="1"/>
        <v>2</v>
      </c>
      <c r="H13" s="38">
        <f t="shared" si="2"/>
        <v>28310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2.0</v>
      </c>
      <c r="F14" s="39"/>
      <c r="G14" s="40">
        <f t="shared" si="1"/>
        <v>2</v>
      </c>
      <c r="H14" s="38">
        <f t="shared" si="2"/>
        <v>30870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1.0</v>
      </c>
      <c r="F17" s="39"/>
      <c r="G17" s="40">
        <f t="shared" si="1"/>
        <v>1</v>
      </c>
      <c r="H17" s="38">
        <f t="shared" si="2"/>
        <v>9300.16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7.0</v>
      </c>
      <c r="F18" s="39"/>
      <c r="G18" s="40">
        <f t="shared" si="1"/>
        <v>7</v>
      </c>
      <c r="H18" s="38">
        <f t="shared" si="2"/>
        <v>12187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3.0</v>
      </c>
      <c r="F20" s="43"/>
      <c r="G20" s="40">
        <f t="shared" si="1"/>
        <v>3</v>
      </c>
      <c r="H20" s="38">
        <f t="shared" si="2"/>
        <v>8625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3.0</v>
      </c>
      <c r="F21" s="43"/>
      <c r="G21" s="40">
        <f t="shared" si="1"/>
        <v>3</v>
      </c>
      <c r="H21" s="38">
        <f t="shared" si="2"/>
        <v>6339.48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21.0</v>
      </c>
      <c r="F22" s="43"/>
      <c r="G22" s="40">
        <f t="shared" si="1"/>
        <v>21</v>
      </c>
      <c r="H22" s="38">
        <f t="shared" si="2"/>
        <v>4935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24.0</v>
      </c>
      <c r="F23" s="43"/>
      <c r="G23" s="40">
        <f t="shared" si="1"/>
        <v>24</v>
      </c>
      <c r="H23" s="38">
        <f t="shared" si="2"/>
        <v>7104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26.0</v>
      </c>
      <c r="F24" s="43"/>
      <c r="G24" s="40">
        <f t="shared" si="1"/>
        <v>26</v>
      </c>
      <c r="H24" s="38">
        <f t="shared" si="2"/>
        <v>6487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29.0</v>
      </c>
      <c r="F25" s="43"/>
      <c r="G25" s="40">
        <f t="shared" si="1"/>
        <v>29</v>
      </c>
      <c r="H25" s="38">
        <f t="shared" si="2"/>
        <v>6032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3.0</v>
      </c>
      <c r="F28" s="43"/>
      <c r="G28" s="40">
        <f t="shared" si="1"/>
        <v>3</v>
      </c>
      <c r="H28" s="38">
        <f t="shared" si="2"/>
        <v>6194.52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1.0</v>
      </c>
      <c r="F33" s="29"/>
      <c r="G33" s="57">
        <f t="shared" ref="G33:G63" si="3">SUM(E33:F33)</f>
        <v>1</v>
      </c>
      <c r="H33" s="58">
        <f t="shared" si="2"/>
        <v>8805.63</v>
      </c>
      <c r="I33" s="31">
        <f>sum(H33:H63)</f>
        <v>168250.79</v>
      </c>
      <c r="J33" s="32">
        <v>260818.0</v>
      </c>
      <c r="K33" s="33">
        <f>(J33-I33)/J33</f>
        <v>0.3549111258</v>
      </c>
      <c r="L33" s="34">
        <f>J33-I33</f>
        <v>92567.21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2.0</v>
      </c>
      <c r="F37" s="39"/>
      <c r="G37" s="59">
        <f t="shared" si="3"/>
        <v>2</v>
      </c>
      <c r="H37" s="60">
        <f t="shared" si="2"/>
        <v>7496.42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2.0</v>
      </c>
      <c r="F38" s="39"/>
      <c r="G38" s="59">
        <f t="shared" si="3"/>
        <v>2</v>
      </c>
      <c r="H38" s="60">
        <f t="shared" si="2"/>
        <v>2897.26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3.0</v>
      </c>
      <c r="F39" s="39"/>
      <c r="G39" s="59">
        <f t="shared" si="3"/>
        <v>3</v>
      </c>
      <c r="H39" s="60">
        <f t="shared" si="2"/>
        <v>35010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2.0</v>
      </c>
      <c r="F40" s="39"/>
      <c r="G40" s="59">
        <f t="shared" si="3"/>
        <v>2</v>
      </c>
      <c r="H40" s="60">
        <f t="shared" si="2"/>
        <v>18700.32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0.0</v>
      </c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2.0</v>
      </c>
      <c r="F42" s="39"/>
      <c r="G42" s="59">
        <f t="shared" si="3"/>
        <v>2</v>
      </c>
      <c r="H42" s="60">
        <f t="shared" si="2"/>
        <v>14890.4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1.0</v>
      </c>
      <c r="F46" s="39"/>
      <c r="G46" s="59">
        <f t="shared" si="3"/>
        <v>1</v>
      </c>
      <c r="H46" s="60">
        <f t="shared" si="2"/>
        <v>9229.59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0.0</v>
      </c>
      <c r="F48" s="39"/>
      <c r="G48" s="59">
        <f t="shared" si="3"/>
        <v>0</v>
      </c>
      <c r="H48" s="60">
        <f t="shared" si="2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/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4.0</v>
      </c>
      <c r="F53" s="43"/>
      <c r="G53" s="59">
        <f t="shared" si="3"/>
        <v>4</v>
      </c>
      <c r="H53" s="60">
        <f t="shared" si="2"/>
        <v>940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9.0</v>
      </c>
      <c r="F54" s="43"/>
      <c r="G54" s="59">
        <f t="shared" si="3"/>
        <v>9</v>
      </c>
      <c r="H54" s="60">
        <f t="shared" si="2"/>
        <v>2664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4.0</v>
      </c>
      <c r="F55" s="43"/>
      <c r="G55" s="59">
        <f t="shared" si="3"/>
        <v>4</v>
      </c>
      <c r="H55" s="60">
        <f t="shared" si="2"/>
        <v>998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11.0</v>
      </c>
      <c r="F56" s="43"/>
      <c r="G56" s="59">
        <f t="shared" si="3"/>
        <v>11</v>
      </c>
      <c r="H56" s="60">
        <f t="shared" si="2"/>
        <v>2288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1.0</v>
      </c>
      <c r="F57" s="43"/>
      <c r="G57" s="59">
        <f t="shared" si="3"/>
        <v>1</v>
      </c>
      <c r="H57" s="60">
        <f t="shared" si="2"/>
        <v>2446.08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3.0</v>
      </c>
      <c r="F61" s="47"/>
      <c r="G61" s="59">
        <f t="shared" si="3"/>
        <v>3</v>
      </c>
      <c r="H61" s="60">
        <f t="shared" si="2"/>
        <v>31563.93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57331.79</v>
      </c>
      <c r="J64" s="32">
        <v>118086.0</v>
      </c>
      <c r="K64" s="33">
        <f>(J64-I64)/J64</f>
        <v>0.5144912183</v>
      </c>
      <c r="L64" s="34">
        <f>J64-I64</f>
        <v>60754.21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1.0</v>
      </c>
      <c r="F68" s="65"/>
      <c r="G68" s="66">
        <f t="shared" si="4"/>
        <v>1</v>
      </c>
      <c r="H68" s="60">
        <f t="shared" si="2"/>
        <v>3748.21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0.0</v>
      </c>
      <c r="F69" s="65"/>
      <c r="G69" s="66">
        <f t="shared" si="4"/>
        <v>0</v>
      </c>
      <c r="H69" s="60">
        <f t="shared" si="2"/>
        <v>0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2.0</v>
      </c>
      <c r="F72" s="65"/>
      <c r="G72" s="66">
        <f t="shared" si="4"/>
        <v>2</v>
      </c>
      <c r="H72" s="60">
        <f t="shared" si="2"/>
        <v>19980.32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1.0</v>
      </c>
      <c r="F79" s="65"/>
      <c r="G79" s="66">
        <f t="shared" si="4"/>
        <v>1</v>
      </c>
      <c r="H79" s="60">
        <f t="shared" si="2"/>
        <v>9300.16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2.0</v>
      </c>
      <c r="F84" s="65"/>
      <c r="G84" s="66">
        <f t="shared" si="4"/>
        <v>2</v>
      </c>
      <c r="H84" s="60">
        <f t="shared" si="2"/>
        <v>470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1.0</v>
      </c>
      <c r="F86" s="65"/>
      <c r="G86" s="66">
        <f t="shared" si="4"/>
        <v>1</v>
      </c>
      <c r="H86" s="60">
        <f t="shared" si="2"/>
        <v>249.5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6.0</v>
      </c>
      <c r="F87" s="65"/>
      <c r="G87" s="66">
        <f t="shared" si="4"/>
        <v>6</v>
      </c>
      <c r="H87" s="60">
        <f t="shared" si="2"/>
        <v>1248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632140.59</v>
      </c>
      <c r="J126" s="76">
        <f t="shared" si="6"/>
        <v>1034050</v>
      </c>
      <c r="K126" s="76"/>
      <c r="L126" s="76">
        <f>SUM(L2:L125)</f>
        <v>401909.41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'09062026'!$I$130:$J$158, 2, )</f>
        <v>4</v>
      </c>
      <c r="G131" s="100">
        <f>D131*F131</f>
        <v>280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4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4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4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720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'09062026'!$I$130:$J$158, 2, )</f>
        <v>6</v>
      </c>
      <c r="G136" s="100">
        <f>D136*F136</f>
        <v>780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6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6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1080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'09062026'!$I$130:$J$158, 2, )</f>
        <v>5</v>
      </c>
      <c r="G140" s="100">
        <f>D140*F140</f>
        <v>650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5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5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900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100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'09062026'!$I$130:$J$158,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'09062026'!$I$130:$J$158, 2, )</f>
        <v>3</v>
      </c>
      <c r="G147" s="101">
        <f>D147*F147</f>
        <v>780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3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3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'09062026'!$I$130:$J$158, 2, )</f>
        <v>2</v>
      </c>
      <c r="G150" s="101">
        <f>D150*F150</f>
        <v>520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2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2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80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'09062026'!$I$130:$J$158, 2, )</f>
        <v>1</v>
      </c>
      <c r="G154" s="101">
        <f>D154*F154</f>
        <v>130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1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1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180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1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'09062026'!$I$130:$J$158, 2, )</f>
        <v>1</v>
      </c>
      <c r="G159" s="101">
        <f>D159*F159</f>
        <v>2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1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1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180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1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3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3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5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'09062026'!$I$130:$J$158, 2, )</f>
        <v>8</v>
      </c>
      <c r="G167" s="101">
        <f>D167*F167</f>
        <v>8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8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8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'09062026'!$I$130:$J$158, 2, )</f>
        <v>3</v>
      </c>
      <c r="G171" s="101">
        <f>D171*F171</f>
        <v>540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3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4</v>
      </c>
      <c r="G174" s="101">
        <f t="shared" si="7"/>
        <v>4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'09062026'!$I$130:$J$158, 2, )</f>
        <v>1</v>
      </c>
      <c r="G175" s="101">
        <f t="shared" si="7"/>
        <v>65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'09062026'!$I$130:$J$158,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'09062026'!$I$130:$J$158, 2, )</f>
        <v>24</v>
      </c>
      <c r="G177" s="101">
        <f t="shared" si="7"/>
        <v>24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240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24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24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4320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24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'09062026'!$I$130:$J$158, 2, )</f>
        <v>2</v>
      </c>
      <c r="G183" s="101">
        <f>D183*F183</f>
        <v>2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2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2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2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360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2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'09062026'!$I$130:$J$158, 2, )</f>
        <v>3</v>
      </c>
      <c r="G189" s="101">
        <f>D189*F189</f>
        <v>12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45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150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540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375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3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3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'09062026'!$I$130:$J$158,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'09062026'!$I$130:$J$158,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'09062026'!$I$130:$J$158, 2, )</f>
        <v>4</v>
      </c>
      <c r="G211" s="100">
        <f>D211*F211</f>
        <v>6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100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200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720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500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4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4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'09062026'!$I$130:$J$158, 2, )</f>
        <v>1</v>
      </c>
      <c r="G218" s="100">
        <f>D218*F218</f>
        <v>16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15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8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20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50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125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180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1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1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'09062026'!$I$130:$J$158, 2, )</f>
        <v>9</v>
      </c>
      <c r="G227" s="115">
        <f>D227*F227</f>
        <v>0.603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180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450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1620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9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9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'09062026'!$I$130:$J$158,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'09062026'!$I$130:$J$158, 2, )</f>
        <v>3</v>
      </c>
      <c r="G239" s="127">
        <f t="shared" ref="G239:G240" si="8">D239*F239</f>
        <v>3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'09062026'!$I$130:$J$158,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'09062026'!$I$130:$J$158,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'09062026'!$I$130:$J$158, 2, )</f>
        <v>5</v>
      </c>
      <c r="G271" s="134">
        <f>D271*F271</f>
        <v>337.5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37.5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585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6.25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5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5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50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25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500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75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75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50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25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5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50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437400.13</v>
      </c>
      <c r="J2" s="32">
        <v>721234.0</v>
      </c>
      <c r="K2" s="33">
        <f>(J2-I2)/J2</f>
        <v>0.3935392258</v>
      </c>
      <c r="L2" s="34">
        <f>J2-I2</f>
        <v>283833.87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1.0</v>
      </c>
      <c r="F3" s="39"/>
      <c r="G3" s="40">
        <f t="shared" si="1"/>
        <v>1</v>
      </c>
      <c r="H3" s="38">
        <f t="shared" si="2"/>
        <v>8150.63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9.0</v>
      </c>
      <c r="F7" s="39"/>
      <c r="G7" s="40">
        <f t="shared" si="1"/>
        <v>9</v>
      </c>
      <c r="H7" s="38">
        <f t="shared" si="2"/>
        <v>13037.67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2.0</v>
      </c>
      <c r="F8" s="39"/>
      <c r="G8" s="40">
        <f t="shared" si="1"/>
        <v>2</v>
      </c>
      <c r="H8" s="38">
        <f t="shared" si="2"/>
        <v>23340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9.0</v>
      </c>
      <c r="F9" s="39"/>
      <c r="G9" s="40">
        <f t="shared" si="1"/>
        <v>9</v>
      </c>
      <c r="H9" s="38">
        <f t="shared" si="2"/>
        <v>84151.44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8.0</v>
      </c>
      <c r="F11" s="39"/>
      <c r="G11" s="40">
        <f t="shared" si="1"/>
        <v>8</v>
      </c>
      <c r="H11" s="38">
        <f t="shared" si="2"/>
        <v>59561.6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1.0</v>
      </c>
      <c r="F13" s="39"/>
      <c r="G13" s="40">
        <f t="shared" si="1"/>
        <v>1</v>
      </c>
      <c r="H13" s="38">
        <f t="shared" si="2"/>
        <v>14155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1.0</v>
      </c>
      <c r="F14" s="39"/>
      <c r="G14" s="40">
        <f t="shared" si="1"/>
        <v>1</v>
      </c>
      <c r="H14" s="38">
        <f t="shared" si="2"/>
        <v>15435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2.0</v>
      </c>
      <c r="F15" s="39"/>
      <c r="G15" s="40">
        <f t="shared" si="1"/>
        <v>2</v>
      </c>
      <c r="H15" s="38">
        <f t="shared" si="2"/>
        <v>18459.18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2.0</v>
      </c>
      <c r="F16" s="39"/>
      <c r="G16" s="40">
        <f t="shared" si="1"/>
        <v>2</v>
      </c>
      <c r="H16" s="38">
        <f t="shared" si="2"/>
        <v>23100.32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3.0</v>
      </c>
      <c r="F17" s="39"/>
      <c r="G17" s="40">
        <f t="shared" si="1"/>
        <v>3</v>
      </c>
      <c r="H17" s="38">
        <f t="shared" si="2"/>
        <v>27900.48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5.0</v>
      </c>
      <c r="F18" s="39"/>
      <c r="G18" s="40">
        <f t="shared" si="1"/>
        <v>5</v>
      </c>
      <c r="H18" s="38">
        <f t="shared" si="2"/>
        <v>8705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17.0</v>
      </c>
      <c r="F22" s="43"/>
      <c r="G22" s="40">
        <f t="shared" si="1"/>
        <v>17</v>
      </c>
      <c r="H22" s="38">
        <f t="shared" si="2"/>
        <v>3995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19.0</v>
      </c>
      <c r="F23" s="43"/>
      <c r="G23" s="40">
        <f t="shared" si="1"/>
        <v>19</v>
      </c>
      <c r="H23" s="38">
        <f t="shared" si="2"/>
        <v>5624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23.0</v>
      </c>
      <c r="F24" s="43"/>
      <c r="G24" s="40">
        <f t="shared" si="1"/>
        <v>23</v>
      </c>
      <c r="H24" s="38">
        <f t="shared" si="2"/>
        <v>5738.5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26.0</v>
      </c>
      <c r="F25" s="43"/>
      <c r="G25" s="40">
        <f t="shared" si="1"/>
        <v>26</v>
      </c>
      <c r="H25" s="38">
        <f t="shared" si="2"/>
        <v>5408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3.0</v>
      </c>
      <c r="F28" s="43"/>
      <c r="G28" s="40">
        <f t="shared" si="1"/>
        <v>3</v>
      </c>
      <c r="H28" s="38">
        <f t="shared" si="2"/>
        <v>6194.52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9.0</v>
      </c>
      <c r="F30" s="47"/>
      <c r="G30" s="40">
        <f t="shared" si="1"/>
        <v>9</v>
      </c>
      <c r="H30" s="38">
        <f t="shared" si="2"/>
        <v>94691.79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1.0</v>
      </c>
      <c r="F33" s="29"/>
      <c r="G33" s="57">
        <f t="shared" ref="G33:G63" si="3">SUM(E33:F33)</f>
        <v>1</v>
      </c>
      <c r="H33" s="58">
        <f t="shared" si="2"/>
        <v>8805.63</v>
      </c>
      <c r="I33" s="31">
        <f>sum(H33:H63)</f>
        <v>247623.73</v>
      </c>
      <c r="J33" s="32">
        <v>403041.0</v>
      </c>
      <c r="K33" s="33">
        <f>(J33-I33)/J33</f>
        <v>0.3856115631</v>
      </c>
      <c r="L33" s="34">
        <f>J33-I33</f>
        <v>155417.27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2.0</v>
      </c>
      <c r="F38" s="39"/>
      <c r="G38" s="59">
        <f t="shared" si="3"/>
        <v>2</v>
      </c>
      <c r="H38" s="60">
        <f t="shared" si="2"/>
        <v>2897.26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2.0</v>
      </c>
      <c r="F39" s="39"/>
      <c r="G39" s="59">
        <f t="shared" si="3"/>
        <v>2</v>
      </c>
      <c r="H39" s="60">
        <f t="shared" si="2"/>
        <v>23340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1.0</v>
      </c>
      <c r="F40" s="39"/>
      <c r="G40" s="59">
        <f t="shared" si="3"/>
        <v>1</v>
      </c>
      <c r="H40" s="60">
        <f t="shared" si="2"/>
        <v>9350.16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1.0</v>
      </c>
      <c r="F41" s="39"/>
      <c r="G41" s="59">
        <f t="shared" si="3"/>
        <v>1</v>
      </c>
      <c r="H41" s="60">
        <f t="shared" si="2"/>
        <v>9990.16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2.0</v>
      </c>
      <c r="F42" s="39"/>
      <c r="G42" s="59">
        <f t="shared" si="3"/>
        <v>2</v>
      </c>
      <c r="H42" s="60">
        <f t="shared" si="2"/>
        <v>14890.4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0.0</v>
      </c>
      <c r="F44" s="39"/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1.0</v>
      </c>
      <c r="F45" s="39"/>
      <c r="G45" s="59">
        <f t="shared" si="3"/>
        <v>1</v>
      </c>
      <c r="H45" s="60">
        <f t="shared" si="2"/>
        <v>15435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3.0</v>
      </c>
      <c r="F48" s="39"/>
      <c r="G48" s="59">
        <f t="shared" si="3"/>
        <v>3</v>
      </c>
      <c r="H48" s="60">
        <f t="shared" si="2"/>
        <v>27900.48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3.0</v>
      </c>
      <c r="F49" s="39"/>
      <c r="G49" s="59">
        <f t="shared" si="3"/>
        <v>3</v>
      </c>
      <c r="H49" s="60">
        <f t="shared" si="2"/>
        <v>5223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/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5.0</v>
      </c>
      <c r="F53" s="43"/>
      <c r="G53" s="59">
        <f t="shared" si="3"/>
        <v>5</v>
      </c>
      <c r="H53" s="60">
        <f t="shared" si="2"/>
        <v>1175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7.0</v>
      </c>
      <c r="F54" s="43"/>
      <c r="G54" s="59">
        <f t="shared" si="3"/>
        <v>7</v>
      </c>
      <c r="H54" s="60">
        <f t="shared" si="2"/>
        <v>2072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10.0</v>
      </c>
      <c r="F55" s="43"/>
      <c r="G55" s="59">
        <f t="shared" si="3"/>
        <v>10</v>
      </c>
      <c r="H55" s="60">
        <f t="shared" si="2"/>
        <v>2495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13.0</v>
      </c>
      <c r="F56" s="43"/>
      <c r="G56" s="59">
        <f t="shared" si="3"/>
        <v>13</v>
      </c>
      <c r="H56" s="60">
        <f t="shared" si="2"/>
        <v>2704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2.0</v>
      </c>
      <c r="F61" s="47"/>
      <c r="G61" s="59">
        <f t="shared" si="3"/>
        <v>2</v>
      </c>
      <c r="H61" s="60">
        <f t="shared" si="2"/>
        <v>21042.62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1.0</v>
      </c>
      <c r="F62" s="47"/>
      <c r="G62" s="59">
        <f t="shared" si="3"/>
        <v>1</v>
      </c>
      <c r="H62" s="60">
        <f t="shared" si="2"/>
        <v>12796.31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5.0</v>
      </c>
      <c r="F63" s="53"/>
      <c r="G63" s="61">
        <f t="shared" si="3"/>
        <v>5</v>
      </c>
      <c r="H63" s="62">
        <f t="shared" si="2"/>
        <v>73081.55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80519.44</v>
      </c>
      <c r="J64" s="32">
        <v>160296.0</v>
      </c>
      <c r="K64" s="33">
        <f>(J64-I64)/J64</f>
        <v>0.4976827868</v>
      </c>
      <c r="L64" s="34">
        <f>J64-I64</f>
        <v>79776.56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4.0</v>
      </c>
      <c r="F69" s="65"/>
      <c r="G69" s="66">
        <f t="shared" si="4"/>
        <v>4</v>
      </c>
      <c r="H69" s="60">
        <f t="shared" si="2"/>
        <v>5794.52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2.0</v>
      </c>
      <c r="F72" s="65"/>
      <c r="G72" s="66">
        <f t="shared" si="4"/>
        <v>2</v>
      </c>
      <c r="H72" s="60">
        <f t="shared" si="2"/>
        <v>19980.32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3.0</v>
      </c>
      <c r="F73" s="65"/>
      <c r="G73" s="66">
        <f t="shared" si="4"/>
        <v>3</v>
      </c>
      <c r="H73" s="60">
        <f t="shared" si="2"/>
        <v>22335.6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2.0</v>
      </c>
      <c r="F76" s="65"/>
      <c r="G76" s="66">
        <f t="shared" si="4"/>
        <v>2</v>
      </c>
      <c r="H76" s="60">
        <f t="shared" si="2"/>
        <v>30870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0.0</v>
      </c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2.0</v>
      </c>
      <c r="F86" s="65"/>
      <c r="G86" s="66">
        <f t="shared" si="4"/>
        <v>2</v>
      </c>
      <c r="H86" s="60">
        <f t="shared" si="2"/>
        <v>499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5.0</v>
      </c>
      <c r="F87" s="65"/>
      <c r="G87" s="66">
        <f t="shared" si="4"/>
        <v>5</v>
      </c>
      <c r="H87" s="60">
        <f t="shared" si="2"/>
        <v>1040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765543.3</v>
      </c>
      <c r="J126" s="76">
        <f t="shared" si="6"/>
        <v>1284571</v>
      </c>
      <c r="K126" s="76"/>
      <c r="L126" s="76">
        <f>SUM(L2:L125)</f>
        <v>519027.7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'08062026'!$I$130:$J$158, 2, )</f>
        <v>4</v>
      </c>
      <c r="G131" s="100">
        <f>D131*F131</f>
        <v>280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4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4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4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720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'08062026'!$I$130:$J$158, 2, )</f>
        <v>10</v>
      </c>
      <c r="G136" s="100">
        <f>D136*F136</f>
        <v>1300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10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10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1800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'08062026'!$I$130:$J$158, 2, )</f>
        <v>4</v>
      </c>
      <c r="G140" s="100">
        <f>D140*F140</f>
        <v>520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4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4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720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80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'08062026'!$I$130:$J$158,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'08062026'!$I$130:$J$158,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'08062026'!$I$130:$J$158, 2, )</f>
        <v>4</v>
      </c>
      <c r="G150" s="101">
        <f>D150*F150</f>
        <v>1040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4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4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160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'08062026'!$I$130:$J$158, 2, )</f>
        <v>3</v>
      </c>
      <c r="G154" s="101">
        <f>D154*F154</f>
        <v>390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3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3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540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3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'08062026'!$I$130:$J$158, 2, )</f>
        <v>2</v>
      </c>
      <c r="G159" s="101">
        <f>D159*F159</f>
        <v>4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2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2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360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2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6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6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10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'08062026'!$I$130:$J$158, 2, )</f>
        <v>8</v>
      </c>
      <c r="G167" s="101">
        <f>D167*F167</f>
        <v>8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8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8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'08062026'!$I$130:$J$158,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'08062026'!$I$130:$J$158,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'08062026'!$I$130:$J$158,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'08062026'!$I$130:$J$158, 2, )</f>
        <v>13</v>
      </c>
      <c r="G177" s="101">
        <f t="shared" si="7"/>
        <v>13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130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13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13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2340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13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'08062026'!$I$130:$J$158, 2, )</f>
        <v>6</v>
      </c>
      <c r="G183" s="101">
        <f>D183*F183</f>
        <v>6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6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6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6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1080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6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'08062026'!$I$130:$J$158,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'08062026'!$I$130:$J$158, 2, )</f>
        <v>1</v>
      </c>
      <c r="G196" s="100">
        <f>D196*F196</f>
        <v>5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15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50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180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125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1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1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'08062026'!$I$130:$J$158, 2, )</f>
        <v>1</v>
      </c>
      <c r="G203" s="100">
        <f>D203*F203</f>
        <v>16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15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8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50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125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180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1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1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'08062026'!$I$130:$J$158, 2, )</f>
        <v>1</v>
      </c>
      <c r="G211" s="100">
        <f>D211*F211</f>
        <v>1.5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180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125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1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1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'08062026'!$I$130:$J$158,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'08062026'!$I$130:$J$158, 2, )</f>
        <v>15</v>
      </c>
      <c r="G227" s="115">
        <f>D227*F227</f>
        <v>1.005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300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750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2700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15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15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'08062026'!$I$130:$J$158,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'08062026'!$I$130:$J$158, 2, )</f>
        <v>3</v>
      </c>
      <c r="G239" s="127">
        <f t="shared" ref="G239:G240" si="8">D239*F239</f>
        <v>3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'08062026'!$I$130:$J$158,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'08062026'!$I$130:$J$158, 2, )</f>
        <v>5</v>
      </c>
      <c r="G255" s="144">
        <f>D255*F255</f>
        <v>337.5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37.5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585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6.25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350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10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5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50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25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500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75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75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50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25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5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50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'08062026'!$I$130:$J$158, 2, )</f>
        <v>11</v>
      </c>
      <c r="G271" s="134">
        <f>D271*F271</f>
        <v>742.5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82.5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1287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13.75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11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22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11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110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55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1100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165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165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110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55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11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110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13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334359.3</v>
      </c>
      <c r="J2" s="32">
        <v>478753.0</v>
      </c>
      <c r="K2" s="33">
        <f>(J2-I2)/J2</f>
        <v>0.3016037497</v>
      </c>
      <c r="L2" s="34">
        <f>J2-I2</f>
        <v>144393.7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14.0</v>
      </c>
      <c r="F7" s="39"/>
      <c r="G7" s="40">
        <f t="shared" si="1"/>
        <v>14</v>
      </c>
      <c r="H7" s="38">
        <f t="shared" si="2"/>
        <v>20280.82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5.0</v>
      </c>
      <c r="F8" s="39"/>
      <c r="G8" s="40">
        <f t="shared" si="1"/>
        <v>5</v>
      </c>
      <c r="H8" s="38">
        <f t="shared" si="2"/>
        <v>58350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6.0</v>
      </c>
      <c r="F9" s="39"/>
      <c r="G9" s="40">
        <f t="shared" si="1"/>
        <v>6</v>
      </c>
      <c r="H9" s="38">
        <f t="shared" si="2"/>
        <v>56100.96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12.0</v>
      </c>
      <c r="F11" s="39"/>
      <c r="G11" s="40">
        <f t="shared" si="1"/>
        <v>12</v>
      </c>
      <c r="H11" s="38">
        <f t="shared" si="2"/>
        <v>89342.4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1.0</v>
      </c>
      <c r="F15" s="39"/>
      <c r="G15" s="40">
        <f t="shared" si="1"/>
        <v>1</v>
      </c>
      <c r="H15" s="38">
        <f t="shared" si="2"/>
        <v>9229.59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0.0</v>
      </c>
      <c r="F17" s="39"/>
      <c r="G17" s="40">
        <f t="shared" si="1"/>
        <v>0</v>
      </c>
      <c r="H17" s="38">
        <f t="shared" si="2"/>
        <v>0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5.0</v>
      </c>
      <c r="F18" s="39"/>
      <c r="G18" s="40">
        <f t="shared" si="1"/>
        <v>5</v>
      </c>
      <c r="H18" s="38">
        <f t="shared" si="2"/>
        <v>8705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12.0</v>
      </c>
      <c r="F22" s="43"/>
      <c r="G22" s="40">
        <f t="shared" si="1"/>
        <v>12</v>
      </c>
      <c r="H22" s="38">
        <f t="shared" si="2"/>
        <v>2820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15.0</v>
      </c>
      <c r="F23" s="43"/>
      <c r="G23" s="40">
        <f t="shared" si="1"/>
        <v>15</v>
      </c>
      <c r="H23" s="38">
        <f t="shared" si="2"/>
        <v>4440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21.0</v>
      </c>
      <c r="F24" s="43"/>
      <c r="G24" s="40">
        <f t="shared" si="1"/>
        <v>21</v>
      </c>
      <c r="H24" s="38">
        <f t="shared" si="2"/>
        <v>5239.5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27.0</v>
      </c>
      <c r="F25" s="43"/>
      <c r="G25" s="40">
        <f t="shared" si="1"/>
        <v>27</v>
      </c>
      <c r="H25" s="38">
        <f t="shared" si="2"/>
        <v>5616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1.0</v>
      </c>
      <c r="F29" s="47"/>
      <c r="G29" s="40">
        <f t="shared" si="1"/>
        <v>1</v>
      </c>
      <c r="H29" s="38">
        <f t="shared" si="2"/>
        <v>13871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3.0</v>
      </c>
      <c r="F30" s="47"/>
      <c r="G30" s="40">
        <f t="shared" si="1"/>
        <v>3</v>
      </c>
      <c r="H30" s="38">
        <f t="shared" si="2"/>
        <v>31563.93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391984.59</v>
      </c>
      <c r="J33" s="32">
        <v>738037.0</v>
      </c>
      <c r="K33" s="33">
        <f>(J33-I33)/J33</f>
        <v>0.468882197</v>
      </c>
      <c r="L33" s="34">
        <f>J33-I33</f>
        <v>346052.41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2.0</v>
      </c>
      <c r="F35" s="39"/>
      <c r="G35" s="59">
        <f t="shared" si="3"/>
        <v>2</v>
      </c>
      <c r="H35" s="60">
        <f t="shared" si="2"/>
        <v>12027.26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1.0</v>
      </c>
      <c r="F36" s="39"/>
      <c r="G36" s="59">
        <f t="shared" si="3"/>
        <v>1</v>
      </c>
      <c r="H36" s="60">
        <f t="shared" si="2"/>
        <v>7131.43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1.0</v>
      </c>
      <c r="F37" s="39"/>
      <c r="G37" s="59">
        <f t="shared" si="3"/>
        <v>1</v>
      </c>
      <c r="H37" s="60">
        <f t="shared" si="2"/>
        <v>3748.21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10.0</v>
      </c>
      <c r="F38" s="39"/>
      <c r="G38" s="59">
        <f t="shared" si="3"/>
        <v>10</v>
      </c>
      <c r="H38" s="60">
        <f t="shared" si="2"/>
        <v>14486.3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3.0</v>
      </c>
      <c r="F39" s="39"/>
      <c r="G39" s="59">
        <f t="shared" si="3"/>
        <v>3</v>
      </c>
      <c r="H39" s="60">
        <f t="shared" si="2"/>
        <v>35010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6.0</v>
      </c>
      <c r="F41" s="39"/>
      <c r="G41" s="59">
        <f t="shared" si="3"/>
        <v>6</v>
      </c>
      <c r="H41" s="60">
        <f t="shared" si="2"/>
        <v>59940.96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8.0</v>
      </c>
      <c r="F42" s="39"/>
      <c r="G42" s="59">
        <f t="shared" si="3"/>
        <v>8</v>
      </c>
      <c r="H42" s="60">
        <f t="shared" si="2"/>
        <v>59561.6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4.0</v>
      </c>
      <c r="F44" s="39"/>
      <c r="G44" s="59">
        <f t="shared" si="3"/>
        <v>4</v>
      </c>
      <c r="H44" s="60">
        <f t="shared" si="2"/>
        <v>56620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3.0</v>
      </c>
      <c r="F46" s="39"/>
      <c r="G46" s="59">
        <f t="shared" si="3"/>
        <v>3</v>
      </c>
      <c r="H46" s="60">
        <f t="shared" si="2"/>
        <v>27688.77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/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8.0</v>
      </c>
      <c r="F49" s="39"/>
      <c r="G49" s="59">
        <f t="shared" si="3"/>
        <v>8</v>
      </c>
      <c r="H49" s="60">
        <f t="shared" si="2"/>
        <v>13928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/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1.0</v>
      </c>
      <c r="F52" s="43"/>
      <c r="G52" s="59">
        <f t="shared" si="3"/>
        <v>1</v>
      </c>
      <c r="H52" s="60">
        <f t="shared" si="2"/>
        <v>2113.16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14.0</v>
      </c>
      <c r="F53" s="43"/>
      <c r="G53" s="59">
        <f t="shared" si="3"/>
        <v>14</v>
      </c>
      <c r="H53" s="60">
        <f t="shared" si="2"/>
        <v>3290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12.0</v>
      </c>
      <c r="F54" s="43"/>
      <c r="G54" s="59">
        <f t="shared" si="3"/>
        <v>12</v>
      </c>
      <c r="H54" s="60">
        <f t="shared" si="2"/>
        <v>3552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7.0</v>
      </c>
      <c r="F55" s="43"/>
      <c r="G55" s="59">
        <f t="shared" si="3"/>
        <v>7</v>
      </c>
      <c r="H55" s="60">
        <f t="shared" si="2"/>
        <v>1746.5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20.0</v>
      </c>
      <c r="F56" s="43"/>
      <c r="G56" s="59">
        <f t="shared" si="3"/>
        <v>20</v>
      </c>
      <c r="H56" s="60">
        <f t="shared" si="2"/>
        <v>4160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1.0</v>
      </c>
      <c r="F59" s="43"/>
      <c r="G59" s="59">
        <f t="shared" si="3"/>
        <v>1</v>
      </c>
      <c r="H59" s="60">
        <f t="shared" si="2"/>
        <v>2064.84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3.0</v>
      </c>
      <c r="F61" s="47"/>
      <c r="G61" s="59">
        <f t="shared" si="3"/>
        <v>3</v>
      </c>
      <c r="H61" s="60">
        <f t="shared" si="2"/>
        <v>31563.93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1.0</v>
      </c>
      <c r="F63" s="53"/>
      <c r="G63" s="61">
        <f t="shared" si="3"/>
        <v>1</v>
      </c>
      <c r="H63" s="62">
        <f t="shared" si="2"/>
        <v>14616.31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118546.44</v>
      </c>
      <c r="J64" s="32">
        <v>225509.0</v>
      </c>
      <c r="K64" s="33">
        <f>(J64-I64)/J64</f>
        <v>0.474316147</v>
      </c>
      <c r="L64" s="34">
        <f>J64-I64</f>
        <v>106962.56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2.0</v>
      </c>
      <c r="F67" s="65"/>
      <c r="G67" s="66">
        <f t="shared" si="4"/>
        <v>2</v>
      </c>
      <c r="H67" s="60">
        <f t="shared" si="2"/>
        <v>14262.86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6.0</v>
      </c>
      <c r="F69" s="65"/>
      <c r="G69" s="66">
        <f t="shared" si="4"/>
        <v>6</v>
      </c>
      <c r="H69" s="60">
        <f t="shared" si="2"/>
        <v>8691.78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3.0</v>
      </c>
      <c r="F72" s="65"/>
      <c r="G72" s="66">
        <f t="shared" si="4"/>
        <v>3</v>
      </c>
      <c r="H72" s="60">
        <f t="shared" si="2"/>
        <v>29970.48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4.0</v>
      </c>
      <c r="F73" s="65"/>
      <c r="G73" s="66">
        <f t="shared" si="4"/>
        <v>4</v>
      </c>
      <c r="H73" s="60">
        <f t="shared" si="2"/>
        <v>29780.8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2.0</v>
      </c>
      <c r="F77" s="65"/>
      <c r="G77" s="66">
        <f t="shared" si="4"/>
        <v>2</v>
      </c>
      <c r="H77" s="60">
        <f t="shared" si="2"/>
        <v>18459.18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1.0</v>
      </c>
      <c r="F79" s="65"/>
      <c r="G79" s="66">
        <f t="shared" si="4"/>
        <v>1</v>
      </c>
      <c r="H79" s="60">
        <f t="shared" si="2"/>
        <v>9300.16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1.0</v>
      </c>
      <c r="F84" s="65"/>
      <c r="G84" s="66">
        <f t="shared" si="4"/>
        <v>1</v>
      </c>
      <c r="H84" s="60">
        <f t="shared" si="2"/>
        <v>235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3.0</v>
      </c>
      <c r="F85" s="65"/>
      <c r="G85" s="66">
        <f t="shared" si="4"/>
        <v>3</v>
      </c>
      <c r="H85" s="60">
        <f t="shared" si="2"/>
        <v>888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10.0</v>
      </c>
      <c r="F87" s="65"/>
      <c r="G87" s="66">
        <f t="shared" si="4"/>
        <v>10</v>
      </c>
      <c r="H87" s="60">
        <f t="shared" si="2"/>
        <v>2080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2.0</v>
      </c>
      <c r="F90" s="65"/>
      <c r="G90" s="66">
        <f t="shared" si="4"/>
        <v>2</v>
      </c>
      <c r="H90" s="60">
        <f t="shared" si="2"/>
        <v>4129.68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844890.33</v>
      </c>
      <c r="J126" s="76">
        <f t="shared" si="6"/>
        <v>1442299</v>
      </c>
      <c r="K126" s="76"/>
      <c r="L126" s="76">
        <f>SUM(L2:L125)</f>
        <v>597408.67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'07062026'!$I$130:$J$158, 2, )</f>
        <v>8</v>
      </c>
      <c r="G131" s="100">
        <f>D131*F131</f>
        <v>560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8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8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8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1440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'07062026'!$I$130:$J$158, 2, )</f>
        <v>6</v>
      </c>
      <c r="G136" s="100">
        <f>D136*F136</f>
        <v>780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6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6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1080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'07062026'!$I$130:$J$158, 2, )</f>
        <v>10</v>
      </c>
      <c r="G140" s="100">
        <f>D140*F140</f>
        <v>1300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10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10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1800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200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'07062026'!$I$130:$J$158,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'07062026'!$I$130:$J$158, 2, )</f>
        <v>4</v>
      </c>
      <c r="G147" s="101">
        <f>D147*F147</f>
        <v>1040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4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4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'07062026'!$I$130:$J$158,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'07062026'!$I$130:$J$158,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'07062026'!$I$130:$J$158, 2, )</f>
        <v>6</v>
      </c>
      <c r="G159" s="101">
        <f>D159*F159</f>
        <v>12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6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6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1080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6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18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18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30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'07062026'!$I$130:$J$158, 2, )</f>
        <v>13</v>
      </c>
      <c r="G167" s="101">
        <f>D167*F167</f>
        <v>13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13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6.5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13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'07062026'!$I$130:$J$158,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'07062026'!$I$130:$J$158,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'07062026'!$I$130:$J$158,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'07062026'!$I$130:$J$158, 2, )</f>
        <v>24</v>
      </c>
      <c r="G177" s="101">
        <f t="shared" si="7"/>
        <v>24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240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24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24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4320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24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'07062026'!$I$130:$J$158, 2, )</f>
        <v>3</v>
      </c>
      <c r="G183" s="101">
        <f>D183*F183</f>
        <v>3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3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3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3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540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3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'07062026'!$I$130:$J$158,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'07062026'!$I$130:$J$158,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'07062026'!$I$130:$J$158, 2, )</f>
        <v>3</v>
      </c>
      <c r="G203" s="100">
        <f>D203*F203</f>
        <v>48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45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24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150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375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540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3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3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'07062026'!$I$130:$J$158, 2, )</f>
        <v>1</v>
      </c>
      <c r="G211" s="100">
        <f>D211*F211</f>
        <v>1.5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180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125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1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1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'07062026'!$I$130:$J$158, 2, )</f>
        <v>3</v>
      </c>
      <c r="G218" s="100">
        <f>D218*F218</f>
        <v>48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45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24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60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150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375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540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3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3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'07062026'!$I$130:$J$158, 2, )</f>
        <v>30</v>
      </c>
      <c r="G227" s="115">
        <f>D227*F227</f>
        <v>2.01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600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1500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5400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30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30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'07062026'!$I$130:$J$158, 2, )</f>
        <v>1</v>
      </c>
      <c r="G233" s="123">
        <f>D233*F233</f>
        <v>70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1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1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1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180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1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'07062026'!$I$130:$J$158, 2, )</f>
        <v>3</v>
      </c>
      <c r="G239" s="127">
        <f t="shared" ref="G239:G240" si="8">D239*F239</f>
        <v>3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'07062026'!$I$130:$J$158,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'07062026'!$I$130:$J$158, 2, )</f>
        <v>1</v>
      </c>
      <c r="G255" s="144">
        <f>D255*F255</f>
        <v>67.5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7.5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117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1.25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70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2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1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10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100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15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15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10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1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10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'07062026'!$I$130:$J$158, 2, )</f>
        <v>6</v>
      </c>
      <c r="G271" s="134">
        <f>D271*F271</f>
        <v>405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45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702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7.5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6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6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60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30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600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90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90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60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30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6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60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399442.83</v>
      </c>
      <c r="J2" s="32">
        <v>630802.0</v>
      </c>
      <c r="K2" s="33">
        <f>(J2-I2)/J2</f>
        <v>0.3667698739</v>
      </c>
      <c r="L2" s="34">
        <f>J2-I2</f>
        <v>231359.17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2.0</v>
      </c>
      <c r="F4" s="39"/>
      <c r="G4" s="40">
        <f t="shared" si="1"/>
        <v>2</v>
      </c>
      <c r="H4" s="38">
        <f t="shared" si="2"/>
        <v>12027.26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17.0</v>
      </c>
      <c r="F7" s="39"/>
      <c r="G7" s="40">
        <f t="shared" si="1"/>
        <v>17</v>
      </c>
      <c r="H7" s="38">
        <f t="shared" si="2"/>
        <v>24626.71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1.0</v>
      </c>
      <c r="F8" s="39"/>
      <c r="G8" s="40">
        <f t="shared" si="1"/>
        <v>1</v>
      </c>
      <c r="H8" s="38">
        <f t="shared" si="2"/>
        <v>11670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3.0</v>
      </c>
      <c r="F9" s="39"/>
      <c r="G9" s="40">
        <f t="shared" si="1"/>
        <v>3</v>
      </c>
      <c r="H9" s="38">
        <f t="shared" si="2"/>
        <v>28050.48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21.0</v>
      </c>
      <c r="F11" s="39"/>
      <c r="G11" s="40">
        <f t="shared" si="1"/>
        <v>21</v>
      </c>
      <c r="H11" s="38">
        <f t="shared" si="2"/>
        <v>156349.2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1.0</v>
      </c>
      <c r="F13" s="39"/>
      <c r="G13" s="40">
        <f t="shared" si="1"/>
        <v>1</v>
      </c>
      <c r="H13" s="38">
        <f t="shared" si="2"/>
        <v>14155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3.0</v>
      </c>
      <c r="F15" s="39"/>
      <c r="G15" s="40">
        <f t="shared" si="1"/>
        <v>3</v>
      </c>
      <c r="H15" s="38">
        <f t="shared" si="2"/>
        <v>27688.77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2.0</v>
      </c>
      <c r="F16" s="39"/>
      <c r="G16" s="40">
        <f t="shared" si="1"/>
        <v>2</v>
      </c>
      <c r="H16" s="38">
        <f t="shared" si="2"/>
        <v>23100.32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1.0</v>
      </c>
      <c r="F17" s="39"/>
      <c r="G17" s="40">
        <f t="shared" si="1"/>
        <v>1</v>
      </c>
      <c r="H17" s="38">
        <f t="shared" si="2"/>
        <v>9300.16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10.0</v>
      </c>
      <c r="F18" s="39"/>
      <c r="G18" s="40">
        <f t="shared" si="1"/>
        <v>10</v>
      </c>
      <c r="H18" s="38">
        <f t="shared" si="2"/>
        <v>17410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4.0</v>
      </c>
      <c r="F20" s="43"/>
      <c r="G20" s="40">
        <f t="shared" si="1"/>
        <v>4</v>
      </c>
      <c r="H20" s="38">
        <f t="shared" si="2"/>
        <v>11500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14.0</v>
      </c>
      <c r="F22" s="43"/>
      <c r="G22" s="40">
        <f t="shared" si="1"/>
        <v>14</v>
      </c>
      <c r="H22" s="38">
        <f t="shared" si="2"/>
        <v>3290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15.0</v>
      </c>
      <c r="F23" s="43"/>
      <c r="G23" s="40">
        <f t="shared" si="1"/>
        <v>15</v>
      </c>
      <c r="H23" s="38">
        <f t="shared" si="2"/>
        <v>4440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14.0</v>
      </c>
      <c r="F24" s="43"/>
      <c r="G24" s="40">
        <f t="shared" si="1"/>
        <v>14</v>
      </c>
      <c r="H24" s="38">
        <f t="shared" si="2"/>
        <v>3493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31.0</v>
      </c>
      <c r="F25" s="43"/>
      <c r="G25" s="40">
        <f t="shared" si="1"/>
        <v>31</v>
      </c>
      <c r="H25" s="38">
        <f t="shared" si="2"/>
        <v>6448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1.0</v>
      </c>
      <c r="F28" s="43"/>
      <c r="G28" s="40">
        <f t="shared" si="1"/>
        <v>1</v>
      </c>
      <c r="H28" s="38">
        <f t="shared" si="2"/>
        <v>2064.84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426656.16</v>
      </c>
      <c r="J33" s="32">
        <v>730708.0</v>
      </c>
      <c r="K33" s="33">
        <f>(J33-I33)/J33</f>
        <v>0.4161058042</v>
      </c>
      <c r="L33" s="34">
        <f>J33-I33</f>
        <v>304051.84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2.0</v>
      </c>
      <c r="F35" s="39"/>
      <c r="G35" s="59">
        <f t="shared" si="3"/>
        <v>2</v>
      </c>
      <c r="H35" s="60">
        <f t="shared" si="2"/>
        <v>12027.26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1.0</v>
      </c>
      <c r="F36" s="39"/>
      <c r="G36" s="59">
        <f t="shared" si="3"/>
        <v>1</v>
      </c>
      <c r="H36" s="60">
        <f t="shared" si="2"/>
        <v>7131.43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16.0</v>
      </c>
      <c r="F38" s="39"/>
      <c r="G38" s="59">
        <f t="shared" si="3"/>
        <v>16</v>
      </c>
      <c r="H38" s="60">
        <f t="shared" si="2"/>
        <v>23178.08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0.0</v>
      </c>
      <c r="F39" s="39"/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2.0</v>
      </c>
      <c r="F40" s="39"/>
      <c r="G40" s="59">
        <f t="shared" si="3"/>
        <v>2</v>
      </c>
      <c r="H40" s="60">
        <f t="shared" si="2"/>
        <v>18700.32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4.0</v>
      </c>
      <c r="F41" s="39"/>
      <c r="G41" s="59">
        <f t="shared" si="3"/>
        <v>4</v>
      </c>
      <c r="H41" s="60">
        <f t="shared" si="2"/>
        <v>39960.64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15.0</v>
      </c>
      <c r="F42" s="39"/>
      <c r="G42" s="59">
        <f t="shared" si="3"/>
        <v>15</v>
      </c>
      <c r="H42" s="60">
        <f t="shared" si="2"/>
        <v>111678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2.0</v>
      </c>
      <c r="F43" s="39"/>
      <c r="G43" s="59">
        <f t="shared" si="3"/>
        <v>2</v>
      </c>
      <c r="H43" s="60">
        <f t="shared" si="2"/>
        <v>34520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4.0</v>
      </c>
      <c r="F44" s="39"/>
      <c r="G44" s="59">
        <f t="shared" si="3"/>
        <v>4</v>
      </c>
      <c r="H44" s="60">
        <f t="shared" si="2"/>
        <v>56620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4.0</v>
      </c>
      <c r="F45" s="39"/>
      <c r="G45" s="59">
        <f t="shared" si="3"/>
        <v>4</v>
      </c>
      <c r="H45" s="60">
        <f t="shared" si="2"/>
        <v>61740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1.0</v>
      </c>
      <c r="F46" s="39"/>
      <c r="G46" s="59">
        <f t="shared" si="3"/>
        <v>1</v>
      </c>
      <c r="H46" s="60">
        <f t="shared" si="2"/>
        <v>9229.59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/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/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1.0</v>
      </c>
      <c r="F52" s="43"/>
      <c r="G52" s="59">
        <f t="shared" si="3"/>
        <v>1</v>
      </c>
      <c r="H52" s="60">
        <f t="shared" si="2"/>
        <v>2113.16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14.0</v>
      </c>
      <c r="F53" s="43"/>
      <c r="G53" s="59">
        <f t="shared" si="3"/>
        <v>14</v>
      </c>
      <c r="H53" s="60">
        <f t="shared" si="2"/>
        <v>3290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21.0</v>
      </c>
      <c r="F54" s="43"/>
      <c r="G54" s="59">
        <f t="shared" si="3"/>
        <v>21</v>
      </c>
      <c r="H54" s="60">
        <f t="shared" si="2"/>
        <v>6216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16.0</v>
      </c>
      <c r="F55" s="43"/>
      <c r="G55" s="59">
        <f t="shared" si="3"/>
        <v>16</v>
      </c>
      <c r="H55" s="60">
        <f t="shared" si="2"/>
        <v>3992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23.0</v>
      </c>
      <c r="F56" s="43"/>
      <c r="G56" s="59">
        <f t="shared" si="3"/>
        <v>23</v>
      </c>
      <c r="H56" s="60">
        <f t="shared" si="2"/>
        <v>4784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4.0</v>
      </c>
      <c r="F59" s="43"/>
      <c r="G59" s="59">
        <f t="shared" si="3"/>
        <v>4</v>
      </c>
      <c r="H59" s="60">
        <f t="shared" si="2"/>
        <v>8259.36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131625.94</v>
      </c>
      <c r="J64" s="32">
        <v>320004.0</v>
      </c>
      <c r="K64" s="33">
        <f>(J64-I64)/J64</f>
        <v>0.5886740791</v>
      </c>
      <c r="L64" s="34">
        <f>J64-I64</f>
        <v>188378.06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3.0</v>
      </c>
      <c r="F66" s="65"/>
      <c r="G66" s="66">
        <f t="shared" si="4"/>
        <v>3</v>
      </c>
      <c r="H66" s="60">
        <f t="shared" si="2"/>
        <v>18040.89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1.0</v>
      </c>
      <c r="F67" s="65"/>
      <c r="G67" s="66">
        <f t="shared" si="4"/>
        <v>1</v>
      </c>
      <c r="H67" s="60">
        <f t="shared" si="2"/>
        <v>7131.43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6.0</v>
      </c>
      <c r="F69" s="65"/>
      <c r="G69" s="66">
        <f t="shared" si="4"/>
        <v>6</v>
      </c>
      <c r="H69" s="60">
        <f t="shared" si="2"/>
        <v>8691.78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2.0</v>
      </c>
      <c r="F72" s="65"/>
      <c r="G72" s="66">
        <f t="shared" si="4"/>
        <v>2</v>
      </c>
      <c r="H72" s="60">
        <f t="shared" si="2"/>
        <v>19980.32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5.0</v>
      </c>
      <c r="F73" s="65"/>
      <c r="G73" s="66">
        <f t="shared" si="4"/>
        <v>5</v>
      </c>
      <c r="H73" s="60">
        <f t="shared" si="2"/>
        <v>37226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1.0</v>
      </c>
      <c r="F76" s="65"/>
      <c r="G76" s="66">
        <f t="shared" si="4"/>
        <v>1</v>
      </c>
      <c r="H76" s="60">
        <f t="shared" si="2"/>
        <v>15435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1.0</v>
      </c>
      <c r="F78" s="65"/>
      <c r="G78" s="66">
        <f t="shared" si="4"/>
        <v>1</v>
      </c>
      <c r="H78" s="60">
        <f t="shared" si="2"/>
        <v>11550.16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1.0</v>
      </c>
      <c r="F80" s="65"/>
      <c r="G80" s="66">
        <f t="shared" si="4"/>
        <v>1</v>
      </c>
      <c r="H80" s="60">
        <f t="shared" si="2"/>
        <v>1741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4.0</v>
      </c>
      <c r="F84" s="65"/>
      <c r="G84" s="66">
        <f t="shared" si="4"/>
        <v>4</v>
      </c>
      <c r="H84" s="60">
        <f t="shared" si="2"/>
        <v>940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2.0</v>
      </c>
      <c r="F85" s="65"/>
      <c r="G85" s="66">
        <f t="shared" si="4"/>
        <v>2</v>
      </c>
      <c r="H85" s="60">
        <f t="shared" si="2"/>
        <v>592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4.0</v>
      </c>
      <c r="F86" s="65"/>
      <c r="G86" s="66">
        <f t="shared" si="4"/>
        <v>4</v>
      </c>
      <c r="H86" s="60">
        <f t="shared" si="2"/>
        <v>998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5.0</v>
      </c>
      <c r="F87" s="65"/>
      <c r="G87" s="66">
        <f t="shared" si="4"/>
        <v>5</v>
      </c>
      <c r="H87" s="60">
        <f t="shared" si="2"/>
        <v>1040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4.0</v>
      </c>
      <c r="F90" s="65"/>
      <c r="G90" s="66">
        <f t="shared" si="4"/>
        <v>4</v>
      </c>
      <c r="H90" s="60">
        <f t="shared" si="2"/>
        <v>8259.36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957724.93</v>
      </c>
      <c r="J126" s="76">
        <f t="shared" si="6"/>
        <v>1681514</v>
      </c>
      <c r="K126" s="76"/>
      <c r="L126" s="76">
        <f>SUM(L2:L125)</f>
        <v>723789.07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'06062026'!$I$130:$J$158, 2, )</f>
        <v>1</v>
      </c>
      <c r="G131" s="100">
        <f>D131*F131</f>
        <v>70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1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1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1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180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'06062026'!$I$130:$J$158, 2, )</f>
        <v>5</v>
      </c>
      <c r="G136" s="100">
        <f>D136*F136</f>
        <v>650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5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5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900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'06062026'!$I$130:$J$158, 2, )</f>
        <v>7</v>
      </c>
      <c r="G140" s="100">
        <f>D140*F140</f>
        <v>910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7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7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1260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140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'06062026'!$I$130:$J$158, 2, )</f>
        <v>2</v>
      </c>
      <c r="G145" s="101">
        <f>D145*F145</f>
        <v>280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2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'06062026'!$I$130:$J$158, 2, )</f>
        <v>5</v>
      </c>
      <c r="G147" s="101">
        <f>D147*F147</f>
        <v>1300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5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5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'06062026'!$I$130:$J$158, 2, )</f>
        <v>5</v>
      </c>
      <c r="G150" s="101">
        <f>D150*F150</f>
        <v>1300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5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5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200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'06062026'!$I$130:$J$158, 2, )</f>
        <v>3</v>
      </c>
      <c r="G154" s="101">
        <f>D154*F154</f>
        <v>390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3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3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540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3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'06062026'!$I$130:$J$158, 2, )</f>
        <v>4</v>
      </c>
      <c r="G159" s="101">
        <f>D159*F159</f>
        <v>8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4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4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720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4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12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12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20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'06062026'!$I$130:$J$158, 2, )</f>
        <v>12</v>
      </c>
      <c r="G167" s="101">
        <f>D167*F167</f>
        <v>12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12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6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12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'06062026'!$I$130:$J$158,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5</v>
      </c>
      <c r="G174" s="101">
        <f t="shared" si="7"/>
        <v>5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'06062026'!$I$130:$J$158,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'06062026'!$I$130:$J$158,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'06062026'!$I$130:$J$158, 2, )</f>
        <v>41</v>
      </c>
      <c r="G177" s="101">
        <f t="shared" si="7"/>
        <v>41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410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41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41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7380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41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'06062026'!$I$130:$J$158, 2, )</f>
        <v>3</v>
      </c>
      <c r="G183" s="101">
        <f>D183*F183</f>
        <v>3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3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3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3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540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3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'06062026'!$I$130:$J$158,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'06062026'!$I$130:$J$158,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'06062026'!$I$130:$J$158, 2, )</f>
        <v>7</v>
      </c>
      <c r="G203" s="100">
        <f>D203*F203</f>
        <v>112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105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56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350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875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1260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7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7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'06062026'!$I$130:$J$158, 2, )</f>
        <v>0</v>
      </c>
      <c r="G211" s="100">
        <f>D211*F211</f>
        <v>0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0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0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'06062026'!$I$130:$J$158, 2, )</f>
        <v>2</v>
      </c>
      <c r="G218" s="100">
        <f>D218*F218</f>
        <v>32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30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16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40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100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250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360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2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2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'06062026'!$I$130:$J$158, 2, )</f>
        <v>39</v>
      </c>
      <c r="G227" s="115">
        <f>D227*F227</f>
        <v>2.613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780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1950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7020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39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39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'06062026'!$I$130:$J$158,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'06062026'!$I$130:$J$158, 2, )</f>
        <v>9</v>
      </c>
      <c r="G239" s="127">
        <f t="shared" ref="G239:G240" si="8">D239*F239</f>
        <v>9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'06062026'!$I$130:$J$158,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'06062026'!$I$130:$J$158,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'06062026'!$I$130:$J$158, 2, )</f>
        <v>2</v>
      </c>
      <c r="G271" s="134">
        <f>D271*F271</f>
        <v>135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15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234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2.5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2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4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2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20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200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30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30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20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2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20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378042.12</v>
      </c>
      <c r="J2" s="32">
        <v>556397.0</v>
      </c>
      <c r="K2" s="33">
        <f>(J2-I2)/J2</f>
        <v>0.320553274</v>
      </c>
      <c r="L2" s="34">
        <f>J2-I2</f>
        <v>178354.88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17.0</v>
      </c>
      <c r="F7" s="39"/>
      <c r="G7" s="40">
        <f t="shared" si="1"/>
        <v>17</v>
      </c>
      <c r="H7" s="38">
        <f t="shared" si="2"/>
        <v>24626.71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0.0</v>
      </c>
      <c r="F8" s="39"/>
      <c r="G8" s="40">
        <f t="shared" si="1"/>
        <v>0</v>
      </c>
      <c r="H8" s="38">
        <f t="shared" si="2"/>
        <v>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8.0</v>
      </c>
      <c r="F9" s="39"/>
      <c r="G9" s="40">
        <f t="shared" si="1"/>
        <v>8</v>
      </c>
      <c r="H9" s="38">
        <f t="shared" si="2"/>
        <v>74801.28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0.0</v>
      </c>
      <c r="F10" s="39"/>
      <c r="G10" s="40">
        <f t="shared" si="1"/>
        <v>0</v>
      </c>
      <c r="H10" s="38">
        <f t="shared" si="2"/>
        <v>0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21.0</v>
      </c>
      <c r="F11" s="39"/>
      <c r="G11" s="40">
        <f t="shared" si="1"/>
        <v>21</v>
      </c>
      <c r="H11" s="38">
        <f t="shared" si="2"/>
        <v>156349.2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1.0</v>
      </c>
      <c r="F12" s="39"/>
      <c r="G12" s="40">
        <f t="shared" si="1"/>
        <v>1</v>
      </c>
      <c r="H12" s="38">
        <f t="shared" si="2"/>
        <v>17260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2.0</v>
      </c>
      <c r="F14" s="39"/>
      <c r="G14" s="40">
        <f t="shared" si="1"/>
        <v>2</v>
      </c>
      <c r="H14" s="38">
        <f t="shared" si="2"/>
        <v>30870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0.0</v>
      </c>
      <c r="F17" s="39"/>
      <c r="G17" s="40">
        <f t="shared" si="1"/>
        <v>0</v>
      </c>
      <c r="H17" s="38">
        <f t="shared" si="2"/>
        <v>0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11.0</v>
      </c>
      <c r="F18" s="39"/>
      <c r="G18" s="40">
        <f t="shared" si="1"/>
        <v>11</v>
      </c>
      <c r="H18" s="38">
        <f t="shared" si="2"/>
        <v>19151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17.0</v>
      </c>
      <c r="F22" s="43"/>
      <c r="G22" s="40">
        <f t="shared" si="1"/>
        <v>17</v>
      </c>
      <c r="H22" s="38">
        <f t="shared" si="2"/>
        <v>3995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20.0</v>
      </c>
      <c r="F23" s="43"/>
      <c r="G23" s="40">
        <f t="shared" si="1"/>
        <v>20</v>
      </c>
      <c r="H23" s="38">
        <f t="shared" si="2"/>
        <v>5920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20.0</v>
      </c>
      <c r="F24" s="43"/>
      <c r="G24" s="40">
        <f t="shared" si="1"/>
        <v>20</v>
      </c>
      <c r="H24" s="38">
        <f t="shared" si="2"/>
        <v>4990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30.0</v>
      </c>
      <c r="F25" s="43"/>
      <c r="G25" s="40">
        <f t="shared" si="1"/>
        <v>30</v>
      </c>
      <c r="H25" s="38">
        <f t="shared" si="2"/>
        <v>6240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1.0</v>
      </c>
      <c r="F33" s="29"/>
      <c r="G33" s="57">
        <f t="shared" ref="G33:G63" si="3">SUM(E33:F33)</f>
        <v>1</v>
      </c>
      <c r="H33" s="58">
        <f t="shared" si="2"/>
        <v>8805.63</v>
      </c>
      <c r="I33" s="31">
        <f>sum(H33:H63)</f>
        <v>289163.56</v>
      </c>
      <c r="J33" s="32">
        <v>546454.0</v>
      </c>
      <c r="K33" s="33">
        <f>(J33-I33)/J33</f>
        <v>0.4708364108</v>
      </c>
      <c r="L33" s="34">
        <f>J33-I33</f>
        <v>257290.44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/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8.0</v>
      </c>
      <c r="F38" s="39"/>
      <c r="G38" s="59">
        <f t="shared" si="3"/>
        <v>8</v>
      </c>
      <c r="H38" s="60">
        <f t="shared" si="2"/>
        <v>11589.04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2.0</v>
      </c>
      <c r="F39" s="39"/>
      <c r="G39" s="59">
        <f t="shared" si="3"/>
        <v>2</v>
      </c>
      <c r="H39" s="60">
        <f t="shared" si="2"/>
        <v>23340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2.0</v>
      </c>
      <c r="F40" s="39"/>
      <c r="G40" s="59">
        <f t="shared" si="3"/>
        <v>2</v>
      </c>
      <c r="H40" s="60">
        <f t="shared" si="2"/>
        <v>18700.32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/>
      <c r="G41" s="59">
        <f t="shared" si="3"/>
        <v>2</v>
      </c>
      <c r="H41" s="60">
        <f t="shared" si="2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6.0</v>
      </c>
      <c r="F42" s="39"/>
      <c r="G42" s="59">
        <f t="shared" si="3"/>
        <v>6</v>
      </c>
      <c r="H42" s="60">
        <f t="shared" si="2"/>
        <v>44671.2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0.0</v>
      </c>
      <c r="F44" s="39"/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3.0</v>
      </c>
      <c r="F45" s="39"/>
      <c r="G45" s="59">
        <f t="shared" si="3"/>
        <v>3</v>
      </c>
      <c r="H45" s="60">
        <f t="shared" si="2"/>
        <v>46305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1.0</v>
      </c>
      <c r="F46" s="39"/>
      <c r="G46" s="59">
        <f t="shared" si="3"/>
        <v>1</v>
      </c>
      <c r="H46" s="60">
        <f t="shared" si="2"/>
        <v>9229.59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2.0</v>
      </c>
      <c r="F47" s="39"/>
      <c r="G47" s="59">
        <f t="shared" si="3"/>
        <v>2</v>
      </c>
      <c r="H47" s="60">
        <f t="shared" si="2"/>
        <v>23100.32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0.0</v>
      </c>
      <c r="F48" s="39"/>
      <c r="G48" s="59">
        <f t="shared" si="3"/>
        <v>0</v>
      </c>
      <c r="H48" s="60">
        <f t="shared" si="2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/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2.0</v>
      </c>
      <c r="F53" s="43"/>
      <c r="G53" s="59">
        <f t="shared" si="3"/>
        <v>2</v>
      </c>
      <c r="H53" s="60">
        <f t="shared" si="2"/>
        <v>470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11.0</v>
      </c>
      <c r="F54" s="43"/>
      <c r="G54" s="59">
        <f t="shared" si="3"/>
        <v>11</v>
      </c>
      <c r="H54" s="60">
        <f t="shared" si="2"/>
        <v>3256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13.0</v>
      </c>
      <c r="F55" s="43"/>
      <c r="G55" s="59">
        <f t="shared" si="3"/>
        <v>13</v>
      </c>
      <c r="H55" s="60">
        <f t="shared" si="2"/>
        <v>3243.5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11.0</v>
      </c>
      <c r="F56" s="43"/>
      <c r="G56" s="59">
        <f t="shared" si="3"/>
        <v>11</v>
      </c>
      <c r="H56" s="60">
        <f t="shared" si="2"/>
        <v>2288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1.0</v>
      </c>
      <c r="F57" s="43"/>
      <c r="G57" s="59">
        <f t="shared" si="3"/>
        <v>1</v>
      </c>
      <c r="H57" s="60">
        <f t="shared" si="2"/>
        <v>2446.08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3.0</v>
      </c>
      <c r="F63" s="53"/>
      <c r="G63" s="61">
        <f t="shared" si="3"/>
        <v>3</v>
      </c>
      <c r="H63" s="62">
        <f t="shared" si="2"/>
        <v>43848.93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111137.84</v>
      </c>
      <c r="J64" s="32">
        <v>225967.0</v>
      </c>
      <c r="K64" s="33">
        <f>(J64-I64)/J64</f>
        <v>0.5081678298</v>
      </c>
      <c r="L64" s="34">
        <f>J64-I64</f>
        <v>114829.16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1.0</v>
      </c>
      <c r="F66" s="65"/>
      <c r="G66" s="66">
        <f t="shared" si="4"/>
        <v>1</v>
      </c>
      <c r="H66" s="60">
        <f t="shared" si="2"/>
        <v>6013.63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1.0</v>
      </c>
      <c r="F68" s="65"/>
      <c r="G68" s="66">
        <f t="shared" si="4"/>
        <v>1</v>
      </c>
      <c r="H68" s="60">
        <f t="shared" si="2"/>
        <v>3748.21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4.0</v>
      </c>
      <c r="F69" s="65"/>
      <c r="G69" s="66">
        <f t="shared" si="4"/>
        <v>4</v>
      </c>
      <c r="H69" s="60">
        <f t="shared" si="2"/>
        <v>5794.52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1.0</v>
      </c>
      <c r="F70" s="65"/>
      <c r="G70" s="66">
        <f t="shared" si="4"/>
        <v>1</v>
      </c>
      <c r="H70" s="60">
        <f t="shared" si="2"/>
        <v>11670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5.0</v>
      </c>
      <c r="F73" s="65"/>
      <c r="G73" s="66">
        <f t="shared" si="4"/>
        <v>5</v>
      </c>
      <c r="H73" s="60">
        <f t="shared" si="2"/>
        <v>37226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1.0</v>
      </c>
      <c r="F78" s="65"/>
      <c r="G78" s="66">
        <f t="shared" si="4"/>
        <v>1</v>
      </c>
      <c r="H78" s="60">
        <f t="shared" si="2"/>
        <v>11550.16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3.0</v>
      </c>
      <c r="F79" s="65"/>
      <c r="G79" s="66">
        <f t="shared" si="4"/>
        <v>3</v>
      </c>
      <c r="H79" s="60">
        <f t="shared" si="2"/>
        <v>27900.48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3.0</v>
      </c>
      <c r="F84" s="65"/>
      <c r="G84" s="66">
        <f t="shared" si="4"/>
        <v>3</v>
      </c>
      <c r="H84" s="60">
        <f t="shared" si="2"/>
        <v>705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3.0</v>
      </c>
      <c r="F85" s="65"/>
      <c r="G85" s="66">
        <f t="shared" si="4"/>
        <v>3</v>
      </c>
      <c r="H85" s="60">
        <f t="shared" si="2"/>
        <v>888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6.0</v>
      </c>
      <c r="F86" s="65"/>
      <c r="G86" s="66">
        <f t="shared" si="4"/>
        <v>6</v>
      </c>
      <c r="H86" s="60">
        <f t="shared" si="2"/>
        <v>1497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10.0</v>
      </c>
      <c r="F87" s="65"/>
      <c r="G87" s="66">
        <f t="shared" si="4"/>
        <v>10</v>
      </c>
      <c r="H87" s="60">
        <f t="shared" si="2"/>
        <v>2080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1.0</v>
      </c>
      <c r="F90" s="65"/>
      <c r="G90" s="66">
        <f t="shared" si="4"/>
        <v>1</v>
      </c>
      <c r="H90" s="60">
        <f t="shared" si="2"/>
        <v>2064.84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778343.52</v>
      </c>
      <c r="J126" s="76">
        <f t="shared" si="6"/>
        <v>1328818</v>
      </c>
      <c r="K126" s="76"/>
      <c r="L126" s="76">
        <f>SUM(L2:L125)</f>
        <v>550474.48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'05062026'!$I$130:$J$158, 2, )</f>
        <v>3</v>
      </c>
      <c r="G131" s="100">
        <f>D131*F131</f>
        <v>210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3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3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3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540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'05062026'!$I$130:$J$158, 2, )</f>
        <v>10</v>
      </c>
      <c r="G136" s="100">
        <f>D136*F136</f>
        <v>1300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10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10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1800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'05062026'!$I$130:$J$158, 2, )</f>
        <v>2</v>
      </c>
      <c r="G140" s="100">
        <f>D140*F140</f>
        <v>260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2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2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360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40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'05062026'!$I$130:$J$158, 2, )</f>
        <v>2</v>
      </c>
      <c r="G145" s="101">
        <f>D145*F145</f>
        <v>280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2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'05062026'!$I$130:$J$158, 2, )</f>
        <v>0</v>
      </c>
      <c r="G147" s="101">
        <f>D147*F147</f>
        <v>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0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0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'05062026'!$I$130:$J$158, 2, )</f>
        <v>5</v>
      </c>
      <c r="G150" s="101">
        <f>D150*F150</f>
        <v>1300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5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5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200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'05062026'!$I$130:$J$158, 2, )</f>
        <v>3</v>
      </c>
      <c r="G154" s="101">
        <f>D154*F154</f>
        <v>390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3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3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540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3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'05062026'!$I$130:$J$158, 2, )</f>
        <v>1</v>
      </c>
      <c r="G159" s="101">
        <f>D159*F159</f>
        <v>2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1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1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180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1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3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3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5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'05062026'!$I$130:$J$158, 2, )</f>
        <v>12</v>
      </c>
      <c r="G167" s="101">
        <f>D167*F167</f>
        <v>12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12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6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12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'05062026'!$I$130:$J$158,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'05062026'!$I$130:$J$158, 2, )</f>
        <v>1</v>
      </c>
      <c r="G175" s="101">
        <f t="shared" si="7"/>
        <v>65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'05062026'!$I$130:$J$158,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'05062026'!$I$130:$J$158, 2, )</f>
        <v>32</v>
      </c>
      <c r="G177" s="101">
        <f t="shared" si="7"/>
        <v>32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320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32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32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5760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32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'05062026'!$I$130:$J$158, 2, )</f>
        <v>3</v>
      </c>
      <c r="G183" s="101">
        <f>D183*F183</f>
        <v>3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3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3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3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540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3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'05062026'!$I$130:$J$158,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'05062026'!$I$130:$J$158,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'05062026'!$I$130:$J$158,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'05062026'!$I$130:$J$158, 2, )</f>
        <v>1</v>
      </c>
      <c r="G211" s="100">
        <f>D211*F211</f>
        <v>1.5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180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125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1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1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'05062026'!$I$130:$J$158,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'05062026'!$I$130:$J$158, 2, )</f>
        <v>29</v>
      </c>
      <c r="G227" s="115">
        <f>D227*F227</f>
        <v>1.943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580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1450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5220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29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29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'05062026'!$I$130:$J$158,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'05062026'!$I$130:$J$158, 2, )</f>
        <v>1</v>
      </c>
      <c r="G239" s="127">
        <f t="shared" ref="G239:G240" si="8">D239*F239</f>
        <v>1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'05062026'!$I$130:$J$158,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'05062026'!$I$130:$J$158, 2, )</f>
        <v>3</v>
      </c>
      <c r="G255" s="144">
        <f>D255*F255</f>
        <v>202.5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22.5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351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3.75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210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6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3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30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300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45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45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30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3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30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'05062026'!$I$130:$J$158, 2, )</f>
        <v>2</v>
      </c>
      <c r="G271" s="134">
        <f>D271*F271</f>
        <v>135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15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234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2.5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2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4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2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20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200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30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30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20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2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20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302715.95</v>
      </c>
      <c r="J2" s="32">
        <v>486744.0</v>
      </c>
      <c r="K2" s="33">
        <f>(J2-I2)/J2</f>
        <v>0.3780797503</v>
      </c>
      <c r="L2" s="34">
        <f>J2-I2</f>
        <v>184028.05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13.0</v>
      </c>
      <c r="F7" s="39"/>
      <c r="G7" s="40">
        <f t="shared" si="1"/>
        <v>13</v>
      </c>
      <c r="H7" s="38">
        <f t="shared" si="2"/>
        <v>18832.19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3.0</v>
      </c>
      <c r="F8" s="39"/>
      <c r="G8" s="40">
        <f t="shared" si="1"/>
        <v>3</v>
      </c>
      <c r="H8" s="38">
        <f t="shared" si="2"/>
        <v>35010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3.0</v>
      </c>
      <c r="F9" s="39"/>
      <c r="G9" s="40">
        <f t="shared" si="1"/>
        <v>3</v>
      </c>
      <c r="H9" s="38">
        <f t="shared" si="2"/>
        <v>28050.48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0.0</v>
      </c>
      <c r="F10" s="39"/>
      <c r="G10" s="40">
        <f t="shared" si="1"/>
        <v>0</v>
      </c>
      <c r="H10" s="38">
        <f t="shared" si="2"/>
        <v>0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11.0</v>
      </c>
      <c r="F11" s="39"/>
      <c r="G11" s="40">
        <f t="shared" si="1"/>
        <v>11</v>
      </c>
      <c r="H11" s="38">
        <f t="shared" si="2"/>
        <v>81897.2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1.0</v>
      </c>
      <c r="F15" s="39"/>
      <c r="G15" s="40">
        <f t="shared" si="1"/>
        <v>1</v>
      </c>
      <c r="H15" s="38">
        <f t="shared" si="2"/>
        <v>9229.59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2.0</v>
      </c>
      <c r="F17" s="39"/>
      <c r="G17" s="40">
        <f t="shared" si="1"/>
        <v>2</v>
      </c>
      <c r="H17" s="38">
        <f t="shared" si="2"/>
        <v>18600.32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7.0</v>
      </c>
      <c r="F18" s="39"/>
      <c r="G18" s="40">
        <f t="shared" si="1"/>
        <v>7</v>
      </c>
      <c r="H18" s="38">
        <f t="shared" si="2"/>
        <v>12187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10.0</v>
      </c>
      <c r="F22" s="43"/>
      <c r="G22" s="40">
        <f t="shared" si="1"/>
        <v>10</v>
      </c>
      <c r="H22" s="38">
        <f t="shared" si="2"/>
        <v>2350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14.0</v>
      </c>
      <c r="F23" s="43"/>
      <c r="G23" s="40">
        <f t="shared" si="1"/>
        <v>14</v>
      </c>
      <c r="H23" s="38">
        <f t="shared" si="2"/>
        <v>4144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18.0</v>
      </c>
      <c r="F24" s="43"/>
      <c r="G24" s="40">
        <f t="shared" si="1"/>
        <v>18</v>
      </c>
      <c r="H24" s="38">
        <f t="shared" si="2"/>
        <v>4491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26.0</v>
      </c>
      <c r="F25" s="43"/>
      <c r="G25" s="40">
        <f t="shared" si="1"/>
        <v>26</v>
      </c>
      <c r="H25" s="38">
        <f t="shared" si="2"/>
        <v>5408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2.0</v>
      </c>
      <c r="F28" s="43"/>
      <c r="G28" s="40">
        <f t="shared" si="1"/>
        <v>2</v>
      </c>
      <c r="H28" s="38">
        <f t="shared" si="2"/>
        <v>4129.68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4.0</v>
      </c>
      <c r="F30" s="47"/>
      <c r="G30" s="40">
        <f t="shared" si="1"/>
        <v>4</v>
      </c>
      <c r="H30" s="38">
        <f t="shared" si="2"/>
        <v>42085.24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1.0</v>
      </c>
      <c r="F32" s="53"/>
      <c r="G32" s="54">
        <f t="shared" si="1"/>
        <v>1</v>
      </c>
      <c r="H32" s="52">
        <f t="shared" si="2"/>
        <v>14616.31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1.0</v>
      </c>
      <c r="F33" s="29">
        <v>0.0</v>
      </c>
      <c r="G33" s="57">
        <f t="shared" ref="G33:G63" si="3">SUM(E33:F33)</f>
        <v>1</v>
      </c>
      <c r="H33" s="58">
        <f t="shared" si="2"/>
        <v>8805.63</v>
      </c>
      <c r="I33" s="31">
        <f>sum(H33:H63)</f>
        <v>370889.81</v>
      </c>
      <c r="J33" s="32">
        <v>664939.0</v>
      </c>
      <c r="K33" s="33">
        <f>(J33-I33)/J33</f>
        <v>0.4422197976</v>
      </c>
      <c r="L33" s="34">
        <f>J33-I33</f>
        <v>294049.19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>
        <v>0.0</v>
      </c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>
        <v>0.0</v>
      </c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>
        <v>0.0</v>
      </c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2.0</v>
      </c>
      <c r="F37" s="39">
        <v>0.0</v>
      </c>
      <c r="G37" s="59">
        <f t="shared" si="3"/>
        <v>2</v>
      </c>
      <c r="H37" s="60">
        <f t="shared" si="2"/>
        <v>7496.42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4.0</v>
      </c>
      <c r="F38" s="39">
        <v>0.0</v>
      </c>
      <c r="G38" s="59">
        <f t="shared" si="3"/>
        <v>4</v>
      </c>
      <c r="H38" s="60">
        <f t="shared" si="2"/>
        <v>5794.52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0.0</v>
      </c>
      <c r="F39" s="39">
        <v>0.0</v>
      </c>
      <c r="G39" s="59">
        <f t="shared" si="3"/>
        <v>0</v>
      </c>
      <c r="H39" s="60">
        <f t="shared" si="2"/>
        <v>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3.0</v>
      </c>
      <c r="F40" s="39">
        <v>0.0</v>
      </c>
      <c r="G40" s="59">
        <f t="shared" si="3"/>
        <v>3</v>
      </c>
      <c r="H40" s="60">
        <f t="shared" si="2"/>
        <v>28050.48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>
        <v>0.0</v>
      </c>
      <c r="G41" s="59">
        <f t="shared" si="3"/>
        <v>2</v>
      </c>
      <c r="H41" s="60">
        <f t="shared" si="2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2.0</v>
      </c>
      <c r="F42" s="39">
        <v>0.0</v>
      </c>
      <c r="G42" s="59">
        <f t="shared" si="3"/>
        <v>2</v>
      </c>
      <c r="H42" s="60">
        <f t="shared" si="2"/>
        <v>14890.4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>
        <v>0.0</v>
      </c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>
        <v>0.0</v>
      </c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1.0</v>
      </c>
      <c r="F45" s="39">
        <v>0.0</v>
      </c>
      <c r="G45" s="59">
        <f t="shared" si="3"/>
        <v>1</v>
      </c>
      <c r="H45" s="60">
        <f t="shared" si="2"/>
        <v>15435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2.0</v>
      </c>
      <c r="F46" s="39">
        <v>0.0</v>
      </c>
      <c r="G46" s="59">
        <f t="shared" si="3"/>
        <v>2</v>
      </c>
      <c r="H46" s="60">
        <f t="shared" si="2"/>
        <v>18459.18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2.0</v>
      </c>
      <c r="F47" s="39">
        <v>0.0</v>
      </c>
      <c r="G47" s="59">
        <f t="shared" si="3"/>
        <v>2</v>
      </c>
      <c r="H47" s="60">
        <f t="shared" si="2"/>
        <v>23100.32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1.0</v>
      </c>
      <c r="F48" s="39">
        <v>0.0</v>
      </c>
      <c r="G48" s="59">
        <f t="shared" si="3"/>
        <v>1</v>
      </c>
      <c r="H48" s="60">
        <f t="shared" si="2"/>
        <v>9300.16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>
        <v>0.0</v>
      </c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>
        <v>0.0</v>
      </c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>
        <v>0.0</v>
      </c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1.0</v>
      </c>
      <c r="F52" s="43">
        <v>0.0</v>
      </c>
      <c r="G52" s="59">
        <f t="shared" si="3"/>
        <v>1</v>
      </c>
      <c r="H52" s="60">
        <f t="shared" si="2"/>
        <v>2113.16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6.0</v>
      </c>
      <c r="F53" s="43">
        <v>0.0</v>
      </c>
      <c r="G53" s="59">
        <f t="shared" si="3"/>
        <v>6</v>
      </c>
      <c r="H53" s="60">
        <f t="shared" si="2"/>
        <v>1410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17.0</v>
      </c>
      <c r="F54" s="43">
        <v>0.0</v>
      </c>
      <c r="G54" s="59">
        <f t="shared" si="3"/>
        <v>17</v>
      </c>
      <c r="H54" s="60">
        <f t="shared" si="2"/>
        <v>5032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13.0</v>
      </c>
      <c r="F55" s="43">
        <v>0.0</v>
      </c>
      <c r="G55" s="59">
        <f t="shared" si="3"/>
        <v>13</v>
      </c>
      <c r="H55" s="60">
        <f t="shared" si="2"/>
        <v>3243.5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28.0</v>
      </c>
      <c r="F56" s="43">
        <v>0.0</v>
      </c>
      <c r="G56" s="59">
        <f t="shared" si="3"/>
        <v>28</v>
      </c>
      <c r="H56" s="60">
        <f t="shared" si="2"/>
        <v>5824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1.0</v>
      </c>
      <c r="F57" s="43">
        <v>0.0</v>
      </c>
      <c r="G57" s="59">
        <f t="shared" si="3"/>
        <v>1</v>
      </c>
      <c r="H57" s="60">
        <f t="shared" si="2"/>
        <v>2446.08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>
        <v>0.0</v>
      </c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1.0</v>
      </c>
      <c r="F59" s="43">
        <v>3.0</v>
      </c>
      <c r="G59" s="59">
        <f t="shared" si="3"/>
        <v>4</v>
      </c>
      <c r="H59" s="60">
        <f t="shared" si="2"/>
        <v>8259.36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>
        <v>0.0</v>
      </c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12.0</v>
      </c>
      <c r="F61" s="47">
        <v>0.0</v>
      </c>
      <c r="G61" s="59">
        <f t="shared" si="3"/>
        <v>12</v>
      </c>
      <c r="H61" s="60">
        <f t="shared" si="2"/>
        <v>126255.72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2.0</v>
      </c>
      <c r="F62" s="47">
        <v>0.0</v>
      </c>
      <c r="G62" s="59">
        <f t="shared" si="3"/>
        <v>2</v>
      </c>
      <c r="H62" s="60">
        <f t="shared" si="2"/>
        <v>25592.62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1.0</v>
      </c>
      <c r="F63" s="53">
        <v>0.0</v>
      </c>
      <c r="G63" s="61">
        <f t="shared" si="3"/>
        <v>1</v>
      </c>
      <c r="H63" s="62">
        <f t="shared" si="2"/>
        <v>14616.31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34108.66</v>
      </c>
      <c r="J64" s="32">
        <v>83328.0</v>
      </c>
      <c r="K64" s="33">
        <f>(J64-I64)/J64</f>
        <v>0.5906698829</v>
      </c>
      <c r="L64" s="34">
        <f>J64-I64</f>
        <v>49219.34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2.0</v>
      </c>
      <c r="F69" s="65"/>
      <c r="G69" s="66">
        <f t="shared" si="4"/>
        <v>2</v>
      </c>
      <c r="H69" s="60">
        <f t="shared" si="2"/>
        <v>2897.26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1.0</v>
      </c>
      <c r="F76" s="65"/>
      <c r="G76" s="66">
        <f t="shared" si="4"/>
        <v>1</v>
      </c>
      <c r="H76" s="60">
        <f t="shared" si="2"/>
        <v>15435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2.0</v>
      </c>
      <c r="F84" s="65"/>
      <c r="G84" s="66">
        <f t="shared" si="4"/>
        <v>2</v>
      </c>
      <c r="H84" s="60">
        <f t="shared" si="2"/>
        <v>470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0.0</v>
      </c>
      <c r="F86" s="65"/>
      <c r="G86" s="66">
        <f t="shared" si="4"/>
        <v>0</v>
      </c>
      <c r="H86" s="60">
        <f t="shared" si="2"/>
        <v>0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2.0</v>
      </c>
      <c r="F87" s="65"/>
      <c r="G87" s="66">
        <f t="shared" si="4"/>
        <v>2</v>
      </c>
      <c r="H87" s="60">
        <f t="shared" si="2"/>
        <v>416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707714.42</v>
      </c>
      <c r="J126" s="76">
        <f t="shared" si="6"/>
        <v>1235011</v>
      </c>
      <c r="K126" s="76"/>
      <c r="L126" s="76">
        <f>SUM(L2:L125)</f>
        <v>527296.58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'04062026'!$I$130:$J$158, 2, )</f>
        <v>3</v>
      </c>
      <c r="G131" s="100">
        <f>D131*F131</f>
        <v>210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3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3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3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540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'04062026'!$I$130:$J$158, 2, )</f>
        <v>6</v>
      </c>
      <c r="G136" s="100">
        <f>D136*F136</f>
        <v>780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6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6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1080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'04062026'!$I$130:$J$158, 2, )</f>
        <v>2</v>
      </c>
      <c r="G140" s="100">
        <f>D140*F140</f>
        <v>260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2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2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360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40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'04062026'!$I$130:$J$158,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'04062026'!$I$130:$J$158,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'04062026'!$I$130:$J$158, 2, )</f>
        <v>2</v>
      </c>
      <c r="G150" s="101">
        <f>D150*F150</f>
        <v>520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2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2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80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'04062026'!$I$130:$J$158, 2, )</f>
        <v>2</v>
      </c>
      <c r="G154" s="101">
        <f>D154*F154</f>
        <v>260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2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2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360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2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'04062026'!$I$130:$J$158, 2, )</f>
        <v>3</v>
      </c>
      <c r="G159" s="101">
        <f>D159*F159</f>
        <v>6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3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3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540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3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9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9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15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'04062026'!$I$130:$J$158, 2, )</f>
        <v>8</v>
      </c>
      <c r="G167" s="101">
        <f>D167*F167</f>
        <v>8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8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8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'04062026'!$I$130:$J$158,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2</v>
      </c>
      <c r="G174" s="101">
        <f t="shared" si="7"/>
        <v>2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'04062026'!$I$130:$J$158, 2, )</f>
        <v>1</v>
      </c>
      <c r="G175" s="101">
        <f t="shared" si="7"/>
        <v>65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'04062026'!$I$130:$J$158,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'04062026'!$I$130:$J$158, 2, )</f>
        <v>15</v>
      </c>
      <c r="G177" s="101">
        <f t="shared" si="7"/>
        <v>15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150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15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15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2700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15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'04062026'!$I$130:$J$158, 2, )</f>
        <v>3</v>
      </c>
      <c r="G183" s="101">
        <f>D183*F183</f>
        <v>3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3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3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3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540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3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'04062026'!$I$130:$J$158,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'04062026'!$I$130:$J$158,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'04062026'!$I$130:$J$158,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'04062026'!$I$130:$J$158, 2, )</f>
        <v>2</v>
      </c>
      <c r="G211" s="100">
        <f>D211*F211</f>
        <v>3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50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360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250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2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2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'04062026'!$I$130:$J$158,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'04062026'!$I$130:$J$158, 2, )</f>
        <v>19</v>
      </c>
      <c r="G227" s="115">
        <f>D227*F227</f>
        <v>1.273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380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950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3420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19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19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'04062026'!$I$130:$J$158,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'04062026'!$I$130:$J$158, 2, )</f>
        <v>6</v>
      </c>
      <c r="G239" s="127">
        <f t="shared" ref="G239:G240" si="8">D239*F239</f>
        <v>6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'04062026'!$I$130:$J$158, 2, )</f>
        <v>3</v>
      </c>
      <c r="G240" s="134">
        <f t="shared" si="8"/>
        <v>202.5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22.5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351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3.75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390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6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3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30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15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300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45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45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30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15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30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'04062026'!$I$130:$J$158, 2, )</f>
        <v>2</v>
      </c>
      <c r="G255" s="144">
        <f>D255*F255</f>
        <v>135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15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234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2.5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140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4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2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20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200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30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30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20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2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20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'04062026'!$I$130:$J$158, 2, )</f>
        <v>16</v>
      </c>
      <c r="G271" s="134">
        <f>D271*F271</f>
        <v>1080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120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1872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20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16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32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16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160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80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1600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240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240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160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80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16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160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4.2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387436.44</v>
      </c>
      <c r="J2" s="32">
        <v>632655.0</v>
      </c>
      <c r="K2" s="33">
        <f>(J2-I2)/J2</f>
        <v>0.3876023425</v>
      </c>
      <c r="L2" s="34">
        <f>J2-I2</f>
        <v>245218.56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3.0</v>
      </c>
      <c r="F6" s="39"/>
      <c r="G6" s="40">
        <f t="shared" si="1"/>
        <v>3</v>
      </c>
      <c r="H6" s="38">
        <f t="shared" si="2"/>
        <v>11244.63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13.0</v>
      </c>
      <c r="F7" s="39"/>
      <c r="G7" s="40">
        <f t="shared" si="1"/>
        <v>13</v>
      </c>
      <c r="H7" s="38">
        <f t="shared" si="2"/>
        <v>18832.19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8.0</v>
      </c>
      <c r="F8" s="39"/>
      <c r="G8" s="40">
        <f t="shared" si="1"/>
        <v>8</v>
      </c>
      <c r="H8" s="38">
        <f t="shared" si="2"/>
        <v>93360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5.0</v>
      </c>
      <c r="F9" s="39"/>
      <c r="G9" s="40">
        <f t="shared" si="1"/>
        <v>5</v>
      </c>
      <c r="H9" s="38">
        <f t="shared" si="2"/>
        <v>46750.8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0.0</v>
      </c>
      <c r="F10" s="39"/>
      <c r="G10" s="40">
        <f t="shared" si="1"/>
        <v>0</v>
      </c>
      <c r="H10" s="38">
        <f t="shared" si="2"/>
        <v>0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16.0</v>
      </c>
      <c r="F11" s="39"/>
      <c r="G11" s="40">
        <f t="shared" si="1"/>
        <v>16</v>
      </c>
      <c r="H11" s="38">
        <f t="shared" si="2"/>
        <v>119123.2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1.0</v>
      </c>
      <c r="F13" s="39"/>
      <c r="G13" s="40">
        <f t="shared" si="1"/>
        <v>1</v>
      </c>
      <c r="H13" s="38">
        <f t="shared" si="2"/>
        <v>14155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1.0</v>
      </c>
      <c r="F14" s="39"/>
      <c r="G14" s="40">
        <f t="shared" si="1"/>
        <v>1</v>
      </c>
      <c r="H14" s="38">
        <f t="shared" si="2"/>
        <v>15435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1.0</v>
      </c>
      <c r="F17" s="39"/>
      <c r="G17" s="40">
        <f t="shared" si="1"/>
        <v>1</v>
      </c>
      <c r="H17" s="38">
        <f t="shared" si="2"/>
        <v>9300.16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8.0</v>
      </c>
      <c r="F18" s="39"/>
      <c r="G18" s="40">
        <f t="shared" si="1"/>
        <v>8</v>
      </c>
      <c r="H18" s="38">
        <f t="shared" si="2"/>
        <v>13928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10.0</v>
      </c>
      <c r="F22" s="43"/>
      <c r="G22" s="40">
        <f t="shared" si="1"/>
        <v>10</v>
      </c>
      <c r="H22" s="38">
        <f t="shared" si="2"/>
        <v>2350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19.0</v>
      </c>
      <c r="F23" s="43"/>
      <c r="G23" s="40">
        <f t="shared" si="1"/>
        <v>19</v>
      </c>
      <c r="H23" s="38">
        <f t="shared" si="2"/>
        <v>5624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22.0</v>
      </c>
      <c r="F24" s="43"/>
      <c r="G24" s="40">
        <f t="shared" si="1"/>
        <v>22</v>
      </c>
      <c r="H24" s="38">
        <f t="shared" si="2"/>
        <v>5489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30.0</v>
      </c>
      <c r="F25" s="43"/>
      <c r="G25" s="40">
        <f t="shared" si="1"/>
        <v>30</v>
      </c>
      <c r="H25" s="38">
        <f t="shared" si="2"/>
        <v>6240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3.0</v>
      </c>
      <c r="F28" s="43"/>
      <c r="G28" s="40">
        <f t="shared" si="1"/>
        <v>3</v>
      </c>
      <c r="H28" s="38">
        <f t="shared" si="2"/>
        <v>6194.52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1.0</v>
      </c>
      <c r="F30" s="47"/>
      <c r="G30" s="40">
        <f t="shared" si="1"/>
        <v>1</v>
      </c>
      <c r="H30" s="38">
        <f t="shared" si="2"/>
        <v>10521.31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283185.98</v>
      </c>
      <c r="J33" s="32">
        <v>474916.0</v>
      </c>
      <c r="K33" s="33">
        <f>(J33-I33)/J33</f>
        <v>0.4037135409</v>
      </c>
      <c r="L33" s="34">
        <f>J33-I33</f>
        <v>191730.02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/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1.0</v>
      </c>
      <c r="F36" s="39"/>
      <c r="G36" s="59">
        <f t="shared" si="3"/>
        <v>1</v>
      </c>
      <c r="H36" s="60">
        <f t="shared" si="2"/>
        <v>7131.43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1.0</v>
      </c>
      <c r="F37" s="39"/>
      <c r="G37" s="59">
        <f t="shared" si="3"/>
        <v>1</v>
      </c>
      <c r="H37" s="60">
        <f t="shared" si="2"/>
        <v>3748.21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6.0</v>
      </c>
      <c r="F38" s="39"/>
      <c r="G38" s="59">
        <f t="shared" si="3"/>
        <v>6</v>
      </c>
      <c r="H38" s="60">
        <f t="shared" si="2"/>
        <v>8691.78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/>
      <c r="G39" s="59">
        <f t="shared" si="3"/>
        <v>1</v>
      </c>
      <c r="H39" s="60">
        <f t="shared" si="2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3.0</v>
      </c>
      <c r="F40" s="39"/>
      <c r="G40" s="59">
        <f t="shared" si="3"/>
        <v>3</v>
      </c>
      <c r="H40" s="60">
        <f t="shared" si="2"/>
        <v>28050.48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0.0</v>
      </c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9.0</v>
      </c>
      <c r="F42" s="39"/>
      <c r="G42" s="59">
        <f t="shared" si="3"/>
        <v>9</v>
      </c>
      <c r="H42" s="60">
        <f t="shared" si="2"/>
        <v>67006.8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0.0</v>
      </c>
      <c r="F44" s="39"/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2.0</v>
      </c>
      <c r="F47" s="39"/>
      <c r="G47" s="59">
        <f t="shared" si="3"/>
        <v>2</v>
      </c>
      <c r="H47" s="60">
        <f t="shared" si="2"/>
        <v>23100.32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/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5.0</v>
      </c>
      <c r="F49" s="39"/>
      <c r="G49" s="59">
        <f t="shared" si="3"/>
        <v>5</v>
      </c>
      <c r="H49" s="60">
        <f t="shared" si="2"/>
        <v>8705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10.0</v>
      </c>
      <c r="F53" s="43"/>
      <c r="G53" s="59">
        <f t="shared" si="3"/>
        <v>10</v>
      </c>
      <c r="H53" s="60">
        <f t="shared" si="2"/>
        <v>2350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11.0</v>
      </c>
      <c r="F54" s="43"/>
      <c r="G54" s="59">
        <f t="shared" si="3"/>
        <v>11</v>
      </c>
      <c r="H54" s="60">
        <f t="shared" si="2"/>
        <v>3256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10.0</v>
      </c>
      <c r="F55" s="43"/>
      <c r="G55" s="59">
        <f t="shared" si="3"/>
        <v>10</v>
      </c>
      <c r="H55" s="60">
        <f t="shared" si="2"/>
        <v>2495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21.0</v>
      </c>
      <c r="F56" s="43"/>
      <c r="G56" s="59">
        <f t="shared" si="3"/>
        <v>21</v>
      </c>
      <c r="H56" s="60">
        <f t="shared" si="2"/>
        <v>4368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1.0</v>
      </c>
      <c r="F59" s="43"/>
      <c r="G59" s="59">
        <f t="shared" si="3"/>
        <v>1</v>
      </c>
      <c r="H59" s="60">
        <f t="shared" si="2"/>
        <v>2064.84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4.0</v>
      </c>
      <c r="F61" s="47"/>
      <c r="G61" s="59">
        <f t="shared" si="3"/>
        <v>4</v>
      </c>
      <c r="H61" s="60">
        <f t="shared" si="2"/>
        <v>42085.24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3.0</v>
      </c>
      <c r="F63" s="53"/>
      <c r="G63" s="61">
        <f t="shared" si="3"/>
        <v>3</v>
      </c>
      <c r="H63" s="62">
        <f t="shared" si="2"/>
        <v>43848.93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72302.17</v>
      </c>
      <c r="J64" s="32">
        <v>143310.0</v>
      </c>
      <c r="K64" s="33">
        <f>(J64-I64)/J64</f>
        <v>0.4954841253</v>
      </c>
      <c r="L64" s="34">
        <f>J64-I64</f>
        <v>71007.83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1.0</v>
      </c>
      <c r="F68" s="65"/>
      <c r="G68" s="66">
        <f t="shared" si="4"/>
        <v>1</v>
      </c>
      <c r="H68" s="60">
        <f t="shared" si="2"/>
        <v>3748.21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2.0</v>
      </c>
      <c r="F69" s="65"/>
      <c r="G69" s="66">
        <f t="shared" si="4"/>
        <v>2</v>
      </c>
      <c r="H69" s="60">
        <f t="shared" si="2"/>
        <v>2897.26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3.0</v>
      </c>
      <c r="F71" s="65"/>
      <c r="G71" s="66">
        <f t="shared" si="4"/>
        <v>3</v>
      </c>
      <c r="H71" s="60">
        <f t="shared" si="2"/>
        <v>28050.48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2.0</v>
      </c>
      <c r="F72" s="65"/>
      <c r="G72" s="66">
        <f t="shared" si="4"/>
        <v>2</v>
      </c>
      <c r="H72" s="60">
        <f t="shared" si="2"/>
        <v>19980.32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1.0</v>
      </c>
      <c r="F84" s="65"/>
      <c r="G84" s="66">
        <f t="shared" si="4"/>
        <v>1</v>
      </c>
      <c r="H84" s="60">
        <f t="shared" si="2"/>
        <v>235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1.0</v>
      </c>
      <c r="F85" s="65"/>
      <c r="G85" s="66">
        <f t="shared" si="4"/>
        <v>1</v>
      </c>
      <c r="H85" s="60">
        <f t="shared" si="2"/>
        <v>296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7.0</v>
      </c>
      <c r="F87" s="65"/>
      <c r="G87" s="66">
        <f t="shared" si="4"/>
        <v>7</v>
      </c>
      <c r="H87" s="60">
        <f t="shared" si="2"/>
        <v>1456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>
        <v>0.0</v>
      </c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/>
      <c r="C126" s="74"/>
      <c r="D126" s="74"/>
      <c r="E126" s="74"/>
      <c r="F126" s="74"/>
      <c r="G126" s="74"/>
      <c r="H126" s="75"/>
      <c r="I126" s="76">
        <f t="shared" ref="I126:J126" si="6">SUM(I2:I125)</f>
        <v>742924.59</v>
      </c>
      <c r="J126" s="76">
        <f t="shared" si="6"/>
        <v>1250881</v>
      </c>
      <c r="K126" s="76"/>
      <c r="L126" s="76">
        <f>SUM(L2:L125)</f>
        <v>507956.41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'03062026'!$I$130:$J$158, 2, )</f>
        <v>9</v>
      </c>
      <c r="G131" s="100">
        <f>D131*F131</f>
        <v>630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9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9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9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1620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'03062026'!$I$130:$J$158, 2, )</f>
        <v>11</v>
      </c>
      <c r="G136" s="100">
        <f>D136*F136</f>
        <v>1430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11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11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1980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'03062026'!$I$130:$J$158, 2, )</f>
        <v>2</v>
      </c>
      <c r="G140" s="100">
        <f>D140*F140</f>
        <v>260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2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2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360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40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'03062026'!$I$130:$J$158,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'03062026'!$I$130:$J$158,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'03062026'!$I$130:$J$158, 2, )</f>
        <v>1</v>
      </c>
      <c r="G150" s="101">
        <f>D150*F150</f>
        <v>260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1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1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40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'03062026'!$I$130:$J$158, 2, )</f>
        <v>2</v>
      </c>
      <c r="G154" s="101">
        <f>D154*F154</f>
        <v>260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2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2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360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2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'03062026'!$I$130:$J$158,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'03062026'!$I$130:$J$158, 2, )</f>
        <v>13</v>
      </c>
      <c r="G167" s="101">
        <f>D167*F167</f>
        <v>13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13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6.5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13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'03062026'!$I$130:$J$158,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'03062026'!$I$130:$J$158,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'03062026'!$I$130:$J$158,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'03062026'!$I$130:$J$158, 2, )</f>
        <v>27</v>
      </c>
      <c r="G177" s="101">
        <f t="shared" si="7"/>
        <v>27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270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27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27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4860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27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'03062026'!$I$130:$J$158, 2, )</f>
        <v>3</v>
      </c>
      <c r="G183" s="101">
        <f>D183*F183</f>
        <v>3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3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3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3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540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3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'03062026'!$I$130:$J$158,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'03062026'!$I$130:$J$158,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'03062026'!$I$130:$J$158,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'03062026'!$I$130:$J$158, 2, )</f>
        <v>5</v>
      </c>
      <c r="G211" s="100">
        <f>D211*F211</f>
        <v>7.5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125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250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900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625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5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5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'03062026'!$I$130:$J$158, 2, )</f>
        <v>1</v>
      </c>
      <c r="G218" s="100">
        <f>D218*F218</f>
        <v>16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15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8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20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50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125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180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1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1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'03062026'!$I$130:$J$158, 2, )</f>
        <v>21</v>
      </c>
      <c r="G227" s="115">
        <f>D227*F227</f>
        <v>1.407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420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1050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3780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21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21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'03062026'!$I$130:$J$158,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'03062026'!$I$130:$J$158, 2, )</f>
        <v>4</v>
      </c>
      <c r="G239" s="127">
        <f t="shared" ref="G239:G240" si="8">D239*F239</f>
        <v>4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'03062026'!$I$130:$J$158,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'03062026'!$I$130:$J$158, 2, )</f>
        <v>3</v>
      </c>
      <c r="G255" s="144">
        <f>D255*F255</f>
        <v>202.5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22.5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351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3.75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210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6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3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30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300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45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45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30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3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30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'03062026'!$I$130:$J$158, 2, )</f>
        <v>5</v>
      </c>
      <c r="G271" s="134">
        <f>D271*F271</f>
        <v>337.5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37.5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585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6.25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5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10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5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50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25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500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75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75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50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25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5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50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14.13"/>
    <col customWidth="1" min="9" max="9" width="31.75"/>
    <col customWidth="1" min="10" max="10" width="20.75"/>
    <col customWidth="1" min="11" max="11" width="7.5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221864.74</v>
      </c>
      <c r="J2" s="32">
        <v>357319.0</v>
      </c>
      <c r="K2" s="33">
        <f>(J2-I2)/J2</f>
        <v>0.3790849633</v>
      </c>
      <c r="L2" s="34">
        <f>J2-I2</f>
        <v>135454.26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1.0</v>
      </c>
      <c r="F5" s="39"/>
      <c r="G5" s="40">
        <f t="shared" si="1"/>
        <v>1</v>
      </c>
      <c r="H5" s="38">
        <f t="shared" si="2"/>
        <v>7131.43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9.0</v>
      </c>
      <c r="F7" s="39"/>
      <c r="G7" s="40">
        <f t="shared" si="1"/>
        <v>9</v>
      </c>
      <c r="H7" s="38">
        <f t="shared" si="2"/>
        <v>13037.67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2.0</v>
      </c>
      <c r="F8" s="39"/>
      <c r="G8" s="40">
        <f t="shared" si="1"/>
        <v>2</v>
      </c>
      <c r="H8" s="38">
        <f t="shared" si="2"/>
        <v>23340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2.0</v>
      </c>
      <c r="F9" s="39"/>
      <c r="G9" s="40">
        <f t="shared" si="1"/>
        <v>2</v>
      </c>
      <c r="H9" s="38">
        <f t="shared" si="2"/>
        <v>18700.32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0.0</v>
      </c>
      <c r="F10" s="39"/>
      <c r="G10" s="40">
        <f t="shared" si="1"/>
        <v>0</v>
      </c>
      <c r="H10" s="38">
        <f t="shared" si="2"/>
        <v>0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11.0</v>
      </c>
      <c r="F11" s="39"/>
      <c r="G11" s="40">
        <f t="shared" si="1"/>
        <v>11</v>
      </c>
      <c r="H11" s="38">
        <f t="shared" si="2"/>
        <v>81897.2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1.0</v>
      </c>
      <c r="F13" s="39"/>
      <c r="G13" s="40">
        <f t="shared" si="1"/>
        <v>1</v>
      </c>
      <c r="H13" s="38">
        <f t="shared" si="2"/>
        <v>14155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1.0</v>
      </c>
      <c r="F16" s="39"/>
      <c r="G16" s="40">
        <f t="shared" si="1"/>
        <v>1</v>
      </c>
      <c r="H16" s="38">
        <f t="shared" si="2"/>
        <v>11550.16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0.0</v>
      </c>
      <c r="F17" s="39"/>
      <c r="G17" s="40">
        <f t="shared" si="1"/>
        <v>0</v>
      </c>
      <c r="H17" s="38">
        <f t="shared" si="2"/>
        <v>0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0.0</v>
      </c>
      <c r="F18" s="39"/>
      <c r="G18" s="40">
        <f t="shared" si="1"/>
        <v>0</v>
      </c>
      <c r="H18" s="38">
        <f t="shared" si="2"/>
        <v>0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2.0</v>
      </c>
      <c r="F20" s="43"/>
      <c r="G20" s="40">
        <f t="shared" si="1"/>
        <v>2</v>
      </c>
      <c r="H20" s="38">
        <f t="shared" si="2"/>
        <v>5750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6.0</v>
      </c>
      <c r="F22" s="43"/>
      <c r="G22" s="40">
        <f t="shared" si="1"/>
        <v>6</v>
      </c>
      <c r="H22" s="38">
        <f t="shared" si="2"/>
        <v>1410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11.0</v>
      </c>
      <c r="F23" s="43"/>
      <c r="G23" s="40">
        <f t="shared" si="1"/>
        <v>11</v>
      </c>
      <c r="H23" s="38">
        <f t="shared" si="2"/>
        <v>3256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7.0</v>
      </c>
      <c r="F24" s="43"/>
      <c r="G24" s="40">
        <f t="shared" si="1"/>
        <v>7</v>
      </c>
      <c r="H24" s="38">
        <f t="shared" si="2"/>
        <v>1746.5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14.0</v>
      </c>
      <c r="F25" s="43"/>
      <c r="G25" s="40">
        <f t="shared" si="1"/>
        <v>14</v>
      </c>
      <c r="H25" s="38">
        <f t="shared" si="2"/>
        <v>2912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1.0</v>
      </c>
      <c r="F28" s="43"/>
      <c r="G28" s="40">
        <f t="shared" si="1"/>
        <v>1</v>
      </c>
      <c r="H28" s="38">
        <f t="shared" si="2"/>
        <v>2064.84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1.0</v>
      </c>
      <c r="F29" s="47"/>
      <c r="G29" s="40">
        <f t="shared" si="1"/>
        <v>1</v>
      </c>
      <c r="H29" s="38">
        <f t="shared" si="2"/>
        <v>13871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391708.98</v>
      </c>
      <c r="J33" s="32">
        <v>699099.0</v>
      </c>
      <c r="K33" s="33">
        <f>(J33-I33)/J33</f>
        <v>0.4396945497</v>
      </c>
      <c r="L33" s="34">
        <f>J33-I33</f>
        <v>307390.02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/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2.0</v>
      </c>
      <c r="F37" s="39"/>
      <c r="G37" s="59">
        <f t="shared" si="3"/>
        <v>2</v>
      </c>
      <c r="H37" s="60">
        <f t="shared" si="2"/>
        <v>7496.42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14.0</v>
      </c>
      <c r="F38" s="39"/>
      <c r="G38" s="59">
        <f t="shared" si="3"/>
        <v>14</v>
      </c>
      <c r="H38" s="60">
        <f t="shared" si="2"/>
        <v>20280.82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/>
      <c r="G39" s="59">
        <f t="shared" si="3"/>
        <v>1</v>
      </c>
      <c r="H39" s="60">
        <f t="shared" si="2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2.0</v>
      </c>
      <c r="F40" s="39"/>
      <c r="G40" s="59">
        <f t="shared" si="3"/>
        <v>2</v>
      </c>
      <c r="H40" s="60">
        <f t="shared" si="2"/>
        <v>18700.32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0.0</v>
      </c>
      <c r="F41" s="39"/>
      <c r="G41" s="59">
        <f t="shared" si="3"/>
        <v>0</v>
      </c>
      <c r="H41" s="60">
        <f t="shared" si="2"/>
        <v>0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14.0</v>
      </c>
      <c r="F42" s="39"/>
      <c r="G42" s="59">
        <f t="shared" si="3"/>
        <v>14</v>
      </c>
      <c r="H42" s="60">
        <f t="shared" si="2"/>
        <v>104232.8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4.0</v>
      </c>
      <c r="F43" s="39"/>
      <c r="G43" s="59">
        <f t="shared" si="3"/>
        <v>4</v>
      </c>
      <c r="H43" s="60">
        <f t="shared" si="2"/>
        <v>69040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4.0</v>
      </c>
      <c r="F45" s="39"/>
      <c r="G45" s="59">
        <f t="shared" si="3"/>
        <v>4</v>
      </c>
      <c r="H45" s="60">
        <f t="shared" si="2"/>
        <v>61740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3.0</v>
      </c>
      <c r="F48" s="39"/>
      <c r="G48" s="59">
        <f t="shared" si="3"/>
        <v>3</v>
      </c>
      <c r="H48" s="60">
        <f t="shared" si="2"/>
        <v>27900.48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4.0</v>
      </c>
      <c r="F52" s="43"/>
      <c r="G52" s="59">
        <f t="shared" si="3"/>
        <v>4</v>
      </c>
      <c r="H52" s="60">
        <f t="shared" si="2"/>
        <v>8452.64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8.0</v>
      </c>
      <c r="F53" s="43"/>
      <c r="G53" s="59">
        <f t="shared" si="3"/>
        <v>8</v>
      </c>
      <c r="H53" s="60">
        <f t="shared" si="2"/>
        <v>1880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17.0</v>
      </c>
      <c r="F54" s="43"/>
      <c r="G54" s="59">
        <f t="shared" si="3"/>
        <v>17</v>
      </c>
      <c r="H54" s="60">
        <f t="shared" si="2"/>
        <v>5032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25.0</v>
      </c>
      <c r="F55" s="43"/>
      <c r="G55" s="59">
        <f t="shared" si="3"/>
        <v>25</v>
      </c>
      <c r="H55" s="60">
        <f t="shared" si="2"/>
        <v>6237.5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26.0</v>
      </c>
      <c r="F56" s="43"/>
      <c r="G56" s="59">
        <f t="shared" si="3"/>
        <v>26</v>
      </c>
      <c r="H56" s="60">
        <f t="shared" si="2"/>
        <v>5408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2.0</v>
      </c>
      <c r="F60" s="47"/>
      <c r="G60" s="59">
        <f t="shared" si="3"/>
        <v>2</v>
      </c>
      <c r="H60" s="60">
        <f t="shared" si="2"/>
        <v>27742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175778.22</v>
      </c>
      <c r="J64" s="32">
        <v>373163.0</v>
      </c>
      <c r="K64" s="33">
        <f>(J64-I64)/J64</f>
        <v>0.5289505658</v>
      </c>
      <c r="L64" s="34">
        <f>J64-I64</f>
        <v>197384.78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3.0</v>
      </c>
      <c r="F67" s="65"/>
      <c r="G67" s="66">
        <f t="shared" si="4"/>
        <v>3</v>
      </c>
      <c r="H67" s="60">
        <f t="shared" si="2"/>
        <v>21394.29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3.0</v>
      </c>
      <c r="F69" s="65"/>
      <c r="G69" s="66">
        <f t="shared" si="4"/>
        <v>3</v>
      </c>
      <c r="H69" s="60">
        <f t="shared" si="2"/>
        <v>4345.89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2.0</v>
      </c>
      <c r="F71" s="65"/>
      <c r="G71" s="66">
        <f t="shared" si="4"/>
        <v>2</v>
      </c>
      <c r="H71" s="60">
        <f t="shared" si="2"/>
        <v>18700.32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2.0</v>
      </c>
      <c r="F75" s="65"/>
      <c r="G75" s="66">
        <f t="shared" si="4"/>
        <v>2</v>
      </c>
      <c r="H75" s="60">
        <f t="shared" si="2"/>
        <v>28310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2.0</v>
      </c>
      <c r="F77" s="65"/>
      <c r="G77" s="66">
        <f t="shared" si="4"/>
        <v>2</v>
      </c>
      <c r="H77" s="60">
        <f t="shared" si="2"/>
        <v>18459.18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2.0</v>
      </c>
      <c r="F78" s="65"/>
      <c r="G78" s="66">
        <f t="shared" si="4"/>
        <v>2</v>
      </c>
      <c r="H78" s="60">
        <f t="shared" si="2"/>
        <v>23100.32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2.0</v>
      </c>
      <c r="F79" s="65"/>
      <c r="G79" s="66">
        <f t="shared" si="4"/>
        <v>2</v>
      </c>
      <c r="H79" s="60">
        <f t="shared" si="2"/>
        <v>18600.32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1.0</v>
      </c>
      <c r="F80" s="65"/>
      <c r="G80" s="66">
        <f t="shared" si="4"/>
        <v>1</v>
      </c>
      <c r="H80" s="60">
        <f t="shared" si="2"/>
        <v>1741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1.0</v>
      </c>
      <c r="F81" s="65"/>
      <c r="G81" s="66">
        <f t="shared" si="4"/>
        <v>1</v>
      </c>
      <c r="H81" s="60">
        <f t="shared" si="2"/>
        <v>2200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1.0</v>
      </c>
      <c r="F83" s="65"/>
      <c r="G83" s="66">
        <f t="shared" si="4"/>
        <v>1</v>
      </c>
      <c r="H83" s="60">
        <f t="shared" si="2"/>
        <v>2113.16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5.0</v>
      </c>
      <c r="F84" s="65"/>
      <c r="G84" s="66">
        <f t="shared" si="4"/>
        <v>5</v>
      </c>
      <c r="H84" s="60">
        <f t="shared" si="2"/>
        <v>1175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6.0</v>
      </c>
      <c r="F85" s="65"/>
      <c r="G85" s="66">
        <f t="shared" si="4"/>
        <v>6</v>
      </c>
      <c r="H85" s="60">
        <f t="shared" si="2"/>
        <v>1776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11.0</v>
      </c>
      <c r="F87" s="65"/>
      <c r="G87" s="66">
        <f t="shared" si="4"/>
        <v>11</v>
      </c>
      <c r="H87" s="60">
        <f t="shared" si="2"/>
        <v>2288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1.0</v>
      </c>
      <c r="F90" s="65"/>
      <c r="G90" s="66">
        <f t="shared" si="4"/>
        <v>1</v>
      </c>
      <c r="H90" s="60">
        <f t="shared" si="2"/>
        <v>2064.84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1.0</v>
      </c>
      <c r="F91" s="67"/>
      <c r="G91" s="66">
        <f t="shared" si="4"/>
        <v>1</v>
      </c>
      <c r="H91" s="60">
        <f t="shared" si="2"/>
        <v>13871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789351.94</v>
      </c>
      <c r="J126" s="76">
        <f t="shared" si="6"/>
        <v>1429581</v>
      </c>
      <c r="K126" s="76"/>
      <c r="L126" s="76">
        <f>SUM(L2:L125)</f>
        <v>640229.06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'02062026'!$I$130:$J$158, 2, )</f>
        <v>3</v>
      </c>
      <c r="G131" s="100">
        <f>D131*F131</f>
        <v>210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3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3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3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540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'02062026'!$I$130:$J$158, 2, )</f>
        <v>6</v>
      </c>
      <c r="G136" s="100">
        <f>D136*F136</f>
        <v>780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6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6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1080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'02062026'!$I$130:$J$158, 2, )</f>
        <v>0</v>
      </c>
      <c r="G140" s="100">
        <f>D140*F140</f>
        <v>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0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0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'02062026'!$I$130:$J$158, 2, )</f>
        <v>4</v>
      </c>
      <c r="G145" s="101">
        <f>D145*F145</f>
        <v>560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4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'02062026'!$I$130:$J$158, 2, )</f>
        <v>4</v>
      </c>
      <c r="G147" s="101">
        <f>D147*F147</f>
        <v>1040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4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4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'02062026'!$I$130:$J$158, 2, )</f>
        <v>4</v>
      </c>
      <c r="G150" s="101">
        <f>D150*F150</f>
        <v>1040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4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4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160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'02062026'!$I$130:$J$158, 2, )</f>
        <v>3</v>
      </c>
      <c r="G154" s="101">
        <f>D154*F154</f>
        <v>390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3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3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540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3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'02062026'!$I$130:$J$158, 2, )</f>
        <v>2</v>
      </c>
      <c r="G159" s="101">
        <f>D159*F159</f>
        <v>4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2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2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360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2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6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6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10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'02062026'!$I$130:$J$158, 2, )</f>
        <v>2</v>
      </c>
      <c r="G167" s="101">
        <f>D167*F167</f>
        <v>2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2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1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2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'02062026'!$I$130:$J$158, 2, )</f>
        <v>5</v>
      </c>
      <c r="G171" s="101">
        <f>D171*F171</f>
        <v>900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5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1</v>
      </c>
      <c r="G173" s="101">
        <f t="shared" ref="G173:G177" si="7">D173*F173</f>
        <v>1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2</v>
      </c>
      <c r="G174" s="101">
        <f t="shared" si="7"/>
        <v>2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'02062026'!$I$130:$J$158,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'02062026'!$I$130:$J$158,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'02062026'!$I$130:$J$158, 2, )</f>
        <v>27</v>
      </c>
      <c r="G177" s="101">
        <f t="shared" si="7"/>
        <v>27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270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27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27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4860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27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'02062026'!$I$130:$J$158, 2, )</f>
        <v>5</v>
      </c>
      <c r="G183" s="101">
        <f>D183*F183</f>
        <v>5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5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5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5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900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5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'02062026'!$I$130:$J$158,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'02062026'!$I$130:$J$158,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'02062026'!$I$130:$J$158,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'02062026'!$I$130:$J$158, 2, )</f>
        <v>2</v>
      </c>
      <c r="G211" s="100">
        <f>D211*F211</f>
        <v>3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50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360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250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2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2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'02062026'!$I$130:$J$158, 2, )</f>
        <v>4</v>
      </c>
      <c r="G218" s="100">
        <f>D218*F218</f>
        <v>64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60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32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80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200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500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720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4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4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'02062026'!$I$130:$J$158, 2, )</f>
        <v>26</v>
      </c>
      <c r="G227" s="115">
        <f>D227*F227</f>
        <v>1.742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520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1300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4680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26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26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'02062026'!$I$130:$J$158, 2, )</f>
        <v>4</v>
      </c>
      <c r="G233" s="123">
        <f>D233*F233</f>
        <v>280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4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4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4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720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4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'02062026'!$I$130:$J$158, 2, )</f>
        <v>2</v>
      </c>
      <c r="G239" s="127">
        <f t="shared" ref="G239:G240" si="8">D239*F239</f>
        <v>2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'02062026'!$I$130:$J$158,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'02062026'!$I$130:$J$158,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'02062026'!$I$130:$J$158, 2, )</f>
        <v>2</v>
      </c>
      <c r="G271" s="134">
        <f>D271*F271</f>
        <v>135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15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234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2.5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2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4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2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20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200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30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30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20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2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20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14.13"/>
    <col customWidth="1" min="9" max="9" width="28.25"/>
    <col customWidth="1" min="10" max="10" width="20.75"/>
    <col customWidth="1" min="11" max="11" width="7.63"/>
    <col customWidth="1" min="12" max="12" width="14.88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1.0</v>
      </c>
      <c r="F2" s="29"/>
      <c r="G2" s="30">
        <f t="shared" ref="G2:G32" si="1">sum(E2:F2)</f>
        <v>1</v>
      </c>
      <c r="H2" s="28">
        <f t="shared" ref="H2:H125" si="2">D2*G2</f>
        <v>8805.63</v>
      </c>
      <c r="I2" s="31">
        <f>sum(H2:H32)</f>
        <v>437527.42</v>
      </c>
      <c r="J2" s="32">
        <v>753719.0</v>
      </c>
      <c r="K2" s="33">
        <f>(J2-I2)/J2</f>
        <v>0.4195085702</v>
      </c>
      <c r="L2" s="34">
        <f>J2-I2</f>
        <v>316191.58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11.0</v>
      </c>
      <c r="F7" s="39"/>
      <c r="G7" s="40">
        <f t="shared" si="1"/>
        <v>11</v>
      </c>
      <c r="H7" s="38">
        <f t="shared" si="2"/>
        <v>15934.93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4.0</v>
      </c>
      <c r="F8" s="39"/>
      <c r="G8" s="40">
        <f t="shared" si="1"/>
        <v>4</v>
      </c>
      <c r="H8" s="38">
        <f t="shared" si="2"/>
        <v>46680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1.0</v>
      </c>
      <c r="F9" s="39"/>
      <c r="G9" s="40">
        <f t="shared" si="1"/>
        <v>1</v>
      </c>
      <c r="H9" s="38">
        <f t="shared" si="2"/>
        <v>9350.16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4.0</v>
      </c>
      <c r="F10" s="39"/>
      <c r="G10" s="40">
        <f t="shared" si="1"/>
        <v>4</v>
      </c>
      <c r="H10" s="38">
        <f t="shared" si="2"/>
        <v>39960.64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18.0</v>
      </c>
      <c r="F11" s="39"/>
      <c r="G11" s="40">
        <f t="shared" si="1"/>
        <v>18</v>
      </c>
      <c r="H11" s="38">
        <f t="shared" si="2"/>
        <v>134013.6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4.0</v>
      </c>
      <c r="F15" s="39"/>
      <c r="G15" s="40">
        <f t="shared" si="1"/>
        <v>4</v>
      </c>
      <c r="H15" s="38">
        <f t="shared" si="2"/>
        <v>36918.36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3.0</v>
      </c>
      <c r="F17" s="39"/>
      <c r="G17" s="40">
        <f t="shared" si="1"/>
        <v>3</v>
      </c>
      <c r="H17" s="38">
        <f t="shared" si="2"/>
        <v>27900.48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5.0</v>
      </c>
      <c r="F18" s="39"/>
      <c r="G18" s="40">
        <f t="shared" si="1"/>
        <v>5</v>
      </c>
      <c r="H18" s="38">
        <f t="shared" si="2"/>
        <v>8705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20.0</v>
      </c>
      <c r="F22" s="43"/>
      <c r="G22" s="40">
        <f t="shared" si="1"/>
        <v>20</v>
      </c>
      <c r="H22" s="38">
        <f t="shared" si="2"/>
        <v>4700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23.0</v>
      </c>
      <c r="F23" s="43"/>
      <c r="G23" s="40">
        <f t="shared" si="1"/>
        <v>23</v>
      </c>
      <c r="H23" s="38">
        <f t="shared" si="2"/>
        <v>6808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22.0</v>
      </c>
      <c r="F24" s="43"/>
      <c r="G24" s="40">
        <f t="shared" si="1"/>
        <v>22</v>
      </c>
      <c r="H24" s="38">
        <f t="shared" si="2"/>
        <v>5489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27.0</v>
      </c>
      <c r="F25" s="43"/>
      <c r="G25" s="40">
        <f t="shared" si="1"/>
        <v>27</v>
      </c>
      <c r="H25" s="38">
        <f t="shared" si="2"/>
        <v>5616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1.0</v>
      </c>
      <c r="F26" s="43"/>
      <c r="G26" s="40">
        <f t="shared" si="1"/>
        <v>1</v>
      </c>
      <c r="H26" s="38">
        <f t="shared" si="2"/>
        <v>2446.08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1.0</v>
      </c>
      <c r="F28" s="43"/>
      <c r="G28" s="40">
        <f t="shared" si="1"/>
        <v>1</v>
      </c>
      <c r="H28" s="38">
        <f t="shared" si="2"/>
        <v>2064.84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4.0</v>
      </c>
      <c r="F30" s="47"/>
      <c r="G30" s="40">
        <f t="shared" si="1"/>
        <v>4</v>
      </c>
      <c r="H30" s="38">
        <f t="shared" si="2"/>
        <v>42085.24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1.0</v>
      </c>
      <c r="F32" s="53"/>
      <c r="G32" s="54">
        <f t="shared" si="1"/>
        <v>1</v>
      </c>
      <c r="H32" s="52">
        <f t="shared" si="2"/>
        <v>14616.31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>
        <v>0.0</v>
      </c>
      <c r="G33" s="57">
        <f t="shared" ref="G33:G63" si="3">SUM(E33:F33)</f>
        <v>0</v>
      </c>
      <c r="H33" s="58">
        <f t="shared" si="2"/>
        <v>0</v>
      </c>
      <c r="I33" s="31">
        <f>sum(H33:H63)</f>
        <v>291001.81</v>
      </c>
      <c r="J33" s="32">
        <v>379060.0</v>
      </c>
      <c r="K33" s="33">
        <f>(J33-I33)/J33</f>
        <v>0.2323067324</v>
      </c>
      <c r="L33" s="34">
        <f>J33-I33</f>
        <v>88058.19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>
        <v>0.0</v>
      </c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>
        <v>0.0</v>
      </c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>
        <v>0.0</v>
      </c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2.0</v>
      </c>
      <c r="F37" s="39">
        <v>0.0</v>
      </c>
      <c r="G37" s="59">
        <f t="shared" si="3"/>
        <v>2</v>
      </c>
      <c r="H37" s="60">
        <f t="shared" si="2"/>
        <v>7496.42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8.0</v>
      </c>
      <c r="F38" s="39">
        <v>0.0</v>
      </c>
      <c r="G38" s="59">
        <f t="shared" si="3"/>
        <v>8</v>
      </c>
      <c r="H38" s="60">
        <f t="shared" si="2"/>
        <v>11589.04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>
        <v>0.0</v>
      </c>
      <c r="G39" s="59">
        <f t="shared" si="3"/>
        <v>1</v>
      </c>
      <c r="H39" s="60">
        <f t="shared" si="2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3.0</v>
      </c>
      <c r="F40" s="39">
        <v>0.0</v>
      </c>
      <c r="G40" s="59">
        <f t="shared" si="3"/>
        <v>3</v>
      </c>
      <c r="H40" s="60">
        <f t="shared" si="2"/>
        <v>28050.48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>
        <v>0.0</v>
      </c>
      <c r="G41" s="59">
        <f t="shared" si="3"/>
        <v>2</v>
      </c>
      <c r="H41" s="60">
        <f t="shared" si="2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11.0</v>
      </c>
      <c r="F42" s="39">
        <v>0.0</v>
      </c>
      <c r="G42" s="59">
        <f t="shared" si="3"/>
        <v>11</v>
      </c>
      <c r="H42" s="60">
        <f t="shared" si="2"/>
        <v>81897.2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>
        <v>0.0</v>
      </c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>
        <v>0.0</v>
      </c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>
        <v>0.0</v>
      </c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>
        <v>0.0</v>
      </c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>
        <v>0.0</v>
      </c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0.0</v>
      </c>
      <c r="F48" s="39">
        <v>0.0</v>
      </c>
      <c r="G48" s="59">
        <f t="shared" si="3"/>
        <v>0</v>
      </c>
      <c r="H48" s="60">
        <f t="shared" si="2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>
        <v>0.0</v>
      </c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>
        <v>0.0</v>
      </c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>
        <v>0.0</v>
      </c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1.0</v>
      </c>
      <c r="F52" s="43">
        <v>0.0</v>
      </c>
      <c r="G52" s="59">
        <f t="shared" si="3"/>
        <v>1</v>
      </c>
      <c r="H52" s="60">
        <f t="shared" si="2"/>
        <v>2113.16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14.0</v>
      </c>
      <c r="F53" s="43">
        <v>0.0</v>
      </c>
      <c r="G53" s="59">
        <f t="shared" si="3"/>
        <v>14</v>
      </c>
      <c r="H53" s="60">
        <f t="shared" si="2"/>
        <v>3290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10.0</v>
      </c>
      <c r="F54" s="43">
        <v>0.0</v>
      </c>
      <c r="G54" s="59">
        <f t="shared" si="3"/>
        <v>10</v>
      </c>
      <c r="H54" s="60">
        <f t="shared" si="2"/>
        <v>2960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5.0</v>
      </c>
      <c r="F55" s="43">
        <v>0.0</v>
      </c>
      <c r="G55" s="59">
        <f t="shared" si="3"/>
        <v>5</v>
      </c>
      <c r="H55" s="60">
        <f t="shared" si="2"/>
        <v>1247.5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17.0</v>
      </c>
      <c r="F56" s="43">
        <v>0.0</v>
      </c>
      <c r="G56" s="59">
        <f t="shared" si="3"/>
        <v>17</v>
      </c>
      <c r="H56" s="60">
        <f t="shared" si="2"/>
        <v>3536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>
        <v>0.0</v>
      </c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>
        <v>0.0</v>
      </c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4.0</v>
      </c>
      <c r="F59" s="43">
        <v>1.0</v>
      </c>
      <c r="G59" s="59">
        <f t="shared" si="3"/>
        <v>5</v>
      </c>
      <c r="H59" s="60">
        <f t="shared" si="2"/>
        <v>10324.2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>
        <v>0.0</v>
      </c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4.0</v>
      </c>
      <c r="F61" s="47">
        <v>0.0</v>
      </c>
      <c r="G61" s="59">
        <f t="shared" si="3"/>
        <v>4</v>
      </c>
      <c r="H61" s="60">
        <f t="shared" si="2"/>
        <v>42085.24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2.0</v>
      </c>
      <c r="F62" s="47">
        <v>0.0</v>
      </c>
      <c r="G62" s="59">
        <f t="shared" si="3"/>
        <v>2</v>
      </c>
      <c r="H62" s="60">
        <f t="shared" si="2"/>
        <v>25592.62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>
        <v>0.0</v>
      </c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66597.73</v>
      </c>
      <c r="J64" s="32">
        <v>131400.0</v>
      </c>
      <c r="K64" s="33">
        <f>(J64-I64)/J64</f>
        <v>0.4931679604</v>
      </c>
      <c r="L64" s="34">
        <f>J64-I64</f>
        <v>64802.27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5.0</v>
      </c>
      <c r="F69" s="65"/>
      <c r="G69" s="66">
        <f t="shared" si="4"/>
        <v>5</v>
      </c>
      <c r="H69" s="60">
        <f t="shared" si="2"/>
        <v>7243.15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3.0</v>
      </c>
      <c r="F70" s="65"/>
      <c r="G70" s="66">
        <f t="shared" si="4"/>
        <v>3</v>
      </c>
      <c r="H70" s="60">
        <f t="shared" si="2"/>
        <v>35010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2.0</v>
      </c>
      <c r="F80" s="65"/>
      <c r="G80" s="66">
        <f t="shared" si="4"/>
        <v>2</v>
      </c>
      <c r="H80" s="60">
        <f t="shared" si="2"/>
        <v>3482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2.0</v>
      </c>
      <c r="F84" s="65"/>
      <c r="G84" s="66">
        <f t="shared" si="4"/>
        <v>2</v>
      </c>
      <c r="H84" s="60">
        <f t="shared" si="2"/>
        <v>470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3.0</v>
      </c>
      <c r="F86" s="65"/>
      <c r="G86" s="66">
        <f t="shared" si="4"/>
        <v>3</v>
      </c>
      <c r="H86" s="60">
        <f t="shared" si="2"/>
        <v>748.5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3.0</v>
      </c>
      <c r="F87" s="65"/>
      <c r="G87" s="66">
        <f t="shared" si="4"/>
        <v>3</v>
      </c>
      <c r="H87" s="60">
        <f t="shared" si="2"/>
        <v>624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2.0</v>
      </c>
      <c r="F90" s="65"/>
      <c r="G90" s="66">
        <f t="shared" si="4"/>
        <v>2</v>
      </c>
      <c r="H90" s="60">
        <f t="shared" si="2"/>
        <v>4129.68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795126.96</v>
      </c>
      <c r="J126" s="76">
        <f t="shared" si="6"/>
        <v>1264179</v>
      </c>
      <c r="K126" s="76"/>
      <c r="L126" s="76">
        <f>SUM(L2:L125)</f>
        <v>469052.04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'01062026'!$I$130:$J$158, 2, )</f>
        <v>8</v>
      </c>
      <c r="G131" s="100">
        <f>D131*F131</f>
        <v>560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8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8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8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1440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'01062026'!$I$130:$J$158, 2, )</f>
        <v>4</v>
      </c>
      <c r="G136" s="100">
        <f>D136*F136</f>
        <v>520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4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4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720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'01062026'!$I$130:$J$158, 2, )</f>
        <v>6</v>
      </c>
      <c r="G140" s="100">
        <f>D140*F140</f>
        <v>780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6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6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1080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120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'01062026'!$I$130:$J$158,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'01062026'!$I$130:$J$158, 2, )</f>
        <v>1</v>
      </c>
      <c r="G147" s="101">
        <f>D147*F147</f>
        <v>260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1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1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'01062026'!$I$130:$J$158,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'01062026'!$I$130:$J$158, 2, )</f>
        <v>0</v>
      </c>
      <c r="G154" s="101">
        <f>D154*F154</f>
        <v>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0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0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0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'01062026'!$I$130:$J$158, 2, )</f>
        <v>4</v>
      </c>
      <c r="G159" s="101">
        <f>D159*F159</f>
        <v>8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4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4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720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4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12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12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20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'01062026'!$I$130:$J$158, 2, )</f>
        <v>8</v>
      </c>
      <c r="G167" s="101">
        <f>D167*F167</f>
        <v>8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8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4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8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'01062026'!$I$130:$J$158,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'01062026'!$I$130:$J$158, 2, )</f>
        <v>1</v>
      </c>
      <c r="G175" s="101">
        <f t="shared" si="7"/>
        <v>65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'01062026'!$I$130:$J$158,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'01062026'!$I$130:$J$158, 2, )</f>
        <v>31</v>
      </c>
      <c r="G177" s="101">
        <f t="shared" si="7"/>
        <v>31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310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31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31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5580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31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'01062026'!$I$130:$J$158, 2, )</f>
        <v>3</v>
      </c>
      <c r="G183" s="101">
        <f>D183*F183</f>
        <v>3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3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3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3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540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3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'01062026'!$I$130:$J$158,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'01062026'!$I$130:$J$158,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'01062026'!$I$130:$J$158,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'01062026'!$I$130:$J$158, 2, )</f>
        <v>3</v>
      </c>
      <c r="G211" s="100">
        <f>D211*F211</f>
        <v>4.5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75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150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540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375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3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3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'01062026'!$I$130:$J$158,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'01062026'!$I$130:$J$158, 2, )</f>
        <v>24</v>
      </c>
      <c r="G227" s="115">
        <f>D227*F227</f>
        <v>1.608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480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1200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4320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24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24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'01062026'!$I$130:$J$158,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'01062026'!$I$130:$J$158, 2, )</f>
        <v>8</v>
      </c>
      <c r="G239" s="127">
        <f t="shared" ref="G239:G240" si="8">D239*F239</f>
        <v>8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'01062026'!$I$130:$J$158, 2, )</f>
        <v>3</v>
      </c>
      <c r="G240" s="134">
        <f t="shared" si="8"/>
        <v>202.5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22.5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351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3.75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390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6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3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30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15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300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45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45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30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15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30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'01062026'!$I$130:$J$158, 2, )</f>
        <v>1</v>
      </c>
      <c r="G255" s="144">
        <f>D255*F255</f>
        <v>67.5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7.5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117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1.25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70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2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1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10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100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15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15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10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1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10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'01062026'!$I$130:$J$158, 2, )</f>
        <v>8</v>
      </c>
      <c r="G271" s="134">
        <f>D271*F271</f>
        <v>540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60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936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10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8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16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8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80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40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800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120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120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80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40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8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80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1.0</v>
      </c>
      <c r="F2" s="29"/>
      <c r="G2" s="30">
        <f t="shared" ref="G2:G32" si="1">sum(E2:F2)</f>
        <v>1</v>
      </c>
      <c r="H2" s="28">
        <f t="shared" ref="H2:H125" si="2">D2*G2</f>
        <v>8805.63</v>
      </c>
      <c r="I2" s="31">
        <f>sum(H2:H32)</f>
        <v>327454.06</v>
      </c>
      <c r="J2" s="32">
        <v>518916.0</v>
      </c>
      <c r="K2" s="33">
        <f>(J2-I2)/J2</f>
        <v>0.368965189</v>
      </c>
      <c r="L2" s="34">
        <f>J2-I2</f>
        <v>191461.94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16.0</v>
      </c>
      <c r="F7" s="39"/>
      <c r="G7" s="40">
        <f t="shared" si="1"/>
        <v>16</v>
      </c>
      <c r="H7" s="38">
        <f t="shared" si="2"/>
        <v>23178.08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3.0</v>
      </c>
      <c r="F8" s="39"/>
      <c r="G8" s="40">
        <f t="shared" si="1"/>
        <v>3</v>
      </c>
      <c r="H8" s="38">
        <f t="shared" si="2"/>
        <v>35010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8.0</v>
      </c>
      <c r="F9" s="39"/>
      <c r="G9" s="40">
        <f t="shared" si="1"/>
        <v>8</v>
      </c>
      <c r="H9" s="38">
        <f t="shared" si="2"/>
        <v>74801.28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0.0</v>
      </c>
      <c r="F10" s="39"/>
      <c r="G10" s="40">
        <f t="shared" si="1"/>
        <v>0</v>
      </c>
      <c r="H10" s="38">
        <f t="shared" si="2"/>
        <v>0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10.0</v>
      </c>
      <c r="F11" s="39"/>
      <c r="G11" s="40">
        <f t="shared" si="1"/>
        <v>10</v>
      </c>
      <c r="H11" s="38">
        <f t="shared" si="2"/>
        <v>74452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1.0</v>
      </c>
      <c r="F13" s="39"/>
      <c r="G13" s="40">
        <f t="shared" si="1"/>
        <v>1</v>
      </c>
      <c r="H13" s="38">
        <f t="shared" si="2"/>
        <v>14155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1.0</v>
      </c>
      <c r="F15" s="39"/>
      <c r="G15" s="40">
        <f t="shared" si="1"/>
        <v>1</v>
      </c>
      <c r="H15" s="38">
        <f t="shared" si="2"/>
        <v>9229.59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1.0</v>
      </c>
      <c r="F16" s="39"/>
      <c r="G16" s="40">
        <f t="shared" si="1"/>
        <v>1</v>
      </c>
      <c r="H16" s="38">
        <f t="shared" si="2"/>
        <v>11550.16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1.0</v>
      </c>
      <c r="F17" s="39"/>
      <c r="G17" s="40">
        <f t="shared" si="1"/>
        <v>1</v>
      </c>
      <c r="H17" s="38">
        <f t="shared" si="2"/>
        <v>9300.16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4.0</v>
      </c>
      <c r="F18" s="39"/>
      <c r="G18" s="40">
        <f t="shared" si="1"/>
        <v>4</v>
      </c>
      <c r="H18" s="38">
        <f t="shared" si="2"/>
        <v>6964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9.0</v>
      </c>
      <c r="F22" s="43"/>
      <c r="G22" s="40">
        <f t="shared" si="1"/>
        <v>9</v>
      </c>
      <c r="H22" s="38">
        <f t="shared" si="2"/>
        <v>2115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13.0</v>
      </c>
      <c r="F23" s="43"/>
      <c r="G23" s="40">
        <f t="shared" si="1"/>
        <v>13</v>
      </c>
      <c r="H23" s="38">
        <f t="shared" si="2"/>
        <v>3848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13.0</v>
      </c>
      <c r="F24" s="43"/>
      <c r="G24" s="40">
        <f t="shared" si="1"/>
        <v>13</v>
      </c>
      <c r="H24" s="38">
        <f t="shared" si="2"/>
        <v>3243.5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25.0</v>
      </c>
      <c r="F25" s="43"/>
      <c r="G25" s="40">
        <f t="shared" si="1"/>
        <v>25</v>
      </c>
      <c r="H25" s="38">
        <f t="shared" si="2"/>
        <v>5200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3.0</v>
      </c>
      <c r="F28" s="43"/>
      <c r="G28" s="40">
        <f t="shared" si="1"/>
        <v>3</v>
      </c>
      <c r="H28" s="38">
        <f t="shared" si="2"/>
        <v>6194.52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1.0</v>
      </c>
      <c r="F32" s="53"/>
      <c r="G32" s="54">
        <f t="shared" si="1"/>
        <v>1</v>
      </c>
      <c r="H32" s="52">
        <f t="shared" si="2"/>
        <v>14616.31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>
        <v>0.0</v>
      </c>
      <c r="G33" s="57">
        <f t="shared" ref="G33:G63" si="3">SUM(E33:F33)</f>
        <v>0</v>
      </c>
      <c r="H33" s="58">
        <f t="shared" si="2"/>
        <v>0</v>
      </c>
      <c r="I33" s="31">
        <f>sum(H33:H63)</f>
        <v>336887.73</v>
      </c>
      <c r="J33" s="32">
        <v>566241.0</v>
      </c>
      <c r="K33" s="33">
        <f>(J33-I33)/J33</f>
        <v>0.4050453252</v>
      </c>
      <c r="L33" s="34">
        <f>J33-I33</f>
        <v>229353.27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>
        <v>0.0</v>
      </c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0.0</v>
      </c>
      <c r="F35" s="39">
        <v>0.0</v>
      </c>
      <c r="G35" s="59">
        <f t="shared" si="3"/>
        <v>0</v>
      </c>
      <c r="H35" s="60">
        <f t="shared" si="2"/>
        <v>0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>
        <v>0.0</v>
      </c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1.0</v>
      </c>
      <c r="F37" s="39">
        <v>0.0</v>
      </c>
      <c r="G37" s="59">
        <f t="shared" si="3"/>
        <v>1</v>
      </c>
      <c r="H37" s="60">
        <f t="shared" si="2"/>
        <v>3748.21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12.0</v>
      </c>
      <c r="F38" s="39">
        <v>0.0</v>
      </c>
      <c r="G38" s="59">
        <f t="shared" si="3"/>
        <v>12</v>
      </c>
      <c r="H38" s="60">
        <f t="shared" si="2"/>
        <v>17383.56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3.0</v>
      </c>
      <c r="F39" s="39">
        <v>0.0</v>
      </c>
      <c r="G39" s="59">
        <f t="shared" si="3"/>
        <v>3</v>
      </c>
      <c r="H39" s="60">
        <f t="shared" si="2"/>
        <v>35010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4.0</v>
      </c>
      <c r="F40" s="39">
        <v>0.0</v>
      </c>
      <c r="G40" s="59">
        <f t="shared" si="3"/>
        <v>4</v>
      </c>
      <c r="H40" s="60">
        <f t="shared" si="2"/>
        <v>37400.64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1.0</v>
      </c>
      <c r="F41" s="39">
        <v>0.0</v>
      </c>
      <c r="G41" s="59">
        <f t="shared" si="3"/>
        <v>1</v>
      </c>
      <c r="H41" s="60">
        <f t="shared" si="2"/>
        <v>9990.16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10.0</v>
      </c>
      <c r="F42" s="39">
        <v>1.0</v>
      </c>
      <c r="G42" s="59">
        <f t="shared" si="3"/>
        <v>11</v>
      </c>
      <c r="H42" s="60">
        <f t="shared" si="2"/>
        <v>81897.2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>
        <v>0.0</v>
      </c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>
        <v>0.0</v>
      </c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>
        <v>0.0</v>
      </c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3.0</v>
      </c>
      <c r="F46" s="39">
        <v>0.0</v>
      </c>
      <c r="G46" s="59">
        <f t="shared" si="3"/>
        <v>3</v>
      </c>
      <c r="H46" s="60">
        <f t="shared" si="2"/>
        <v>27688.77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>
        <v>0.0</v>
      </c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3.0</v>
      </c>
      <c r="F48" s="39">
        <v>1.0</v>
      </c>
      <c r="G48" s="59">
        <f t="shared" si="3"/>
        <v>4</v>
      </c>
      <c r="H48" s="60">
        <f t="shared" si="2"/>
        <v>37200.64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2.0</v>
      </c>
      <c r="F49" s="39">
        <v>0.0</v>
      </c>
      <c r="G49" s="59">
        <f t="shared" si="3"/>
        <v>2</v>
      </c>
      <c r="H49" s="60">
        <f t="shared" si="2"/>
        <v>3482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2.0</v>
      </c>
      <c r="F50" s="43">
        <v>0.0</v>
      </c>
      <c r="G50" s="59">
        <f t="shared" si="3"/>
        <v>2</v>
      </c>
      <c r="H50" s="60">
        <f t="shared" si="2"/>
        <v>4400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3.0</v>
      </c>
      <c r="F51" s="43">
        <v>1.0</v>
      </c>
      <c r="G51" s="59">
        <f t="shared" si="3"/>
        <v>4</v>
      </c>
      <c r="H51" s="60">
        <f t="shared" si="2"/>
        <v>11500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>
        <v>1.0</v>
      </c>
      <c r="G52" s="59">
        <f t="shared" si="3"/>
        <v>1</v>
      </c>
      <c r="H52" s="60">
        <f t="shared" si="2"/>
        <v>2113.16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7.0</v>
      </c>
      <c r="F53" s="43">
        <v>3.0</v>
      </c>
      <c r="G53" s="59">
        <f t="shared" si="3"/>
        <v>10</v>
      </c>
      <c r="H53" s="60">
        <f t="shared" si="2"/>
        <v>2350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7.0</v>
      </c>
      <c r="F54" s="43">
        <v>2.0</v>
      </c>
      <c r="G54" s="59">
        <f t="shared" si="3"/>
        <v>9</v>
      </c>
      <c r="H54" s="60">
        <f t="shared" si="2"/>
        <v>2664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8.0</v>
      </c>
      <c r="F55" s="43">
        <v>2.0</v>
      </c>
      <c r="G55" s="59">
        <f t="shared" si="3"/>
        <v>10</v>
      </c>
      <c r="H55" s="60">
        <f t="shared" si="2"/>
        <v>2495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21.0</v>
      </c>
      <c r="F56" s="43">
        <v>3.0</v>
      </c>
      <c r="G56" s="59">
        <f t="shared" si="3"/>
        <v>24</v>
      </c>
      <c r="H56" s="60">
        <f t="shared" si="2"/>
        <v>4992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1.0</v>
      </c>
      <c r="F57" s="43">
        <v>0.0</v>
      </c>
      <c r="G57" s="59">
        <f t="shared" si="3"/>
        <v>1</v>
      </c>
      <c r="H57" s="60">
        <f t="shared" si="2"/>
        <v>2446.08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1.0</v>
      </c>
      <c r="F58" s="43">
        <v>0.0</v>
      </c>
      <c r="G58" s="59">
        <f t="shared" si="3"/>
        <v>1</v>
      </c>
      <c r="H58" s="60">
        <f t="shared" si="2"/>
        <v>4095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>
        <v>0.0</v>
      </c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>
        <v>0.0</v>
      </c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>
        <v>0.0</v>
      </c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>
        <v>0.0</v>
      </c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1.0</v>
      </c>
      <c r="F63" s="53">
        <v>0.0</v>
      </c>
      <c r="G63" s="61">
        <f t="shared" si="3"/>
        <v>1</v>
      </c>
      <c r="H63" s="62">
        <f t="shared" si="2"/>
        <v>14616.31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62930.48</v>
      </c>
      <c r="J64" s="32">
        <v>117897.0</v>
      </c>
      <c r="K64" s="33">
        <f>(J64-I64)/J64</f>
        <v>0.4662249251</v>
      </c>
      <c r="L64" s="34">
        <f>J64-I64</f>
        <v>54966.52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4.0</v>
      </c>
      <c r="F69" s="65"/>
      <c r="G69" s="66">
        <f t="shared" si="4"/>
        <v>4</v>
      </c>
      <c r="H69" s="60">
        <f t="shared" si="2"/>
        <v>5794.52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1.0</v>
      </c>
      <c r="F70" s="65"/>
      <c r="G70" s="66">
        <f t="shared" si="4"/>
        <v>1</v>
      </c>
      <c r="H70" s="60">
        <f t="shared" si="2"/>
        <v>11670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4.0</v>
      </c>
      <c r="F73" s="65"/>
      <c r="G73" s="66">
        <f t="shared" si="4"/>
        <v>4</v>
      </c>
      <c r="H73" s="60">
        <f t="shared" si="2"/>
        <v>29780.8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1.0</v>
      </c>
      <c r="F78" s="65"/>
      <c r="G78" s="66">
        <f t="shared" si="4"/>
        <v>1</v>
      </c>
      <c r="H78" s="60">
        <f t="shared" si="2"/>
        <v>11550.16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3.0</v>
      </c>
      <c r="F84" s="65"/>
      <c r="G84" s="66">
        <f t="shared" si="4"/>
        <v>3</v>
      </c>
      <c r="H84" s="60">
        <f t="shared" si="2"/>
        <v>705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4.0</v>
      </c>
      <c r="F85" s="65"/>
      <c r="G85" s="66">
        <f t="shared" si="4"/>
        <v>4</v>
      </c>
      <c r="H85" s="60">
        <f t="shared" si="2"/>
        <v>1184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4.0</v>
      </c>
      <c r="F86" s="65"/>
      <c r="G86" s="66">
        <f t="shared" si="4"/>
        <v>4</v>
      </c>
      <c r="H86" s="60">
        <f t="shared" si="2"/>
        <v>998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6.0</v>
      </c>
      <c r="F87" s="65"/>
      <c r="G87" s="66">
        <f t="shared" si="4"/>
        <v>6</v>
      </c>
      <c r="H87" s="60">
        <f t="shared" si="2"/>
        <v>1248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727272.27</v>
      </c>
      <c r="J126" s="76">
        <f t="shared" si="6"/>
        <v>1203054</v>
      </c>
      <c r="K126" s="76"/>
      <c r="L126" s="76">
        <f>SUM(L2:L125)</f>
        <v>475781.73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'31052026'!$I$130:$J$158, 2, )</f>
        <v>7</v>
      </c>
      <c r="G131" s="100">
        <f>D131*F131</f>
        <v>490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7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7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7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1260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'31052026'!$I$130:$J$158, 2, )</f>
        <v>12</v>
      </c>
      <c r="G136" s="100">
        <f>D136*F136</f>
        <v>1560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12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12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2160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'31052026'!$I$130:$J$158, 2, )</f>
        <v>1</v>
      </c>
      <c r="G140" s="100">
        <f>D140*F140</f>
        <v>130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1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1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180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20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'31052026'!$I$130:$J$158,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'31052026'!$I$130:$J$158, 2, )</f>
        <v>2</v>
      </c>
      <c r="G147" s="101">
        <f>D147*F147</f>
        <v>520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2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2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'31052026'!$I$130:$J$158,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'31052026'!$I$130:$J$158, 2, )</f>
        <v>2</v>
      </c>
      <c r="G154" s="101">
        <f>D154*F154</f>
        <v>260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2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2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360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2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'31052026'!$I$130:$J$158, 2, )</f>
        <v>4</v>
      </c>
      <c r="G159" s="101">
        <f>D159*F159</f>
        <v>8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4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4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720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4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12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12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20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'31052026'!$I$130:$J$158, 2, )</f>
        <v>6</v>
      </c>
      <c r="G167" s="101">
        <f>D167*F167</f>
        <v>6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6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3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6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'31052026'!$I$130:$J$158,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2</v>
      </c>
      <c r="G173" s="101">
        <f t="shared" ref="G173:G177" si="7">D173*F173</f>
        <v>2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4</v>
      </c>
      <c r="G174" s="101">
        <f t="shared" si="7"/>
        <v>4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'31052026'!$I$130:$J$158, 2, )</f>
        <v>1</v>
      </c>
      <c r="G175" s="101">
        <f t="shared" si="7"/>
        <v>65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'31052026'!$I$130:$J$158, 2, )</f>
        <v>1</v>
      </c>
      <c r="G176" s="101">
        <f t="shared" si="7"/>
        <v>35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'31052026'!$I$130:$J$158, 2, )</f>
        <v>25</v>
      </c>
      <c r="G177" s="101">
        <f t="shared" si="7"/>
        <v>25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250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25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25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4500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25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'31052026'!$I$130:$J$158, 2, )</f>
        <v>5</v>
      </c>
      <c r="G183" s="101">
        <f>D183*F183</f>
        <v>5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5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5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5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900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5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'31052026'!$I$130:$J$158, 2, )</f>
        <v>1</v>
      </c>
      <c r="G189" s="101">
        <f>D189*F189</f>
        <v>4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15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50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180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125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1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1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'31052026'!$I$130:$J$158,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'31052026'!$I$130:$J$158, 2, )</f>
        <v>0</v>
      </c>
      <c r="G203" s="100">
        <f>D203*F203</f>
        <v>0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0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0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0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'31052026'!$I$130:$J$158, 2, )</f>
        <v>2</v>
      </c>
      <c r="G211" s="100">
        <f>D211*F211</f>
        <v>3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50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360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250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2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2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'31052026'!$I$130:$J$158,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'31052026'!$I$130:$J$158, 2, )</f>
        <v>32</v>
      </c>
      <c r="G227" s="115">
        <f>D227*F227</f>
        <v>2.144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640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1600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5760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32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32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'31052026'!$I$130:$J$158,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'31052026'!$I$130:$J$158, 2, )</f>
        <v>3</v>
      </c>
      <c r="G239" s="127">
        <f t="shared" ref="G239:G240" si="8">D239*F239</f>
        <v>3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'31052026'!$I$130:$J$158,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'31052026'!$I$130:$J$158, 2, )</f>
        <v>2</v>
      </c>
      <c r="G255" s="144">
        <f>D255*F255</f>
        <v>135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15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234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2.5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140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4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2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20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200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30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30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20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2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20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'31052026'!$I$130:$J$158, 2, )</f>
        <v>2</v>
      </c>
      <c r="G271" s="134">
        <f>D271*F271</f>
        <v>135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15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234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2.5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2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4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2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20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200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30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30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20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2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20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8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96506.74</v>
      </c>
      <c r="J2" s="32">
        <v>87537.0</v>
      </c>
      <c r="K2" s="33">
        <f>(J2-I2)/J2</f>
        <v>-0.102467985</v>
      </c>
      <c r="L2" s="34">
        <f>J2-I2</f>
        <v>-8969.74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0.0</v>
      </c>
      <c r="F6" s="39"/>
      <c r="G6" s="40">
        <f t="shared" si="1"/>
        <v>0</v>
      </c>
      <c r="H6" s="38">
        <f t="shared" si="2"/>
        <v>0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4.0</v>
      </c>
      <c r="F7" s="39"/>
      <c r="G7" s="40">
        <f t="shared" si="1"/>
        <v>4</v>
      </c>
      <c r="H7" s="38">
        <f t="shared" si="2"/>
        <v>5794.52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0.0</v>
      </c>
      <c r="F8" s="39"/>
      <c r="G8" s="40">
        <f t="shared" si="1"/>
        <v>0</v>
      </c>
      <c r="H8" s="38">
        <f t="shared" si="2"/>
        <v>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4.0</v>
      </c>
      <c r="F9" s="39"/>
      <c r="G9" s="40">
        <f t="shared" si="1"/>
        <v>4</v>
      </c>
      <c r="H9" s="38">
        <f t="shared" si="2"/>
        <v>37400.64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2.0</v>
      </c>
      <c r="F11" s="39"/>
      <c r="G11" s="40">
        <f t="shared" si="1"/>
        <v>2</v>
      </c>
      <c r="H11" s="38">
        <f t="shared" si="2"/>
        <v>14890.4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0.0</v>
      </c>
      <c r="F17" s="39"/>
      <c r="G17" s="40">
        <f t="shared" si="1"/>
        <v>0</v>
      </c>
      <c r="H17" s="38">
        <f t="shared" si="2"/>
        <v>0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2.0</v>
      </c>
      <c r="F18" s="39"/>
      <c r="G18" s="40">
        <f t="shared" si="1"/>
        <v>2</v>
      </c>
      <c r="H18" s="38">
        <f t="shared" si="2"/>
        <v>3482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0.0</v>
      </c>
      <c r="F20" s="43"/>
      <c r="G20" s="40">
        <f t="shared" si="1"/>
        <v>0</v>
      </c>
      <c r="H20" s="38">
        <f t="shared" si="2"/>
        <v>0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3.0</v>
      </c>
      <c r="F22" s="43"/>
      <c r="G22" s="40">
        <f t="shared" si="1"/>
        <v>3</v>
      </c>
      <c r="H22" s="38">
        <f t="shared" si="2"/>
        <v>705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4.0</v>
      </c>
      <c r="F23" s="43"/>
      <c r="G23" s="40">
        <f t="shared" si="1"/>
        <v>4</v>
      </c>
      <c r="H23" s="38">
        <f t="shared" si="2"/>
        <v>1184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7.0</v>
      </c>
      <c r="F24" s="43"/>
      <c r="G24" s="40">
        <f t="shared" si="1"/>
        <v>7</v>
      </c>
      <c r="H24" s="38">
        <f t="shared" si="2"/>
        <v>1746.5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6.0</v>
      </c>
      <c r="F25" s="43"/>
      <c r="G25" s="40">
        <f t="shared" si="1"/>
        <v>6</v>
      </c>
      <c r="H25" s="38">
        <f t="shared" si="2"/>
        <v>1248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3.0</v>
      </c>
      <c r="F28" s="43"/>
      <c r="G28" s="40">
        <f t="shared" si="1"/>
        <v>3</v>
      </c>
      <c r="H28" s="38">
        <f t="shared" si="2"/>
        <v>6194.52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1.0</v>
      </c>
      <c r="F29" s="47"/>
      <c r="G29" s="40">
        <f t="shared" si="1"/>
        <v>1</v>
      </c>
      <c r="H29" s="38">
        <f t="shared" si="2"/>
        <v>13871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0.0</v>
      </c>
      <c r="F30" s="47"/>
      <c r="G30" s="40">
        <f t="shared" si="1"/>
        <v>0</v>
      </c>
      <c r="H30" s="38">
        <f t="shared" si="2"/>
        <v>0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265053.31</v>
      </c>
      <c r="J33" s="32">
        <v>432112.0</v>
      </c>
      <c r="K33" s="33">
        <f>(J33-I33)/J33</f>
        <v>0.3866096984</v>
      </c>
      <c r="L33" s="34">
        <f>J33-I33</f>
        <v>167058.69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2.0</v>
      </c>
      <c r="F35" s="39"/>
      <c r="G35" s="59">
        <f t="shared" si="3"/>
        <v>2</v>
      </c>
      <c r="H35" s="60">
        <f t="shared" si="2"/>
        <v>12027.26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1.0</v>
      </c>
      <c r="F36" s="39"/>
      <c r="G36" s="59">
        <f t="shared" si="3"/>
        <v>1</v>
      </c>
      <c r="H36" s="60">
        <f t="shared" si="2"/>
        <v>7131.43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6.0</v>
      </c>
      <c r="F38" s="39"/>
      <c r="G38" s="59">
        <f t="shared" si="3"/>
        <v>6</v>
      </c>
      <c r="H38" s="60">
        <f t="shared" si="2"/>
        <v>8691.78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3.0</v>
      </c>
      <c r="F39" s="39"/>
      <c r="G39" s="59">
        <f t="shared" si="3"/>
        <v>3</v>
      </c>
      <c r="H39" s="60">
        <f t="shared" si="2"/>
        <v>35010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1.0</v>
      </c>
      <c r="F40" s="39"/>
      <c r="G40" s="59">
        <f t="shared" si="3"/>
        <v>1</v>
      </c>
      <c r="H40" s="60">
        <f t="shared" si="2"/>
        <v>9350.16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/>
      <c r="G41" s="59">
        <f t="shared" si="3"/>
        <v>2</v>
      </c>
      <c r="H41" s="60">
        <f t="shared" si="2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4.0</v>
      </c>
      <c r="F42" s="39"/>
      <c r="G42" s="59">
        <f t="shared" si="3"/>
        <v>4</v>
      </c>
      <c r="H42" s="60">
        <f t="shared" si="2"/>
        <v>29780.8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0.0</v>
      </c>
      <c r="F44" s="39"/>
      <c r="G44" s="59">
        <f t="shared" si="3"/>
        <v>0</v>
      </c>
      <c r="H44" s="60">
        <f t="shared" si="2"/>
        <v>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2.0</v>
      </c>
      <c r="F45" s="39"/>
      <c r="G45" s="59">
        <f t="shared" si="3"/>
        <v>2</v>
      </c>
      <c r="H45" s="60">
        <f t="shared" si="2"/>
        <v>30870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2.0</v>
      </c>
      <c r="F48" s="39"/>
      <c r="G48" s="59">
        <f t="shared" si="3"/>
        <v>2</v>
      </c>
      <c r="H48" s="60">
        <f t="shared" si="2"/>
        <v>18600.32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1.0</v>
      </c>
      <c r="F50" s="43"/>
      <c r="G50" s="59">
        <f t="shared" si="3"/>
        <v>1</v>
      </c>
      <c r="H50" s="60">
        <f t="shared" si="2"/>
        <v>2200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/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5.0</v>
      </c>
      <c r="F53" s="43"/>
      <c r="G53" s="59">
        <f t="shared" si="3"/>
        <v>5</v>
      </c>
      <c r="H53" s="60">
        <f t="shared" si="2"/>
        <v>1175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8.0</v>
      </c>
      <c r="F54" s="43"/>
      <c r="G54" s="59">
        <f t="shared" si="3"/>
        <v>8</v>
      </c>
      <c r="H54" s="60">
        <f t="shared" si="2"/>
        <v>2368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14.0</v>
      </c>
      <c r="F55" s="43"/>
      <c r="G55" s="59">
        <f t="shared" si="3"/>
        <v>14</v>
      </c>
      <c r="H55" s="60">
        <f t="shared" si="2"/>
        <v>3493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13.0</v>
      </c>
      <c r="F56" s="43"/>
      <c r="G56" s="59">
        <f t="shared" si="3"/>
        <v>13</v>
      </c>
      <c r="H56" s="60">
        <f t="shared" si="2"/>
        <v>2704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1.0</v>
      </c>
      <c r="F59" s="43"/>
      <c r="G59" s="59">
        <f t="shared" si="3"/>
        <v>1</v>
      </c>
      <c r="H59" s="60">
        <f t="shared" si="2"/>
        <v>2064.84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3.0</v>
      </c>
      <c r="F61" s="47"/>
      <c r="G61" s="59">
        <f t="shared" si="3"/>
        <v>3</v>
      </c>
      <c r="H61" s="60">
        <f t="shared" si="2"/>
        <v>31563.93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1.0</v>
      </c>
      <c r="F63" s="53"/>
      <c r="G63" s="61">
        <f t="shared" si="3"/>
        <v>1</v>
      </c>
      <c r="H63" s="62">
        <f t="shared" si="2"/>
        <v>14616.31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134033.18</v>
      </c>
      <c r="J64" s="32">
        <v>269239.0</v>
      </c>
      <c r="K64" s="33">
        <f>(J64-I64)/J64</f>
        <v>0.5021776934</v>
      </c>
      <c r="L64" s="34">
        <f>J64-I64</f>
        <v>135205.82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8.0</v>
      </c>
      <c r="F69" s="65"/>
      <c r="G69" s="66">
        <f t="shared" si="4"/>
        <v>8</v>
      </c>
      <c r="H69" s="60">
        <f t="shared" si="2"/>
        <v>11589.04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2.0</v>
      </c>
      <c r="F70" s="65"/>
      <c r="G70" s="66">
        <f t="shared" si="4"/>
        <v>2</v>
      </c>
      <c r="H70" s="60">
        <f t="shared" si="2"/>
        <v>23340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2.0</v>
      </c>
      <c r="F72" s="65"/>
      <c r="G72" s="66">
        <f t="shared" si="4"/>
        <v>2</v>
      </c>
      <c r="H72" s="60">
        <f t="shared" si="2"/>
        <v>19980.32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4.0</v>
      </c>
      <c r="F73" s="65"/>
      <c r="G73" s="66">
        <f t="shared" si="4"/>
        <v>4</v>
      </c>
      <c r="H73" s="60">
        <f t="shared" si="2"/>
        <v>29780.8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2.0</v>
      </c>
      <c r="F77" s="65"/>
      <c r="G77" s="66">
        <f t="shared" si="4"/>
        <v>2</v>
      </c>
      <c r="H77" s="60">
        <f t="shared" si="2"/>
        <v>18459.18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1.0</v>
      </c>
      <c r="F80" s="65"/>
      <c r="G80" s="66">
        <f t="shared" si="4"/>
        <v>1</v>
      </c>
      <c r="H80" s="60">
        <f t="shared" si="2"/>
        <v>1741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2.0</v>
      </c>
      <c r="F82" s="65"/>
      <c r="G82" s="66">
        <f t="shared" si="4"/>
        <v>2</v>
      </c>
      <c r="H82" s="60">
        <f t="shared" si="2"/>
        <v>5750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1.0</v>
      </c>
      <c r="F83" s="65"/>
      <c r="G83" s="66">
        <f t="shared" si="4"/>
        <v>1</v>
      </c>
      <c r="H83" s="60">
        <f t="shared" si="2"/>
        <v>2113.16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4.0</v>
      </c>
      <c r="F84" s="65"/>
      <c r="G84" s="66">
        <f t="shared" si="4"/>
        <v>4</v>
      </c>
      <c r="H84" s="60">
        <f t="shared" si="2"/>
        <v>940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2.0</v>
      </c>
      <c r="F85" s="65"/>
      <c r="G85" s="66">
        <f t="shared" si="4"/>
        <v>2</v>
      </c>
      <c r="H85" s="60">
        <f t="shared" si="2"/>
        <v>592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2.0</v>
      </c>
      <c r="F86" s="65"/>
      <c r="G86" s="66">
        <f t="shared" si="4"/>
        <v>2</v>
      </c>
      <c r="H86" s="60">
        <f t="shared" si="2"/>
        <v>499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6.0</v>
      </c>
      <c r="F87" s="65"/>
      <c r="G87" s="66">
        <f t="shared" si="4"/>
        <v>6</v>
      </c>
      <c r="H87" s="60">
        <f t="shared" si="2"/>
        <v>1248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2.0</v>
      </c>
      <c r="F90" s="65"/>
      <c r="G90" s="66">
        <f t="shared" si="4"/>
        <v>2</v>
      </c>
      <c r="H90" s="60">
        <f t="shared" si="2"/>
        <v>4129.68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1.0</v>
      </c>
      <c r="F91" s="67"/>
      <c r="G91" s="66">
        <f t="shared" si="4"/>
        <v>1</v>
      </c>
      <c r="H91" s="60">
        <f t="shared" si="2"/>
        <v>13871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/>
      <c r="C126" s="74"/>
      <c r="D126" s="74"/>
      <c r="E126" s="74"/>
      <c r="F126" s="74"/>
      <c r="G126" s="74"/>
      <c r="H126" s="75"/>
      <c r="I126" s="76">
        <f t="shared" ref="I126:J126" si="6">SUM(I2:I125)</f>
        <v>495593.23</v>
      </c>
      <c r="J126" s="76">
        <f t="shared" si="6"/>
        <v>788888</v>
      </c>
      <c r="K126" s="76"/>
      <c r="L126" s="76">
        <f>SUM(L2:L125)</f>
        <v>293294.77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'30052026'!$I$130:$J$158, 2, )</f>
        <v>5</v>
      </c>
      <c r="G131" s="100">
        <f>D131*F131</f>
        <v>350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5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5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5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900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'30052026'!$I$130:$J$158, 2, )</f>
        <v>5</v>
      </c>
      <c r="G136" s="100">
        <f>D136*F136</f>
        <v>650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5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5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900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'30052026'!$I$130:$J$158, 2, )</f>
        <v>5</v>
      </c>
      <c r="G140" s="100">
        <f>D140*F140</f>
        <v>650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5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5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900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100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'30052026'!$I$130:$J$158,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'30052026'!$I$130:$J$158, 2, )</f>
        <v>0</v>
      </c>
      <c r="G147" s="101">
        <f>D147*F147</f>
        <v>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0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0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'30052026'!$I$130:$J$158, 2, )</f>
        <v>2</v>
      </c>
      <c r="G150" s="101">
        <f>D150*F150</f>
        <v>520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2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2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80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'30052026'!$I$130:$J$158, 2, )</f>
        <v>1</v>
      </c>
      <c r="G154" s="101">
        <f>D154*F154</f>
        <v>130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1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1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180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1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'30052026'!$I$130:$J$158, 2, )</f>
        <v>2</v>
      </c>
      <c r="G159" s="101">
        <f>D159*F159</f>
        <v>4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2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2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360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2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6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6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10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'30052026'!$I$130:$J$158, 2, )</f>
        <v>4</v>
      </c>
      <c r="G167" s="101">
        <f>D167*F167</f>
        <v>4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4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2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4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'30052026'!$I$130:$J$158, 2, )</f>
        <v>1</v>
      </c>
      <c r="G171" s="101">
        <f>D171*F171</f>
        <v>180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1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1</v>
      </c>
      <c r="G173" s="101">
        <f t="shared" ref="G173:G177" si="7">D173*F173</f>
        <v>1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3</v>
      </c>
      <c r="G174" s="101">
        <f t="shared" si="7"/>
        <v>3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'30052026'!$I$130:$J$158,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'30052026'!$I$130:$J$158,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'30052026'!$I$130:$J$158, 2, )</f>
        <v>10</v>
      </c>
      <c r="G177" s="101">
        <f t="shared" si="7"/>
        <v>10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100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10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10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1800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10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'30052026'!$I$130:$J$158, 2, )</f>
        <v>2</v>
      </c>
      <c r="G183" s="101">
        <f>D183*F183</f>
        <v>2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2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2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2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360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2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'30052026'!$I$130:$J$158,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'30052026'!$I$130:$J$158,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'30052026'!$I$130:$J$158,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'30052026'!$I$130:$J$158, 2, )</f>
        <v>0</v>
      </c>
      <c r="G211" s="100">
        <f>D211*F211</f>
        <v>0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0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0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'30052026'!$I$130:$J$158, 2, )</f>
        <v>1</v>
      </c>
      <c r="G218" s="100">
        <f>D218*F218</f>
        <v>16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15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8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20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50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125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180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1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1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'30052026'!$I$130:$J$158, 2, )</f>
        <v>18</v>
      </c>
      <c r="G227" s="115">
        <f>D227*F227</f>
        <v>1.206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360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900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3240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18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18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'30052026'!$I$130:$J$158, 2, )</f>
        <v>2</v>
      </c>
      <c r="G233" s="123">
        <f>D233*F233</f>
        <v>140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2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2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2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360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2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'30052026'!$I$130:$J$158, 2, )</f>
        <v>6</v>
      </c>
      <c r="G239" s="127">
        <f t="shared" ref="G239:G240" si="8">D239*F239</f>
        <v>6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'30052026'!$I$130:$J$158,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'30052026'!$I$130:$J$158, 2, )</f>
        <v>1</v>
      </c>
      <c r="G255" s="144">
        <f>D255*F255</f>
        <v>67.5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7.5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117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1.25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70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2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1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10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5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100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15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15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10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5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1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10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'30052026'!$I$130:$J$158, 2, )</f>
        <v>3</v>
      </c>
      <c r="G271" s="134">
        <f>D271*F271</f>
        <v>202.5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22.5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351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3.75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3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6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3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30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300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45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45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30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3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30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13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176357.52</v>
      </c>
      <c r="J2" s="32">
        <v>329133.0</v>
      </c>
      <c r="K2" s="33">
        <f>(J2-I2)/J2</f>
        <v>0.4641755157</v>
      </c>
      <c r="L2" s="34">
        <f>J2-I2</f>
        <v>152775.48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2.0</v>
      </c>
      <c r="F6" s="39"/>
      <c r="G6" s="40">
        <f t="shared" si="1"/>
        <v>2</v>
      </c>
      <c r="H6" s="38">
        <f t="shared" si="2"/>
        <v>7496.42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6.0</v>
      </c>
      <c r="F7" s="39"/>
      <c r="G7" s="40">
        <f t="shared" si="1"/>
        <v>6</v>
      </c>
      <c r="H7" s="38">
        <f t="shared" si="2"/>
        <v>8691.78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1.0</v>
      </c>
      <c r="F8" s="39"/>
      <c r="G8" s="40">
        <f t="shared" si="1"/>
        <v>1</v>
      </c>
      <c r="H8" s="38">
        <f t="shared" si="2"/>
        <v>11670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5.0</v>
      </c>
      <c r="F9" s="39"/>
      <c r="G9" s="40">
        <f t="shared" si="1"/>
        <v>5</v>
      </c>
      <c r="H9" s="38">
        <f t="shared" si="2"/>
        <v>46750.8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2.0</v>
      </c>
      <c r="F11" s="39"/>
      <c r="G11" s="40">
        <f t="shared" si="1"/>
        <v>2</v>
      </c>
      <c r="H11" s="38">
        <f t="shared" si="2"/>
        <v>14890.4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2.0</v>
      </c>
      <c r="F15" s="39"/>
      <c r="G15" s="40">
        <f t="shared" si="1"/>
        <v>2</v>
      </c>
      <c r="H15" s="38">
        <f t="shared" si="2"/>
        <v>18459.18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1.0</v>
      </c>
      <c r="F16" s="39"/>
      <c r="G16" s="40">
        <f t="shared" si="1"/>
        <v>1</v>
      </c>
      <c r="H16" s="38">
        <f t="shared" si="2"/>
        <v>11550.16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1.0</v>
      </c>
      <c r="F17" s="39"/>
      <c r="G17" s="40">
        <f t="shared" si="1"/>
        <v>1</v>
      </c>
      <c r="H17" s="38">
        <f t="shared" si="2"/>
        <v>9300.16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4.0</v>
      </c>
      <c r="F18" s="39"/>
      <c r="G18" s="40">
        <f t="shared" si="1"/>
        <v>4</v>
      </c>
      <c r="H18" s="38">
        <f t="shared" si="2"/>
        <v>6964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2.0</v>
      </c>
      <c r="F22" s="43"/>
      <c r="G22" s="40">
        <f t="shared" si="1"/>
        <v>2</v>
      </c>
      <c r="H22" s="38">
        <f t="shared" si="2"/>
        <v>470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5.0</v>
      </c>
      <c r="F23" s="43"/>
      <c r="G23" s="40">
        <f t="shared" si="1"/>
        <v>5</v>
      </c>
      <c r="H23" s="38">
        <f t="shared" si="2"/>
        <v>1480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4.0</v>
      </c>
      <c r="F24" s="43"/>
      <c r="G24" s="40">
        <f t="shared" si="1"/>
        <v>4</v>
      </c>
      <c r="H24" s="38">
        <f t="shared" si="2"/>
        <v>998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8.0</v>
      </c>
      <c r="F25" s="43"/>
      <c r="G25" s="40">
        <f t="shared" si="1"/>
        <v>8</v>
      </c>
      <c r="H25" s="38">
        <f t="shared" si="2"/>
        <v>1664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1.0</v>
      </c>
      <c r="F28" s="43"/>
      <c r="G28" s="40">
        <f t="shared" si="1"/>
        <v>1</v>
      </c>
      <c r="H28" s="38">
        <f t="shared" si="2"/>
        <v>2064.84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0.0</v>
      </c>
      <c r="F32" s="53"/>
      <c r="G32" s="54">
        <f t="shared" si="1"/>
        <v>0</v>
      </c>
      <c r="H32" s="52">
        <f t="shared" si="2"/>
        <v>0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204216.01</v>
      </c>
      <c r="J33" s="32">
        <v>357846.0</v>
      </c>
      <c r="K33" s="33">
        <f>(J33-I33)/J33</f>
        <v>0.4293187293</v>
      </c>
      <c r="L33" s="34">
        <f>J33-I33</f>
        <v>153629.99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/>
      <c r="G35" s="59">
        <f t="shared" si="3"/>
        <v>1</v>
      </c>
      <c r="H35" s="60">
        <f t="shared" si="2"/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0.0</v>
      </c>
      <c r="F37" s="39"/>
      <c r="G37" s="59">
        <f t="shared" si="3"/>
        <v>0</v>
      </c>
      <c r="H37" s="60">
        <f t="shared" si="2"/>
        <v>0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10.0</v>
      </c>
      <c r="F38" s="39"/>
      <c r="G38" s="59">
        <f t="shared" si="3"/>
        <v>10</v>
      </c>
      <c r="H38" s="60">
        <f t="shared" si="2"/>
        <v>14486.3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2.0</v>
      </c>
      <c r="F39" s="39"/>
      <c r="G39" s="59">
        <f t="shared" si="3"/>
        <v>2</v>
      </c>
      <c r="H39" s="60">
        <f t="shared" si="2"/>
        <v>23340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1.0</v>
      </c>
      <c r="F40" s="39"/>
      <c r="G40" s="59">
        <f t="shared" si="3"/>
        <v>1</v>
      </c>
      <c r="H40" s="60">
        <f t="shared" si="2"/>
        <v>9350.16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/>
      <c r="G41" s="59">
        <f t="shared" si="3"/>
        <v>2</v>
      </c>
      <c r="H41" s="60">
        <f t="shared" si="2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8.0</v>
      </c>
      <c r="F42" s="39"/>
      <c r="G42" s="59">
        <f t="shared" si="3"/>
        <v>8</v>
      </c>
      <c r="H42" s="60">
        <f t="shared" si="2"/>
        <v>59561.6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1.0</v>
      </c>
      <c r="F43" s="39"/>
      <c r="G43" s="59">
        <f t="shared" si="3"/>
        <v>1</v>
      </c>
      <c r="H43" s="60">
        <f t="shared" si="2"/>
        <v>17260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2.0</v>
      </c>
      <c r="F44" s="39"/>
      <c r="G44" s="59">
        <f t="shared" si="3"/>
        <v>2</v>
      </c>
      <c r="H44" s="60">
        <f t="shared" si="2"/>
        <v>28310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1.0</v>
      </c>
      <c r="F45" s="39"/>
      <c r="G45" s="59">
        <f t="shared" si="3"/>
        <v>1</v>
      </c>
      <c r="H45" s="60">
        <f t="shared" si="2"/>
        <v>15435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0.0</v>
      </c>
      <c r="F47" s="39"/>
      <c r="G47" s="59">
        <f t="shared" si="3"/>
        <v>0</v>
      </c>
      <c r="H47" s="60">
        <f t="shared" si="2"/>
        <v>0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0.0</v>
      </c>
      <c r="F48" s="39"/>
      <c r="G48" s="59">
        <f t="shared" si="3"/>
        <v>0</v>
      </c>
      <c r="H48" s="60">
        <f t="shared" si="2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1.0</v>
      </c>
      <c r="F49" s="39"/>
      <c r="G49" s="59">
        <f t="shared" si="3"/>
        <v>1</v>
      </c>
      <c r="H49" s="60">
        <f t="shared" si="2"/>
        <v>1741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0.0</v>
      </c>
      <c r="F50" s="43"/>
      <c r="G50" s="59">
        <f t="shared" si="3"/>
        <v>0</v>
      </c>
      <c r="H50" s="60">
        <f t="shared" si="2"/>
        <v>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2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11.0</v>
      </c>
      <c r="F53" s="43"/>
      <c r="G53" s="59">
        <f t="shared" si="3"/>
        <v>11</v>
      </c>
      <c r="H53" s="60">
        <f t="shared" si="2"/>
        <v>2585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8.0</v>
      </c>
      <c r="F54" s="43"/>
      <c r="G54" s="59">
        <f t="shared" si="3"/>
        <v>8</v>
      </c>
      <c r="H54" s="60">
        <f t="shared" si="2"/>
        <v>2368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6.0</v>
      </c>
      <c r="F55" s="43"/>
      <c r="G55" s="59">
        <f t="shared" si="3"/>
        <v>6</v>
      </c>
      <c r="H55" s="60">
        <f t="shared" si="2"/>
        <v>1497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11.0</v>
      </c>
      <c r="F56" s="43"/>
      <c r="G56" s="59">
        <f t="shared" si="3"/>
        <v>11</v>
      </c>
      <c r="H56" s="60">
        <f t="shared" si="2"/>
        <v>2288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0.0</v>
      </c>
      <c r="F60" s="47"/>
      <c r="G60" s="59">
        <f t="shared" si="3"/>
        <v>0</v>
      </c>
      <c r="H60" s="60">
        <f t="shared" si="2"/>
        <v>0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0.0</v>
      </c>
      <c r="F61" s="47"/>
      <c r="G61" s="59">
        <f t="shared" si="3"/>
        <v>0</v>
      </c>
      <c r="H61" s="60">
        <f t="shared" si="2"/>
        <v>0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21917.34</v>
      </c>
      <c r="J64" s="32">
        <v>47951.0</v>
      </c>
      <c r="K64" s="33">
        <f>(J64-I64)/J64</f>
        <v>0.5429221497</v>
      </c>
      <c r="L64" s="34">
        <f>J64-I64</f>
        <v>26033.66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2.0</v>
      </c>
      <c r="F69" s="65"/>
      <c r="G69" s="66">
        <f t="shared" si="4"/>
        <v>2</v>
      </c>
      <c r="H69" s="60">
        <f t="shared" si="2"/>
        <v>2897.26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4"/>
        <v>0</v>
      </c>
      <c r="H72" s="60">
        <f t="shared" si="2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4"/>
        <v>0</v>
      </c>
      <c r="H75" s="60">
        <f t="shared" si="2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0.0</v>
      </c>
      <c r="F78" s="65"/>
      <c r="G78" s="66">
        <f t="shared" si="4"/>
        <v>0</v>
      </c>
      <c r="H78" s="60">
        <f t="shared" si="2"/>
        <v>0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0.0</v>
      </c>
      <c r="F84" s="65"/>
      <c r="G84" s="66">
        <f t="shared" si="4"/>
        <v>0</v>
      </c>
      <c r="H84" s="60">
        <f t="shared" si="2"/>
        <v>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0.0</v>
      </c>
      <c r="F85" s="65"/>
      <c r="G85" s="66">
        <f t="shared" si="4"/>
        <v>0</v>
      </c>
      <c r="H85" s="60">
        <f t="shared" si="2"/>
        <v>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0.0</v>
      </c>
      <c r="F86" s="65"/>
      <c r="G86" s="66">
        <f t="shared" si="4"/>
        <v>0</v>
      </c>
      <c r="H86" s="60">
        <f t="shared" si="2"/>
        <v>0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0.0</v>
      </c>
      <c r="F87" s="65"/>
      <c r="G87" s="66">
        <f t="shared" si="4"/>
        <v>0</v>
      </c>
      <c r="H87" s="60">
        <f t="shared" si="2"/>
        <v>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2.0</v>
      </c>
      <c r="F90" s="65"/>
      <c r="G90" s="66">
        <f t="shared" si="4"/>
        <v>2</v>
      </c>
      <c r="H90" s="60">
        <f t="shared" si="2"/>
        <v>4129.68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/>
      <c r="C126" s="74"/>
      <c r="D126" s="74"/>
      <c r="E126" s="74"/>
      <c r="F126" s="74"/>
      <c r="G126" s="74"/>
      <c r="H126" s="75"/>
      <c r="I126" s="76">
        <f t="shared" ref="I126:J126" si="6">SUM(I2:I125)</f>
        <v>402490.87</v>
      </c>
      <c r="J126" s="76">
        <f t="shared" si="6"/>
        <v>734930</v>
      </c>
      <c r="K126" s="76"/>
      <c r="L126" s="76">
        <f>SUM(L2:L125)</f>
        <v>332439.13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'29052026'!$I$130:$J$158, 2, )</f>
        <v>3</v>
      </c>
      <c r="G131" s="100">
        <f>D131*F131</f>
        <v>210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3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3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3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540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'29052026'!$I$130:$J$158, 2, )</f>
        <v>6</v>
      </c>
      <c r="G136" s="100">
        <f>D136*F136</f>
        <v>780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6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6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1080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'29052026'!$I$130:$J$158, 2, )</f>
        <v>3</v>
      </c>
      <c r="G140" s="100">
        <f>D140*F140</f>
        <v>390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3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3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540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60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'29052026'!$I$130:$J$158, 2, )</f>
        <v>1</v>
      </c>
      <c r="G145" s="101">
        <f>D145*F145</f>
        <v>140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1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'29052026'!$I$130:$J$158, 2, )</f>
        <v>2</v>
      </c>
      <c r="G147" s="101">
        <f>D147*F147</f>
        <v>520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2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2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'29052026'!$I$130:$J$158, 2, )</f>
        <v>1</v>
      </c>
      <c r="G150" s="101">
        <f>D150*F150</f>
        <v>260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1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1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40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'29052026'!$I$130:$J$158, 2, )</f>
        <v>1</v>
      </c>
      <c r="G154" s="101">
        <f>D154*F154</f>
        <v>130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1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1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180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1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'29052026'!$I$130:$J$158, 2, )</f>
        <v>2</v>
      </c>
      <c r="G159" s="101">
        <f>D159*F159</f>
        <v>4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2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2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360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2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6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6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10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'29052026'!$I$130:$J$158, 2, )</f>
        <v>5</v>
      </c>
      <c r="G167" s="101">
        <f>D167*F167</f>
        <v>5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5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2.5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5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'29052026'!$I$130:$J$158,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0</v>
      </c>
      <c r="G173" s="101">
        <f t="shared" ref="G173:G177" si="7">D173*F173</f>
        <v>0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1</v>
      </c>
      <c r="G174" s="101">
        <f t="shared" si="7"/>
        <v>1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'29052026'!$I$130:$J$158,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'29052026'!$I$130:$J$158,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'29052026'!$I$130:$J$158, 2, )</f>
        <v>12</v>
      </c>
      <c r="G177" s="101">
        <f t="shared" si="7"/>
        <v>12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120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12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12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2160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12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'29052026'!$I$130:$J$158, 2, )</f>
        <v>1</v>
      </c>
      <c r="G183" s="101">
        <f>D183*F183</f>
        <v>1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1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1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1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180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1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'29052026'!$I$130:$J$158,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'29052026'!$I$130:$J$158, 2, )</f>
        <v>0</v>
      </c>
      <c r="G196" s="100">
        <f>D196*F196</f>
        <v>0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0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0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0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0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'29052026'!$I$130:$J$158, 2, )</f>
        <v>1</v>
      </c>
      <c r="G203" s="100">
        <f>D203*F203</f>
        <v>16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15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8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50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125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180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1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1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'29052026'!$I$130:$J$158, 2, )</f>
        <v>2</v>
      </c>
      <c r="G211" s="100">
        <f>D211*F211</f>
        <v>3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50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360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250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2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2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'29052026'!$I$130:$J$158,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'29052026'!$I$130:$J$158, 2, )</f>
        <v>18</v>
      </c>
      <c r="G227" s="115">
        <f>D227*F227</f>
        <v>1.206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360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900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3240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18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18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'29052026'!$I$130:$J$158, 2, )</f>
        <v>0</v>
      </c>
      <c r="G233" s="123">
        <f>D233*F233</f>
        <v>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0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0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0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0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'29052026'!$I$130:$J$158, 2, )</f>
        <v>3</v>
      </c>
      <c r="G239" s="127">
        <f t="shared" ref="G239:G240" si="8">D239*F239</f>
        <v>3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'29052026'!$I$130:$J$158, 2, )</f>
        <v>0</v>
      </c>
      <c r="G240" s="134">
        <f t="shared" si="8"/>
        <v>0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0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0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0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0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0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0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0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0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0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'29052026'!$I$130:$J$158, 2, )</f>
        <v>0</v>
      </c>
      <c r="G255" s="144">
        <f>D255*F255</f>
        <v>0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0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0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0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0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0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0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'29052026'!$I$130:$J$158, 2, )</f>
        <v>2</v>
      </c>
      <c r="G271" s="134">
        <f>D271*F271</f>
        <v>135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15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234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2.5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2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4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2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20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10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200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30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30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20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10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2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20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13.0"/>
    <col customWidth="1" min="9" max="9" width="31.75"/>
    <col customWidth="1" min="10" max="10" width="20.75"/>
    <col customWidth="1" min="11" max="11" width="7.63"/>
    <col customWidth="1" min="12" max="12" width="12.5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125" si="2">D2*G2</f>
        <v>0</v>
      </c>
      <c r="I2" s="31">
        <f>sum(H2:H32)</f>
        <v>284281.81</v>
      </c>
      <c r="J2" s="32">
        <v>508157.0</v>
      </c>
      <c r="K2" s="33">
        <f>(J2-I2)/J2</f>
        <v>0.4405630347</v>
      </c>
      <c r="L2" s="34">
        <f>J2-I2</f>
        <v>223875.19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1.0</v>
      </c>
      <c r="F3" s="39"/>
      <c r="G3" s="40">
        <f t="shared" si="1"/>
        <v>1</v>
      </c>
      <c r="H3" s="38">
        <f t="shared" si="2"/>
        <v>8150.63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0.0</v>
      </c>
      <c r="F4" s="39"/>
      <c r="G4" s="40">
        <f t="shared" si="1"/>
        <v>0</v>
      </c>
      <c r="H4" s="38">
        <f t="shared" si="2"/>
        <v>0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8.0</v>
      </c>
      <c r="F7" s="39"/>
      <c r="G7" s="40">
        <f t="shared" si="1"/>
        <v>8</v>
      </c>
      <c r="H7" s="38">
        <f t="shared" si="2"/>
        <v>11589.04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3.0</v>
      </c>
      <c r="F8" s="39"/>
      <c r="G8" s="40">
        <f t="shared" si="1"/>
        <v>3</v>
      </c>
      <c r="H8" s="38">
        <f t="shared" si="2"/>
        <v>35010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3.0</v>
      </c>
      <c r="F9" s="39"/>
      <c r="G9" s="40">
        <f t="shared" si="1"/>
        <v>3</v>
      </c>
      <c r="H9" s="38">
        <f t="shared" si="2"/>
        <v>28050.48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2.0</v>
      </c>
      <c r="F10" s="39"/>
      <c r="G10" s="40">
        <f t="shared" si="1"/>
        <v>2</v>
      </c>
      <c r="H10" s="38">
        <f t="shared" si="2"/>
        <v>19980.32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8.0</v>
      </c>
      <c r="F11" s="39"/>
      <c r="G11" s="40">
        <f t="shared" si="1"/>
        <v>8</v>
      </c>
      <c r="H11" s="38">
        <f t="shared" si="2"/>
        <v>59561.6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0.0</v>
      </c>
      <c r="F15" s="39"/>
      <c r="G15" s="40">
        <f t="shared" si="1"/>
        <v>0</v>
      </c>
      <c r="H15" s="38">
        <f t="shared" si="2"/>
        <v>0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3.0</v>
      </c>
      <c r="F17" s="39"/>
      <c r="G17" s="40">
        <f t="shared" si="1"/>
        <v>3</v>
      </c>
      <c r="H17" s="38">
        <f t="shared" si="2"/>
        <v>27900.48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7.0</v>
      </c>
      <c r="F18" s="39"/>
      <c r="G18" s="40">
        <f t="shared" si="1"/>
        <v>7</v>
      </c>
      <c r="H18" s="38">
        <f t="shared" si="2"/>
        <v>12187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5.0</v>
      </c>
      <c r="F22" s="43"/>
      <c r="G22" s="40">
        <f t="shared" si="1"/>
        <v>5</v>
      </c>
      <c r="H22" s="38">
        <f t="shared" si="2"/>
        <v>1175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9.0</v>
      </c>
      <c r="F23" s="43"/>
      <c r="G23" s="40">
        <f t="shared" si="1"/>
        <v>9</v>
      </c>
      <c r="H23" s="38">
        <f t="shared" si="2"/>
        <v>2664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15.0</v>
      </c>
      <c r="F24" s="43"/>
      <c r="G24" s="40">
        <f t="shared" si="1"/>
        <v>15</v>
      </c>
      <c r="H24" s="38">
        <f t="shared" si="2"/>
        <v>3742.5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22.0</v>
      </c>
      <c r="F25" s="43"/>
      <c r="G25" s="40">
        <f t="shared" si="1"/>
        <v>22</v>
      </c>
      <c r="H25" s="38">
        <f t="shared" si="2"/>
        <v>4576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1.0</v>
      </c>
      <c r="F31" s="47"/>
      <c r="G31" s="40">
        <f t="shared" si="1"/>
        <v>1</v>
      </c>
      <c r="H31" s="38">
        <f t="shared" si="2"/>
        <v>12796.31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2.0</v>
      </c>
      <c r="F32" s="53"/>
      <c r="G32" s="54">
        <f t="shared" si="1"/>
        <v>2</v>
      </c>
      <c r="H32" s="52">
        <f t="shared" si="2"/>
        <v>29232.62</v>
      </c>
      <c r="I32" s="50"/>
      <c r="J32" s="50"/>
      <c r="K32" s="50"/>
      <c r="L32" s="55"/>
    </row>
    <row r="33">
      <c r="A33" s="25" t="s">
        <v>47</v>
      </c>
      <c r="B33" s="26"/>
      <c r="C33" s="56" t="s">
        <v>4</v>
      </c>
      <c r="D33" s="28">
        <f>VLOOKUP(C33, 'LIST HPP'!$B$4:$C$39, 2, )</f>
        <v>8805.63</v>
      </c>
      <c r="E33" s="29">
        <v>0.0</v>
      </c>
      <c r="F33" s="29"/>
      <c r="G33" s="57">
        <f t="shared" ref="G33:G63" si="3">SUM(E33:F33)</f>
        <v>0</v>
      </c>
      <c r="H33" s="58">
        <f t="shared" si="2"/>
        <v>0</v>
      </c>
      <c r="I33" s="31">
        <f>sum(H33:H63)</f>
        <v>283926.8</v>
      </c>
      <c r="J33" s="32">
        <v>411591.0</v>
      </c>
      <c r="K33" s="33">
        <f>(J33-I33)/J33</f>
        <v>0.310172477</v>
      </c>
      <c r="L33" s="34">
        <f>J33-I33</f>
        <v>127664.2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0.0</v>
      </c>
      <c r="F34" s="39"/>
      <c r="G34" s="59">
        <f t="shared" si="3"/>
        <v>0</v>
      </c>
      <c r="H34" s="60">
        <f t="shared" si="2"/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2.0</v>
      </c>
      <c r="F35" s="39"/>
      <c r="G35" s="59">
        <f t="shared" si="3"/>
        <v>2</v>
      </c>
      <c r="H35" s="60">
        <f t="shared" si="2"/>
        <v>12027.26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0.0</v>
      </c>
      <c r="F36" s="39"/>
      <c r="G36" s="59">
        <f t="shared" si="3"/>
        <v>0</v>
      </c>
      <c r="H36" s="60">
        <f t="shared" si="2"/>
        <v>0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1.0</v>
      </c>
      <c r="F37" s="39"/>
      <c r="G37" s="59">
        <f t="shared" si="3"/>
        <v>1</v>
      </c>
      <c r="H37" s="60">
        <f t="shared" si="2"/>
        <v>3748.21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8.0</v>
      </c>
      <c r="F38" s="39"/>
      <c r="G38" s="59">
        <f t="shared" si="3"/>
        <v>8</v>
      </c>
      <c r="H38" s="60">
        <f t="shared" si="2"/>
        <v>11589.04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5.0</v>
      </c>
      <c r="F39" s="39"/>
      <c r="G39" s="59">
        <f t="shared" si="3"/>
        <v>5</v>
      </c>
      <c r="H39" s="60">
        <f t="shared" si="2"/>
        <v>58350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2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4.0</v>
      </c>
      <c r="F41" s="39"/>
      <c r="G41" s="59">
        <f t="shared" si="3"/>
        <v>4</v>
      </c>
      <c r="H41" s="60">
        <f t="shared" si="2"/>
        <v>39960.64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6.0</v>
      </c>
      <c r="F42" s="39"/>
      <c r="G42" s="59">
        <f t="shared" si="3"/>
        <v>6</v>
      </c>
      <c r="H42" s="60">
        <f t="shared" si="2"/>
        <v>44671.2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0.0</v>
      </c>
      <c r="F43" s="39"/>
      <c r="G43" s="59">
        <f t="shared" si="3"/>
        <v>0</v>
      </c>
      <c r="H43" s="60">
        <f t="shared" si="2"/>
        <v>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1.0</v>
      </c>
      <c r="F44" s="39"/>
      <c r="G44" s="59">
        <f t="shared" si="3"/>
        <v>1</v>
      </c>
      <c r="H44" s="60">
        <f t="shared" si="2"/>
        <v>14155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0.0</v>
      </c>
      <c r="F45" s="39"/>
      <c r="G45" s="59">
        <f t="shared" si="3"/>
        <v>0</v>
      </c>
      <c r="H45" s="60">
        <f t="shared" si="2"/>
        <v>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0.0</v>
      </c>
      <c r="F46" s="39"/>
      <c r="G46" s="59">
        <f t="shared" si="3"/>
        <v>0</v>
      </c>
      <c r="H46" s="60">
        <f t="shared" si="2"/>
        <v>0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2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3.0</v>
      </c>
      <c r="F48" s="39"/>
      <c r="G48" s="59">
        <f t="shared" si="3"/>
        <v>3</v>
      </c>
      <c r="H48" s="60">
        <f t="shared" si="2"/>
        <v>27900.48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3.0</v>
      </c>
      <c r="F49" s="39"/>
      <c r="G49" s="59">
        <f t="shared" si="3"/>
        <v>3</v>
      </c>
      <c r="H49" s="60">
        <f t="shared" si="2"/>
        <v>5223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1.0</v>
      </c>
      <c r="F50" s="43"/>
      <c r="G50" s="59">
        <f t="shared" si="3"/>
        <v>1</v>
      </c>
      <c r="H50" s="60">
        <f t="shared" si="2"/>
        <v>2200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1.0</v>
      </c>
      <c r="F51" s="43"/>
      <c r="G51" s="59">
        <f t="shared" si="3"/>
        <v>1</v>
      </c>
      <c r="H51" s="60">
        <f t="shared" si="2"/>
        <v>2875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2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6.0</v>
      </c>
      <c r="F53" s="43"/>
      <c r="G53" s="59">
        <f t="shared" si="3"/>
        <v>6</v>
      </c>
      <c r="H53" s="60">
        <f t="shared" si="2"/>
        <v>1410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13.0</v>
      </c>
      <c r="F54" s="43"/>
      <c r="G54" s="59">
        <f t="shared" si="3"/>
        <v>13</v>
      </c>
      <c r="H54" s="60">
        <f t="shared" si="2"/>
        <v>3848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13.0</v>
      </c>
      <c r="F55" s="43"/>
      <c r="G55" s="59">
        <f t="shared" si="3"/>
        <v>13</v>
      </c>
      <c r="H55" s="60">
        <f t="shared" si="2"/>
        <v>3243.5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14.0</v>
      </c>
      <c r="F56" s="43"/>
      <c r="G56" s="59">
        <f t="shared" si="3"/>
        <v>14</v>
      </c>
      <c r="H56" s="60">
        <f t="shared" si="2"/>
        <v>2912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0.0</v>
      </c>
      <c r="F57" s="43"/>
      <c r="G57" s="59">
        <f t="shared" si="3"/>
        <v>0</v>
      </c>
      <c r="H57" s="60">
        <f t="shared" si="2"/>
        <v>0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2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2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2.0</v>
      </c>
      <c r="F60" s="47"/>
      <c r="G60" s="59">
        <f t="shared" si="3"/>
        <v>2</v>
      </c>
      <c r="H60" s="60">
        <f t="shared" si="2"/>
        <v>27742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1.0</v>
      </c>
      <c r="F61" s="47"/>
      <c r="G61" s="59">
        <f t="shared" si="3"/>
        <v>1</v>
      </c>
      <c r="H61" s="60">
        <f t="shared" si="2"/>
        <v>10521.31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0.0</v>
      </c>
      <c r="F62" s="47"/>
      <c r="G62" s="59">
        <f t="shared" si="3"/>
        <v>0</v>
      </c>
      <c r="H62" s="60">
        <f t="shared" si="2"/>
        <v>0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0.0</v>
      </c>
      <c r="F63" s="53"/>
      <c r="G63" s="61">
        <f t="shared" si="3"/>
        <v>0</v>
      </c>
      <c r="H63" s="62">
        <f t="shared" si="2"/>
        <v>0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4">Sum(E64:F64)</f>
        <v>0</v>
      </c>
      <c r="H64" s="58">
        <f t="shared" si="2"/>
        <v>0</v>
      </c>
      <c r="I64" s="31">
        <f>sum(H64:H94)</f>
        <v>113542.9</v>
      </c>
      <c r="J64" s="32">
        <v>226391.0</v>
      </c>
      <c r="K64" s="33">
        <f>(J64-I64)/J64</f>
        <v>0.4984654867</v>
      </c>
      <c r="L64" s="34">
        <f>J64-I64</f>
        <v>112848.1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4"/>
        <v>0</v>
      </c>
      <c r="H65" s="60">
        <f t="shared" si="2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4"/>
        <v>0</v>
      </c>
      <c r="H66" s="60">
        <f t="shared" si="2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4"/>
        <v>0</v>
      </c>
      <c r="H67" s="60">
        <f t="shared" si="2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4"/>
        <v>0</v>
      </c>
      <c r="H68" s="60">
        <f t="shared" si="2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4.0</v>
      </c>
      <c r="F69" s="65"/>
      <c r="G69" s="66">
        <f t="shared" si="4"/>
        <v>4</v>
      </c>
      <c r="H69" s="60">
        <f t="shared" si="2"/>
        <v>5794.52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0.0</v>
      </c>
      <c r="F70" s="65"/>
      <c r="G70" s="66">
        <f t="shared" si="4"/>
        <v>0</v>
      </c>
      <c r="H70" s="60">
        <f t="shared" si="2"/>
        <v>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0.0</v>
      </c>
      <c r="F71" s="65"/>
      <c r="G71" s="66">
        <f t="shared" si="4"/>
        <v>0</v>
      </c>
      <c r="H71" s="60">
        <f t="shared" si="2"/>
        <v>0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2.0</v>
      </c>
      <c r="F72" s="65"/>
      <c r="G72" s="66">
        <f t="shared" si="4"/>
        <v>2</v>
      </c>
      <c r="H72" s="60">
        <f t="shared" si="2"/>
        <v>19980.32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2.0</v>
      </c>
      <c r="F73" s="65"/>
      <c r="G73" s="66">
        <f t="shared" si="4"/>
        <v>2</v>
      </c>
      <c r="H73" s="60">
        <f t="shared" si="2"/>
        <v>14890.4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4"/>
        <v>0</v>
      </c>
      <c r="H74" s="60">
        <f t="shared" si="2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4.0</v>
      </c>
      <c r="F75" s="65"/>
      <c r="G75" s="66">
        <f t="shared" si="4"/>
        <v>4</v>
      </c>
      <c r="H75" s="60">
        <f t="shared" si="2"/>
        <v>56620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4"/>
        <v>0</v>
      </c>
      <c r="H76" s="60">
        <f t="shared" si="2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0.0</v>
      </c>
      <c r="F77" s="65"/>
      <c r="G77" s="66">
        <f t="shared" si="4"/>
        <v>0</v>
      </c>
      <c r="H77" s="60">
        <f t="shared" si="2"/>
        <v>0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1.0</v>
      </c>
      <c r="F78" s="65"/>
      <c r="G78" s="66">
        <f t="shared" si="4"/>
        <v>1</v>
      </c>
      <c r="H78" s="60">
        <f t="shared" si="2"/>
        <v>11550.16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4"/>
        <v>0</v>
      </c>
      <c r="H79" s="60">
        <f t="shared" si="2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4"/>
        <v>0</v>
      </c>
      <c r="H80" s="60">
        <f t="shared" si="2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0.0</v>
      </c>
      <c r="F81" s="65"/>
      <c r="G81" s="66">
        <f t="shared" si="4"/>
        <v>0</v>
      </c>
      <c r="H81" s="60">
        <f t="shared" si="2"/>
        <v>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4"/>
        <v>0</v>
      </c>
      <c r="H82" s="60">
        <f t="shared" si="2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4"/>
        <v>0</v>
      </c>
      <c r="H83" s="60">
        <f t="shared" si="2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4.0</v>
      </c>
      <c r="F84" s="65"/>
      <c r="G84" s="66">
        <f t="shared" si="4"/>
        <v>4</v>
      </c>
      <c r="H84" s="60">
        <f t="shared" si="2"/>
        <v>940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5.0</v>
      </c>
      <c r="F85" s="65"/>
      <c r="G85" s="66">
        <f t="shared" si="4"/>
        <v>5</v>
      </c>
      <c r="H85" s="60">
        <f t="shared" si="2"/>
        <v>1480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5.0</v>
      </c>
      <c r="F86" s="65"/>
      <c r="G86" s="66">
        <f t="shared" si="4"/>
        <v>5</v>
      </c>
      <c r="H86" s="60">
        <f t="shared" si="2"/>
        <v>1247.5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5.0</v>
      </c>
      <c r="F87" s="65"/>
      <c r="G87" s="66">
        <f t="shared" si="4"/>
        <v>5</v>
      </c>
      <c r="H87" s="60">
        <f t="shared" si="2"/>
        <v>1040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4"/>
        <v>0</v>
      </c>
      <c r="H88" s="60">
        <f t="shared" si="2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4"/>
        <v>0</v>
      </c>
      <c r="H89" s="60">
        <f t="shared" si="2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0.0</v>
      </c>
      <c r="F90" s="65"/>
      <c r="G90" s="66">
        <f t="shared" si="4"/>
        <v>0</v>
      </c>
      <c r="H90" s="60">
        <f t="shared" si="2"/>
        <v>0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4"/>
        <v>0</v>
      </c>
      <c r="H91" s="60">
        <f t="shared" si="2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4"/>
        <v>0</v>
      </c>
      <c r="H92" s="60">
        <f t="shared" si="2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4"/>
        <v>0</v>
      </c>
      <c r="H93" s="60">
        <f t="shared" si="2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4"/>
        <v>0</v>
      </c>
      <c r="H94" s="62">
        <f t="shared" si="2"/>
        <v>0</v>
      </c>
      <c r="I94" s="50"/>
      <c r="J94" s="50"/>
      <c r="K94" s="50"/>
      <c r="L94" s="55"/>
    </row>
    <row r="95">
      <c r="A95" s="25"/>
      <c r="B95" s="26"/>
      <c r="C95" s="56" t="s">
        <v>4</v>
      </c>
      <c r="D95" s="28">
        <f>VLOOKUP(C95, 'LIST HPP'!$B$4:$C$39, 2, FALSE)</f>
        <v>8805.63</v>
      </c>
      <c r="E95" s="70"/>
      <c r="F95" s="71"/>
      <c r="G95" s="72">
        <f t="shared" ref="G95:G125" si="5">sum(E95:F95)</f>
        <v>0</v>
      </c>
      <c r="H95" s="73">
        <f t="shared" si="2"/>
        <v>0</v>
      </c>
      <c r="I95" s="31">
        <f>sum(H95:H125)</f>
        <v>0</v>
      </c>
      <c r="J95" s="32"/>
      <c r="K95" s="33" t="str">
        <f>(J95-I95)/J95</f>
        <v>#DIV/0!</v>
      </c>
      <c r="L95" s="34">
        <f>J95-I95</f>
        <v>0</v>
      </c>
    </row>
    <row r="96">
      <c r="A96" s="35"/>
      <c r="B96" s="36"/>
      <c r="C96" s="44" t="s">
        <v>5</v>
      </c>
      <c r="D96" s="38">
        <f>VLOOKUP(C96, 'LIST HPP'!$B$4:$C$39, 2, FALSE)</f>
        <v>8150.63</v>
      </c>
      <c r="E96" s="39"/>
      <c r="F96" s="65"/>
      <c r="G96" s="66">
        <f t="shared" si="5"/>
        <v>0</v>
      </c>
      <c r="H96" s="60">
        <f t="shared" si="2"/>
        <v>0</v>
      </c>
      <c r="I96" s="36"/>
      <c r="J96" s="36"/>
      <c r="K96" s="36"/>
      <c r="L96" s="41"/>
    </row>
    <row r="97">
      <c r="A97" s="35"/>
      <c r="B97" s="36"/>
      <c r="C97" s="44" t="s">
        <v>6</v>
      </c>
      <c r="D97" s="38">
        <f>VLOOKUP(C97, 'LIST HPP'!$B$4:$C$39, 2, FALSE)</f>
        <v>6013.63</v>
      </c>
      <c r="E97" s="39"/>
      <c r="F97" s="65"/>
      <c r="G97" s="66">
        <f t="shared" si="5"/>
        <v>0</v>
      </c>
      <c r="H97" s="60">
        <f t="shared" si="2"/>
        <v>0</v>
      </c>
      <c r="I97" s="36"/>
      <c r="J97" s="36"/>
      <c r="K97" s="36"/>
      <c r="L97" s="41"/>
    </row>
    <row r="98">
      <c r="A98" s="35"/>
      <c r="B98" s="36"/>
      <c r="C98" s="44" t="s">
        <v>22</v>
      </c>
      <c r="D98" s="38">
        <f>VLOOKUP(C98, 'LIST HPP'!$B$4:$C$39, 2, FALSE)</f>
        <v>7131.43</v>
      </c>
      <c r="E98" s="39"/>
      <c r="F98" s="65"/>
      <c r="G98" s="66">
        <f t="shared" si="5"/>
        <v>0</v>
      </c>
      <c r="H98" s="60">
        <f t="shared" si="2"/>
        <v>0</v>
      </c>
      <c r="I98" s="36"/>
      <c r="J98" s="36"/>
      <c r="K98" s="36"/>
      <c r="L98" s="41"/>
    </row>
    <row r="99">
      <c r="A99" s="35"/>
      <c r="B99" s="36"/>
      <c r="C99" s="44" t="s">
        <v>7</v>
      </c>
      <c r="D99" s="38">
        <f>VLOOKUP(C99, 'LIST HPP'!$B$4:$C$39, 2, FALSE)</f>
        <v>3748.21</v>
      </c>
      <c r="E99" s="39"/>
      <c r="F99" s="65"/>
      <c r="G99" s="66">
        <f t="shared" si="5"/>
        <v>0</v>
      </c>
      <c r="H99" s="60">
        <f t="shared" si="2"/>
        <v>0</v>
      </c>
      <c r="I99" s="36"/>
      <c r="J99" s="36"/>
      <c r="K99" s="36"/>
      <c r="L99" s="41"/>
    </row>
    <row r="100">
      <c r="A100" s="35"/>
      <c r="B100" s="36"/>
      <c r="C100" s="45" t="s">
        <v>8</v>
      </c>
      <c r="D100" s="38">
        <f>VLOOKUP(C100, 'LIST HPP'!$B$4:$C$39, 2, FALSE)</f>
        <v>1448.63</v>
      </c>
      <c r="E100" s="39"/>
      <c r="F100" s="65"/>
      <c r="G100" s="66">
        <f t="shared" si="5"/>
        <v>0</v>
      </c>
      <c r="H100" s="60">
        <f t="shared" si="2"/>
        <v>0</v>
      </c>
      <c r="I100" s="36"/>
      <c r="J100" s="36"/>
      <c r="K100" s="36"/>
      <c r="L100" s="41"/>
    </row>
    <row r="101">
      <c r="A101" s="35"/>
      <c r="B101" s="36"/>
      <c r="C101" s="44" t="s">
        <v>9</v>
      </c>
      <c r="D101" s="38">
        <f>VLOOKUP(C101, 'LIST HPP'!$B$4:$C$39, 2, FALSE)</f>
        <v>11670</v>
      </c>
      <c r="E101" s="39"/>
      <c r="F101" s="65"/>
      <c r="G101" s="66">
        <f t="shared" si="5"/>
        <v>0</v>
      </c>
      <c r="H101" s="60">
        <f t="shared" si="2"/>
        <v>0</v>
      </c>
      <c r="I101" s="36"/>
      <c r="J101" s="36"/>
      <c r="K101" s="36"/>
      <c r="L101" s="41"/>
    </row>
    <row r="102">
      <c r="A102" s="35"/>
      <c r="B102" s="36"/>
      <c r="C102" s="44" t="s">
        <v>10</v>
      </c>
      <c r="D102" s="38">
        <f>VLOOKUP(C102, 'LIST HPP'!$B$4:$C$39, 2, FALSE)</f>
        <v>9350.16</v>
      </c>
      <c r="E102" s="39"/>
      <c r="F102" s="65"/>
      <c r="G102" s="66">
        <f t="shared" si="5"/>
        <v>0</v>
      </c>
      <c r="H102" s="60">
        <f t="shared" si="2"/>
        <v>0</v>
      </c>
      <c r="I102" s="36"/>
      <c r="J102" s="36"/>
      <c r="K102" s="36"/>
      <c r="L102" s="41"/>
    </row>
    <row r="103">
      <c r="A103" s="35"/>
      <c r="B103" s="36"/>
      <c r="C103" s="44" t="s">
        <v>11</v>
      </c>
      <c r="D103" s="38">
        <f>VLOOKUP(C103, 'LIST HPP'!$B$4:$C$39, 2, FALSE)</f>
        <v>9990.16</v>
      </c>
      <c r="E103" s="39"/>
      <c r="F103" s="65"/>
      <c r="G103" s="66">
        <f t="shared" si="5"/>
        <v>0</v>
      </c>
      <c r="H103" s="60">
        <f t="shared" si="2"/>
        <v>0</v>
      </c>
      <c r="I103" s="36"/>
      <c r="J103" s="36"/>
      <c r="K103" s="36"/>
      <c r="L103" s="41"/>
    </row>
    <row r="104">
      <c r="A104" s="35"/>
      <c r="B104" s="36"/>
      <c r="C104" s="45" t="s">
        <v>12</v>
      </c>
      <c r="D104" s="38">
        <f>VLOOKUP(C104, 'LIST HPP'!$B$4:$C$39, 2, FALSE)</f>
        <v>7445.2</v>
      </c>
      <c r="E104" s="39"/>
      <c r="F104" s="65"/>
      <c r="G104" s="66">
        <f t="shared" si="5"/>
        <v>0</v>
      </c>
      <c r="H104" s="60">
        <f t="shared" si="2"/>
        <v>0</v>
      </c>
      <c r="I104" s="36"/>
      <c r="J104" s="36"/>
      <c r="K104" s="36"/>
      <c r="L104" s="41"/>
    </row>
    <row r="105">
      <c r="A105" s="35"/>
      <c r="B105" s="36"/>
      <c r="C105" s="45" t="s">
        <v>13</v>
      </c>
      <c r="D105" s="38">
        <f>VLOOKUP(C105, 'LIST HPP'!$B$4:$C$39, 2, FALSE)</f>
        <v>17260</v>
      </c>
      <c r="E105" s="39"/>
      <c r="F105" s="65"/>
      <c r="G105" s="66">
        <f t="shared" si="5"/>
        <v>0</v>
      </c>
      <c r="H105" s="60">
        <f t="shared" si="2"/>
        <v>0</v>
      </c>
      <c r="I105" s="36"/>
      <c r="J105" s="36"/>
      <c r="K105" s="36"/>
      <c r="L105" s="41"/>
    </row>
    <row r="106">
      <c r="A106" s="35"/>
      <c r="B106" s="36"/>
      <c r="C106" s="45" t="s">
        <v>14</v>
      </c>
      <c r="D106" s="38">
        <f>VLOOKUP(C106, 'LIST HPP'!$B$4:$C$39, 2, FALSE)</f>
        <v>14155</v>
      </c>
      <c r="E106" s="39"/>
      <c r="F106" s="65"/>
      <c r="G106" s="66">
        <f t="shared" si="5"/>
        <v>0</v>
      </c>
      <c r="H106" s="60">
        <f t="shared" si="2"/>
        <v>0</v>
      </c>
      <c r="I106" s="36"/>
      <c r="J106" s="36"/>
      <c r="K106" s="36"/>
      <c r="L106" s="41"/>
    </row>
    <row r="107">
      <c r="A107" s="35"/>
      <c r="B107" s="36"/>
      <c r="C107" s="45" t="s">
        <v>15</v>
      </c>
      <c r="D107" s="38">
        <f>VLOOKUP(C107, 'LIST HPP'!$B$4:$C$39, 2, FALSE)</f>
        <v>15435</v>
      </c>
      <c r="E107" s="39"/>
      <c r="F107" s="65"/>
      <c r="G107" s="66">
        <f t="shared" si="5"/>
        <v>0</v>
      </c>
      <c r="H107" s="60">
        <f t="shared" si="2"/>
        <v>0</v>
      </c>
      <c r="I107" s="36"/>
      <c r="J107" s="36"/>
      <c r="K107" s="36"/>
      <c r="L107" s="41"/>
    </row>
    <row r="108">
      <c r="A108" s="35"/>
      <c r="B108" s="36"/>
      <c r="C108" s="45" t="s">
        <v>16</v>
      </c>
      <c r="D108" s="38">
        <f>VLOOKUP(C108, 'LIST HPP'!$B$4:$C$39, 2, FALSE)</f>
        <v>9229.59</v>
      </c>
      <c r="E108" s="39"/>
      <c r="F108" s="65"/>
      <c r="G108" s="66">
        <f t="shared" si="5"/>
        <v>0</v>
      </c>
      <c r="H108" s="60">
        <f t="shared" si="2"/>
        <v>0</v>
      </c>
      <c r="I108" s="36"/>
      <c r="J108" s="36"/>
      <c r="K108" s="36"/>
      <c r="L108" s="41"/>
    </row>
    <row r="109">
      <c r="A109" s="35"/>
      <c r="B109" s="36"/>
      <c r="C109" s="45" t="s">
        <v>17</v>
      </c>
      <c r="D109" s="38">
        <f>VLOOKUP(C109, 'LIST HPP'!$B$4:$C$39, 2, FALSE)</f>
        <v>11550.16</v>
      </c>
      <c r="E109" s="39"/>
      <c r="F109" s="65"/>
      <c r="G109" s="66">
        <f t="shared" si="5"/>
        <v>0</v>
      </c>
      <c r="H109" s="60">
        <f t="shared" si="2"/>
        <v>0</v>
      </c>
      <c r="I109" s="36"/>
      <c r="J109" s="36"/>
      <c r="K109" s="36"/>
      <c r="L109" s="41"/>
    </row>
    <row r="110">
      <c r="A110" s="35"/>
      <c r="B110" s="36"/>
      <c r="C110" s="44" t="s">
        <v>18</v>
      </c>
      <c r="D110" s="38">
        <f>VLOOKUP(C110, 'LIST HPP'!$B$4:$C$39, 2, FALSE)</f>
        <v>9300.16</v>
      </c>
      <c r="E110" s="39"/>
      <c r="F110" s="65"/>
      <c r="G110" s="66">
        <f t="shared" si="5"/>
        <v>0</v>
      </c>
      <c r="H110" s="60">
        <f t="shared" si="2"/>
        <v>0</v>
      </c>
      <c r="I110" s="36"/>
      <c r="J110" s="36"/>
      <c r="K110" s="36"/>
      <c r="L110" s="41"/>
    </row>
    <row r="111">
      <c r="A111" s="35"/>
      <c r="B111" s="36"/>
      <c r="C111" s="44" t="s">
        <v>19</v>
      </c>
      <c r="D111" s="38">
        <f>VLOOKUP(C111, 'LIST HPP'!$B$4:$C$39, 2, FALSE)</f>
        <v>1741</v>
      </c>
      <c r="E111" s="39"/>
      <c r="F111" s="65"/>
      <c r="G111" s="66">
        <f t="shared" si="5"/>
        <v>0</v>
      </c>
      <c r="H111" s="60">
        <f t="shared" si="2"/>
        <v>0</v>
      </c>
      <c r="I111" s="36"/>
      <c r="J111" s="36"/>
      <c r="K111" s="36"/>
      <c r="L111" s="41"/>
    </row>
    <row r="112">
      <c r="A112" s="35"/>
      <c r="B112" s="36"/>
      <c r="C112" s="44" t="s">
        <v>20</v>
      </c>
      <c r="D112" s="38">
        <f>VLOOKUP(C112, 'LIST HPP'!$B$4:$C$39, 2, FALSE)</f>
        <v>2200</v>
      </c>
      <c r="E112" s="43"/>
      <c r="F112" s="65"/>
      <c r="G112" s="66">
        <f t="shared" si="5"/>
        <v>0</v>
      </c>
      <c r="H112" s="60">
        <f t="shared" si="2"/>
        <v>0</v>
      </c>
      <c r="I112" s="36"/>
      <c r="J112" s="36"/>
      <c r="K112" s="36"/>
      <c r="L112" s="41"/>
    </row>
    <row r="113">
      <c r="A113" s="35"/>
      <c r="B113" s="36"/>
      <c r="C113" s="44" t="s">
        <v>21</v>
      </c>
      <c r="D113" s="38">
        <f>VLOOKUP(C113, 'LIST HPP'!$B$4:$C$39, 2, FALSE)</f>
        <v>2875</v>
      </c>
      <c r="E113" s="43"/>
      <c r="F113" s="65"/>
      <c r="G113" s="66">
        <f t="shared" si="5"/>
        <v>0</v>
      </c>
      <c r="H113" s="60">
        <f t="shared" si="2"/>
        <v>0</v>
      </c>
      <c r="I113" s="36"/>
      <c r="J113" s="36"/>
      <c r="K113" s="36"/>
      <c r="L113" s="41"/>
    </row>
    <row r="114">
      <c r="A114" s="35"/>
      <c r="B114" s="36"/>
      <c r="C114" s="44" t="s">
        <v>23</v>
      </c>
      <c r="D114" s="38">
        <f>VLOOKUP(C114, 'LIST HPP'!$B$4:$C$39, 2, FALSE)</f>
        <v>2113.16</v>
      </c>
      <c r="E114" s="43"/>
      <c r="F114" s="65"/>
      <c r="G114" s="66">
        <f t="shared" si="5"/>
        <v>0</v>
      </c>
      <c r="H114" s="60">
        <f t="shared" si="2"/>
        <v>0</v>
      </c>
      <c r="I114" s="36"/>
      <c r="J114" s="36"/>
      <c r="K114" s="36"/>
      <c r="L114" s="41"/>
    </row>
    <row r="115">
      <c r="A115" s="35"/>
      <c r="B115" s="36"/>
      <c r="C115" s="44" t="s">
        <v>24</v>
      </c>
      <c r="D115" s="38">
        <f>VLOOKUP(C115, 'LIST HPP'!$B$4:$C$39, 2, FALSE)</f>
        <v>235</v>
      </c>
      <c r="E115" s="43"/>
      <c r="F115" s="65"/>
      <c r="G115" s="66">
        <f t="shared" si="5"/>
        <v>0</v>
      </c>
      <c r="H115" s="60">
        <f t="shared" si="2"/>
        <v>0</v>
      </c>
      <c r="I115" s="36"/>
      <c r="J115" s="36"/>
      <c r="K115" s="36"/>
      <c r="L115" s="41"/>
    </row>
    <row r="116">
      <c r="A116" s="35"/>
      <c r="B116" s="36"/>
      <c r="C116" s="44" t="s">
        <v>25</v>
      </c>
      <c r="D116" s="38">
        <f>VLOOKUP(C116, 'LIST HPP'!$B$4:$C$39, 2, FALSE)</f>
        <v>296</v>
      </c>
      <c r="E116" s="43"/>
      <c r="F116" s="65"/>
      <c r="G116" s="66">
        <f t="shared" si="5"/>
        <v>0</v>
      </c>
      <c r="H116" s="60">
        <f t="shared" si="2"/>
        <v>0</v>
      </c>
      <c r="I116" s="36"/>
      <c r="J116" s="36"/>
      <c r="K116" s="36"/>
      <c r="L116" s="41"/>
    </row>
    <row r="117">
      <c r="A117" s="35"/>
      <c r="B117" s="36"/>
      <c r="C117" s="44" t="s">
        <v>26</v>
      </c>
      <c r="D117" s="38">
        <f>VLOOKUP(C117, 'LIST HPP'!$B$4:$C$39, 2, FALSE)</f>
        <v>249.5</v>
      </c>
      <c r="E117" s="43"/>
      <c r="F117" s="65"/>
      <c r="G117" s="66">
        <f t="shared" si="5"/>
        <v>0</v>
      </c>
      <c r="H117" s="60">
        <f t="shared" si="2"/>
        <v>0</v>
      </c>
      <c r="I117" s="36"/>
      <c r="J117" s="36"/>
      <c r="K117" s="36"/>
      <c r="L117" s="41"/>
    </row>
    <row r="118">
      <c r="A118" s="35"/>
      <c r="B118" s="36"/>
      <c r="C118" s="44" t="s">
        <v>27</v>
      </c>
      <c r="D118" s="38">
        <f>VLOOKUP(C118, 'LIST HPP'!$B$4:$C$39, 2, FALSE)</f>
        <v>208</v>
      </c>
      <c r="E118" s="43"/>
      <c r="F118" s="65"/>
      <c r="G118" s="66">
        <f t="shared" si="5"/>
        <v>0</v>
      </c>
      <c r="H118" s="60">
        <f t="shared" si="2"/>
        <v>0</v>
      </c>
      <c r="I118" s="36"/>
      <c r="J118" s="36"/>
      <c r="K118" s="36"/>
      <c r="L118" s="41"/>
    </row>
    <row r="119">
      <c r="A119" s="35"/>
      <c r="B119" s="36"/>
      <c r="C119" s="44" t="s">
        <v>28</v>
      </c>
      <c r="D119" s="38">
        <f>VLOOKUP(C119, 'LIST HPP'!$B$4:$C$39, 2, FALSE)</f>
        <v>2446.08</v>
      </c>
      <c r="E119" s="43"/>
      <c r="F119" s="65"/>
      <c r="G119" s="66">
        <f t="shared" si="5"/>
        <v>0</v>
      </c>
      <c r="H119" s="60">
        <f t="shared" si="2"/>
        <v>0</v>
      </c>
      <c r="I119" s="36"/>
      <c r="J119" s="36"/>
      <c r="K119" s="36"/>
      <c r="L119" s="41"/>
    </row>
    <row r="120">
      <c r="A120" s="35"/>
      <c r="B120" s="36"/>
      <c r="C120" s="44" t="s">
        <v>29</v>
      </c>
      <c r="D120" s="38">
        <f>VLOOKUP(C120, 'LIST HPP'!$B$4:$C$39, 2, FALSE)</f>
        <v>4095</v>
      </c>
      <c r="E120" s="43"/>
      <c r="F120" s="65"/>
      <c r="G120" s="66">
        <f t="shared" si="5"/>
        <v>0</v>
      </c>
      <c r="H120" s="60">
        <f t="shared" si="2"/>
        <v>0</v>
      </c>
      <c r="I120" s="36"/>
      <c r="J120" s="36"/>
      <c r="K120" s="36"/>
      <c r="L120" s="41"/>
    </row>
    <row r="121">
      <c r="A121" s="35"/>
      <c r="B121" s="36"/>
      <c r="C121" s="45" t="s">
        <v>30</v>
      </c>
      <c r="D121" s="38">
        <f>VLOOKUP(C121, 'LIST HPP'!$B$4:$C$39, 2, FALSE)</f>
        <v>2064.84</v>
      </c>
      <c r="E121" s="43"/>
      <c r="F121" s="65"/>
      <c r="G121" s="66">
        <f t="shared" si="5"/>
        <v>0</v>
      </c>
      <c r="H121" s="60">
        <f t="shared" si="2"/>
        <v>0</v>
      </c>
      <c r="I121" s="36"/>
      <c r="J121" s="36"/>
      <c r="K121" s="36"/>
      <c r="L121" s="41"/>
    </row>
    <row r="122">
      <c r="A122" s="35"/>
      <c r="B122" s="36"/>
      <c r="C122" s="46" t="s">
        <v>31</v>
      </c>
      <c r="D122" s="38">
        <f>VLOOKUP(C122, 'LIST HPP'!$B$4:$C$39, 2, FALSE)</f>
        <v>13871</v>
      </c>
      <c r="E122" s="47"/>
      <c r="F122" s="67"/>
      <c r="G122" s="66">
        <f t="shared" si="5"/>
        <v>0</v>
      </c>
      <c r="H122" s="60">
        <f t="shared" si="2"/>
        <v>0</v>
      </c>
      <c r="I122" s="36"/>
      <c r="J122" s="36"/>
      <c r="K122" s="36"/>
      <c r="L122" s="41"/>
    </row>
    <row r="123">
      <c r="A123" s="35"/>
      <c r="B123" s="36"/>
      <c r="C123" s="46" t="s">
        <v>32</v>
      </c>
      <c r="D123" s="38">
        <f>VLOOKUP(C123, 'LIST HPP'!$B$4:$C$39, 2, FALSE)</f>
        <v>10521.31</v>
      </c>
      <c r="E123" s="47"/>
      <c r="F123" s="67"/>
      <c r="G123" s="66">
        <f t="shared" si="5"/>
        <v>0</v>
      </c>
      <c r="H123" s="60">
        <f t="shared" si="2"/>
        <v>0</v>
      </c>
      <c r="I123" s="36"/>
      <c r="J123" s="36"/>
      <c r="K123" s="36"/>
      <c r="L123" s="41"/>
    </row>
    <row r="124">
      <c r="A124" s="35"/>
      <c r="B124" s="36"/>
      <c r="C124" s="48" t="s">
        <v>33</v>
      </c>
      <c r="D124" s="38">
        <f>VLOOKUP(C124, 'LIST HPP'!$B$4:$C$39, 2, FALSE)</f>
        <v>12796.31</v>
      </c>
      <c r="E124" s="47"/>
      <c r="F124" s="67"/>
      <c r="G124" s="66">
        <f t="shared" si="5"/>
        <v>0</v>
      </c>
      <c r="H124" s="60">
        <f t="shared" si="2"/>
        <v>0</v>
      </c>
      <c r="I124" s="36"/>
      <c r="J124" s="36"/>
      <c r="K124" s="36"/>
      <c r="L124" s="41"/>
    </row>
    <row r="125">
      <c r="A125" s="49"/>
      <c r="B125" s="50"/>
      <c r="C125" s="51" t="s">
        <v>34</v>
      </c>
      <c r="D125" s="52">
        <f>VLOOKUP(C125, 'LIST HPP'!$B$4:$C$39, 2, FALSE)</f>
        <v>14616.31</v>
      </c>
      <c r="E125" s="53"/>
      <c r="F125" s="68"/>
      <c r="G125" s="69">
        <f t="shared" si="5"/>
        <v>0</v>
      </c>
      <c r="H125" s="62">
        <f t="shared" si="2"/>
        <v>0</v>
      </c>
      <c r="I125" s="50"/>
      <c r="J125" s="50"/>
      <c r="K125" s="50"/>
      <c r="L125" s="55"/>
    </row>
    <row r="126">
      <c r="A126" s="74"/>
      <c r="B126" s="74" t="str">
        <f>#REF!</f>
        <v>#REF!</v>
      </c>
      <c r="C126" s="74"/>
      <c r="D126" s="74"/>
      <c r="E126" s="74"/>
      <c r="F126" s="74"/>
      <c r="G126" s="74"/>
      <c r="H126" s="75"/>
      <c r="I126" s="76">
        <f t="shared" ref="I126:J126" si="6">SUM(I2:I125)</f>
        <v>681751.51</v>
      </c>
      <c r="J126" s="76">
        <f t="shared" si="6"/>
        <v>1146139</v>
      </c>
      <c r="K126" s="76"/>
      <c r="L126" s="76">
        <f>SUM(L2:L125)</f>
        <v>464387.49</v>
      </c>
    </row>
    <row r="127">
      <c r="A127" s="74"/>
      <c r="B127" s="74"/>
      <c r="C127" s="74"/>
      <c r="D127" s="74"/>
      <c r="E127" s="74"/>
      <c r="F127" s="74"/>
      <c r="G127" s="74"/>
      <c r="H127" s="75"/>
      <c r="I127" s="76"/>
      <c r="J127" s="77"/>
      <c r="K127" s="78"/>
      <c r="L127" s="76"/>
    </row>
    <row r="128">
      <c r="A128" s="79" t="s">
        <v>49</v>
      </c>
      <c r="B128" s="80"/>
      <c r="C128" s="80"/>
      <c r="D128" s="80"/>
      <c r="E128" s="80"/>
      <c r="F128" s="80"/>
      <c r="G128" s="81"/>
      <c r="H128" s="75"/>
      <c r="I128" s="82" t="s">
        <v>50</v>
      </c>
      <c r="J128" s="81"/>
      <c r="K128" s="78"/>
      <c r="L128" s="76"/>
    </row>
    <row r="129">
      <c r="A129" s="83" t="s">
        <v>51</v>
      </c>
      <c r="B129" s="84" t="s">
        <v>52</v>
      </c>
      <c r="C129" s="85"/>
      <c r="D129" s="85"/>
      <c r="E129" s="85"/>
      <c r="F129" s="86" t="s">
        <v>53</v>
      </c>
      <c r="G129" s="87"/>
      <c r="H129" s="75"/>
      <c r="K129" s="78"/>
      <c r="L129" s="76"/>
    </row>
    <row r="130">
      <c r="A130" s="90"/>
      <c r="B130" s="91"/>
      <c r="C130" s="86" t="s">
        <v>55</v>
      </c>
      <c r="D130" s="92" t="s">
        <v>56</v>
      </c>
      <c r="E130" s="86" t="s">
        <v>57</v>
      </c>
      <c r="F130" s="86" t="s">
        <v>58</v>
      </c>
      <c r="G130" s="93" t="s">
        <v>59</v>
      </c>
      <c r="H130" s="75"/>
      <c r="K130" s="78"/>
      <c r="L130" s="76"/>
    </row>
    <row r="131">
      <c r="A131" s="96" t="s">
        <v>9</v>
      </c>
      <c r="B131" s="97">
        <v>1.0</v>
      </c>
      <c r="C131" s="97" t="s">
        <v>60</v>
      </c>
      <c r="D131" s="98">
        <v>70.0</v>
      </c>
      <c r="E131" s="97" t="s">
        <v>61</v>
      </c>
      <c r="F131" s="99">
        <f>VLOOKUP(A131, '28052026'!$I$130:$J$158, 2, )</f>
        <v>8</v>
      </c>
      <c r="G131" s="100">
        <f>D131*F131</f>
        <v>560</v>
      </c>
      <c r="H131" s="75"/>
      <c r="K131" s="78"/>
      <c r="L131" s="76"/>
    </row>
    <row r="132">
      <c r="A132" s="35"/>
      <c r="B132" s="97">
        <v>2.0</v>
      </c>
      <c r="C132" s="97" t="s">
        <v>62</v>
      </c>
      <c r="D132" s="98">
        <v>1.0</v>
      </c>
      <c r="E132" s="97" t="s">
        <v>63</v>
      </c>
      <c r="F132" s="36"/>
      <c r="G132" s="100">
        <f>D132*F131</f>
        <v>8</v>
      </c>
      <c r="H132" s="75"/>
      <c r="K132" s="78"/>
      <c r="L132" s="76"/>
    </row>
    <row r="133">
      <c r="A133" s="35"/>
      <c r="B133" s="97">
        <v>3.0</v>
      </c>
      <c r="C133" s="97" t="s">
        <v>64</v>
      </c>
      <c r="D133" s="98">
        <v>1.0</v>
      </c>
      <c r="E133" s="97" t="s">
        <v>63</v>
      </c>
      <c r="F133" s="36"/>
      <c r="G133" s="100">
        <f>D133*F131</f>
        <v>8</v>
      </c>
      <c r="H133" s="75"/>
      <c r="K133" s="78"/>
      <c r="L133" s="76"/>
    </row>
    <row r="134">
      <c r="A134" s="35"/>
      <c r="B134" s="97">
        <v>4.0</v>
      </c>
      <c r="C134" s="97" t="s">
        <v>65</v>
      </c>
      <c r="D134" s="98">
        <v>1.0</v>
      </c>
      <c r="E134" s="97" t="s">
        <v>63</v>
      </c>
      <c r="F134" s="36"/>
      <c r="G134" s="100">
        <f>D134*F131</f>
        <v>8</v>
      </c>
      <c r="H134" s="75"/>
      <c r="K134" s="78"/>
      <c r="L134" s="76"/>
    </row>
    <row r="135">
      <c r="A135" s="90"/>
      <c r="B135" s="97">
        <v>5.0</v>
      </c>
      <c r="C135" s="97" t="s">
        <v>66</v>
      </c>
      <c r="D135" s="98">
        <v>180.0</v>
      </c>
      <c r="E135" s="97" t="s">
        <v>61</v>
      </c>
      <c r="F135" s="91"/>
      <c r="G135" s="100">
        <f>D135*F131</f>
        <v>1440</v>
      </c>
      <c r="H135" s="75"/>
      <c r="K135" s="78"/>
      <c r="L135" s="76"/>
    </row>
    <row r="136">
      <c r="A136" s="96" t="s">
        <v>10</v>
      </c>
      <c r="B136" s="97">
        <v>1.0</v>
      </c>
      <c r="C136" s="97" t="s">
        <v>67</v>
      </c>
      <c r="D136" s="98">
        <v>130.0</v>
      </c>
      <c r="E136" s="97" t="s">
        <v>61</v>
      </c>
      <c r="F136" s="99">
        <f>VLOOKUP(A136, '28052026'!$I$130:$J$158, 2, )</f>
        <v>3</v>
      </c>
      <c r="G136" s="100">
        <f>D136*F136</f>
        <v>390</v>
      </c>
      <c r="H136" s="75"/>
      <c r="K136" s="78"/>
      <c r="L136" s="76"/>
    </row>
    <row r="137">
      <c r="A137" s="35"/>
      <c r="B137" s="97">
        <v>2.0</v>
      </c>
      <c r="C137" s="97" t="s">
        <v>62</v>
      </c>
      <c r="D137" s="98">
        <v>1.0</v>
      </c>
      <c r="E137" s="97" t="s">
        <v>63</v>
      </c>
      <c r="F137" s="36"/>
      <c r="G137" s="100">
        <f>D137*F136</f>
        <v>3</v>
      </c>
      <c r="H137" s="75"/>
      <c r="K137" s="78"/>
      <c r="L137" s="76"/>
    </row>
    <row r="138">
      <c r="A138" s="35"/>
      <c r="B138" s="97">
        <v>3.0</v>
      </c>
      <c r="C138" s="97" t="s">
        <v>64</v>
      </c>
      <c r="D138" s="98">
        <v>1.0</v>
      </c>
      <c r="E138" s="97" t="s">
        <v>63</v>
      </c>
      <c r="F138" s="36"/>
      <c r="G138" s="100">
        <f>D138*F136</f>
        <v>3</v>
      </c>
      <c r="H138" s="75"/>
      <c r="K138" s="78"/>
      <c r="L138" s="76"/>
    </row>
    <row r="139">
      <c r="A139" s="90"/>
      <c r="B139" s="97">
        <v>4.0</v>
      </c>
      <c r="C139" s="97" t="s">
        <v>66</v>
      </c>
      <c r="D139" s="98">
        <v>180.0</v>
      </c>
      <c r="E139" s="97" t="s">
        <v>61</v>
      </c>
      <c r="F139" s="91"/>
      <c r="G139" s="100">
        <f>D139*F136</f>
        <v>540</v>
      </c>
      <c r="H139" s="75"/>
      <c r="K139" s="78"/>
      <c r="L139" s="76"/>
    </row>
    <row r="140">
      <c r="A140" s="96" t="s">
        <v>11</v>
      </c>
      <c r="B140" s="97">
        <v>1.0</v>
      </c>
      <c r="C140" s="97" t="s">
        <v>67</v>
      </c>
      <c r="D140" s="98">
        <v>130.0</v>
      </c>
      <c r="E140" s="97" t="s">
        <v>61</v>
      </c>
      <c r="F140" s="99">
        <f>VLOOKUP(A140, '28052026'!$I$130:$J$158, 2, )</f>
        <v>8</v>
      </c>
      <c r="G140" s="100">
        <f>D140*F140</f>
        <v>1040</v>
      </c>
      <c r="H140" s="75"/>
      <c r="K140" s="78"/>
      <c r="L140" s="76"/>
    </row>
    <row r="141">
      <c r="A141" s="35"/>
      <c r="B141" s="97">
        <v>2.0</v>
      </c>
      <c r="C141" s="97" t="s">
        <v>62</v>
      </c>
      <c r="D141" s="98">
        <v>1.0</v>
      </c>
      <c r="E141" s="97" t="s">
        <v>63</v>
      </c>
      <c r="F141" s="36"/>
      <c r="G141" s="100">
        <f>D141*F140</f>
        <v>8</v>
      </c>
      <c r="H141" s="75"/>
      <c r="K141" s="78"/>
      <c r="L141" s="76"/>
    </row>
    <row r="142">
      <c r="A142" s="35"/>
      <c r="B142" s="97">
        <v>3.0</v>
      </c>
      <c r="C142" s="97" t="s">
        <v>64</v>
      </c>
      <c r="D142" s="98">
        <v>1.0</v>
      </c>
      <c r="E142" s="97" t="s">
        <v>63</v>
      </c>
      <c r="F142" s="36"/>
      <c r="G142" s="101">
        <f>D142*F140</f>
        <v>8</v>
      </c>
      <c r="H142" s="75"/>
      <c r="K142" s="78"/>
      <c r="L142" s="76"/>
    </row>
    <row r="143">
      <c r="A143" s="35"/>
      <c r="B143" s="97">
        <v>4.0</v>
      </c>
      <c r="C143" s="97" t="s">
        <v>66</v>
      </c>
      <c r="D143" s="98">
        <v>180.0</v>
      </c>
      <c r="E143" s="97" t="s">
        <v>61</v>
      </c>
      <c r="F143" s="36"/>
      <c r="G143" s="101">
        <f>D143*F140</f>
        <v>1440</v>
      </c>
      <c r="H143" s="75"/>
      <c r="K143" s="78"/>
      <c r="L143" s="76"/>
    </row>
    <row r="144">
      <c r="A144" s="90"/>
      <c r="B144" s="97">
        <v>5.0</v>
      </c>
      <c r="C144" s="97" t="s">
        <v>68</v>
      </c>
      <c r="D144" s="98">
        <v>20.0</v>
      </c>
      <c r="E144" s="97" t="s">
        <v>61</v>
      </c>
      <c r="F144" s="91"/>
      <c r="G144" s="101">
        <f>D144*F140</f>
        <v>160</v>
      </c>
      <c r="H144" s="75"/>
      <c r="K144" s="78"/>
      <c r="L144" s="76"/>
    </row>
    <row r="145">
      <c r="A145" s="96" t="s">
        <v>13</v>
      </c>
      <c r="B145" s="97">
        <v>1.0</v>
      </c>
      <c r="C145" s="97" t="s">
        <v>60</v>
      </c>
      <c r="D145" s="98">
        <v>140.0</v>
      </c>
      <c r="E145" s="97" t="s">
        <v>61</v>
      </c>
      <c r="F145" s="99">
        <f>VLOOKUP(A145, '28052026'!$I$130:$J$158, 2, )</f>
        <v>0</v>
      </c>
      <c r="G145" s="101">
        <f>D145*F145</f>
        <v>0</v>
      </c>
      <c r="H145" s="75"/>
      <c r="K145" s="78"/>
      <c r="L145" s="76"/>
    </row>
    <row r="146">
      <c r="A146" s="90"/>
      <c r="B146" s="97">
        <v>2.0</v>
      </c>
      <c r="C146" s="97" t="s">
        <v>69</v>
      </c>
      <c r="D146" s="98">
        <v>1.0</v>
      </c>
      <c r="E146" s="97" t="s">
        <v>63</v>
      </c>
      <c r="F146" s="91"/>
      <c r="G146" s="101">
        <f>D146*F145</f>
        <v>0</v>
      </c>
      <c r="H146" s="75"/>
      <c r="K146" s="78"/>
      <c r="L146" s="76"/>
    </row>
    <row r="147">
      <c r="A147" s="96" t="s">
        <v>14</v>
      </c>
      <c r="B147" s="97">
        <v>1.0</v>
      </c>
      <c r="C147" s="97" t="s">
        <v>67</v>
      </c>
      <c r="D147" s="98">
        <v>260.0</v>
      </c>
      <c r="E147" s="97" t="s">
        <v>61</v>
      </c>
      <c r="F147" s="99">
        <f>VLOOKUP(A147, '28052026'!$I$130:$J$158, 2, )</f>
        <v>5</v>
      </c>
      <c r="G147" s="101">
        <f>D147*F147</f>
        <v>1300</v>
      </c>
      <c r="H147" s="75"/>
      <c r="K147" s="78"/>
      <c r="L147" s="76"/>
    </row>
    <row r="148">
      <c r="A148" s="35"/>
      <c r="B148" s="97">
        <v>2.0</v>
      </c>
      <c r="C148" s="97" t="s">
        <v>62</v>
      </c>
      <c r="D148" s="98">
        <v>1.0</v>
      </c>
      <c r="E148" s="97" t="s">
        <v>63</v>
      </c>
      <c r="F148" s="36"/>
      <c r="G148" s="101">
        <f>D148*F147</f>
        <v>5</v>
      </c>
      <c r="H148" s="75"/>
      <c r="K148" s="78"/>
      <c r="L148" s="76"/>
    </row>
    <row r="149">
      <c r="A149" s="90"/>
      <c r="B149" s="97">
        <v>3.0</v>
      </c>
      <c r="C149" s="97" t="s">
        <v>64</v>
      </c>
      <c r="D149" s="98">
        <v>1.0</v>
      </c>
      <c r="E149" s="97" t="s">
        <v>63</v>
      </c>
      <c r="F149" s="91"/>
      <c r="G149" s="101">
        <f>D149*F147</f>
        <v>5</v>
      </c>
      <c r="H149" s="75"/>
      <c r="K149" s="78"/>
      <c r="L149" s="76"/>
    </row>
    <row r="150">
      <c r="A150" s="96" t="s">
        <v>15</v>
      </c>
      <c r="B150" s="97">
        <v>1.0</v>
      </c>
      <c r="C150" s="97" t="s">
        <v>67</v>
      </c>
      <c r="D150" s="98">
        <v>260.0</v>
      </c>
      <c r="E150" s="97" t="s">
        <v>61</v>
      </c>
      <c r="F150" s="99">
        <f>VLOOKUP(A150, '28052026'!$I$130:$J$158, 2, )</f>
        <v>0</v>
      </c>
      <c r="G150" s="101">
        <f>D150*F150</f>
        <v>0</v>
      </c>
      <c r="H150" s="75"/>
      <c r="K150" s="78"/>
      <c r="L150" s="76"/>
    </row>
    <row r="151">
      <c r="A151" s="35"/>
      <c r="B151" s="97">
        <v>2.0</v>
      </c>
      <c r="C151" s="97" t="s">
        <v>62</v>
      </c>
      <c r="D151" s="98">
        <v>1.0</v>
      </c>
      <c r="E151" s="97" t="s">
        <v>63</v>
      </c>
      <c r="F151" s="36"/>
      <c r="G151" s="101">
        <f>D151*F150</f>
        <v>0</v>
      </c>
      <c r="H151" s="75"/>
      <c r="K151" s="78"/>
      <c r="L151" s="76"/>
    </row>
    <row r="152">
      <c r="A152" s="35"/>
      <c r="B152" s="97">
        <v>3.0</v>
      </c>
      <c r="C152" s="97" t="s">
        <v>64</v>
      </c>
      <c r="D152" s="98">
        <v>1.0</v>
      </c>
      <c r="E152" s="97" t="s">
        <v>63</v>
      </c>
      <c r="F152" s="36"/>
      <c r="G152" s="101">
        <f>D152*F150</f>
        <v>0</v>
      </c>
      <c r="H152" s="75"/>
      <c r="K152" s="78"/>
      <c r="L152" s="76"/>
    </row>
    <row r="153">
      <c r="A153" s="90"/>
      <c r="B153" s="97">
        <v>4.0</v>
      </c>
      <c r="C153" s="97" t="s">
        <v>68</v>
      </c>
      <c r="D153" s="98">
        <v>40.0</v>
      </c>
      <c r="E153" s="97" t="s">
        <v>61</v>
      </c>
      <c r="F153" s="91"/>
      <c r="G153" s="101">
        <f>D153*F150</f>
        <v>0</v>
      </c>
      <c r="H153" s="75"/>
      <c r="K153" s="78"/>
      <c r="L153" s="76"/>
    </row>
    <row r="154">
      <c r="A154" s="96" t="s">
        <v>17</v>
      </c>
      <c r="B154" s="97">
        <v>1.0</v>
      </c>
      <c r="C154" s="97" t="s">
        <v>67</v>
      </c>
      <c r="D154" s="98">
        <v>130.0</v>
      </c>
      <c r="E154" s="97" t="s">
        <v>70</v>
      </c>
      <c r="F154" s="99">
        <f>VLOOKUP(A154, '28052026'!$I$130:$J$158, 2, )</f>
        <v>2</v>
      </c>
      <c r="G154" s="101">
        <f>D154*F154</f>
        <v>260</v>
      </c>
      <c r="H154" s="75"/>
      <c r="K154" s="78"/>
      <c r="L154" s="76"/>
    </row>
    <row r="155">
      <c r="A155" s="35"/>
      <c r="B155" s="97">
        <v>2.0</v>
      </c>
      <c r="C155" s="97" t="s">
        <v>62</v>
      </c>
      <c r="D155" s="98">
        <v>1.0</v>
      </c>
      <c r="E155" s="97" t="s">
        <v>63</v>
      </c>
      <c r="F155" s="36"/>
      <c r="G155" s="101">
        <f>D155*F154</f>
        <v>2</v>
      </c>
      <c r="H155" s="75"/>
      <c r="K155" s="78"/>
      <c r="L155" s="76"/>
    </row>
    <row r="156">
      <c r="A156" s="35"/>
      <c r="B156" s="97">
        <v>3.0</v>
      </c>
      <c r="C156" s="97" t="s">
        <v>64</v>
      </c>
      <c r="D156" s="98">
        <v>1.0</v>
      </c>
      <c r="E156" s="97" t="s">
        <v>63</v>
      </c>
      <c r="F156" s="36"/>
      <c r="G156" s="101">
        <f>D156*F154</f>
        <v>2</v>
      </c>
      <c r="H156" s="75"/>
      <c r="K156" s="78"/>
      <c r="L156" s="76"/>
    </row>
    <row r="157">
      <c r="A157" s="35"/>
      <c r="B157" s="97">
        <v>4.0</v>
      </c>
      <c r="C157" s="97" t="s">
        <v>66</v>
      </c>
      <c r="D157" s="98">
        <v>180.0</v>
      </c>
      <c r="E157" s="97" t="s">
        <v>61</v>
      </c>
      <c r="F157" s="36"/>
      <c r="G157" s="101">
        <f>D157*F154</f>
        <v>360</v>
      </c>
      <c r="H157" s="75"/>
      <c r="K157" s="78"/>
      <c r="L157" s="76"/>
    </row>
    <row r="158">
      <c r="A158" s="90"/>
      <c r="B158" s="97">
        <v>5.0</v>
      </c>
      <c r="C158" s="97" t="s">
        <v>20</v>
      </c>
      <c r="D158" s="98">
        <v>1.0</v>
      </c>
      <c r="E158" s="97" t="s">
        <v>63</v>
      </c>
      <c r="F158" s="91"/>
      <c r="G158" s="101">
        <f>D158*F154</f>
        <v>2</v>
      </c>
      <c r="H158" s="75"/>
      <c r="K158" s="78"/>
      <c r="L158" s="76"/>
    </row>
    <row r="159">
      <c r="A159" s="96" t="s">
        <v>16</v>
      </c>
      <c r="B159" s="97">
        <v>1.0</v>
      </c>
      <c r="C159" s="97" t="s">
        <v>71</v>
      </c>
      <c r="D159" s="98">
        <v>2.0</v>
      </c>
      <c r="E159" s="97" t="s">
        <v>63</v>
      </c>
      <c r="F159" s="99">
        <f>VLOOKUP(A159, '28052026'!$I$130:$J$158, 2, )</f>
        <v>0</v>
      </c>
      <c r="G159" s="101">
        <f>D159*F159</f>
        <v>0</v>
      </c>
      <c r="H159" s="75"/>
      <c r="K159" s="78"/>
      <c r="L159" s="76"/>
    </row>
    <row r="160">
      <c r="A160" s="35"/>
      <c r="B160" s="97">
        <v>2.0</v>
      </c>
      <c r="C160" s="97" t="s">
        <v>62</v>
      </c>
      <c r="D160" s="98">
        <v>1.0</v>
      </c>
      <c r="E160" s="97" t="s">
        <v>63</v>
      </c>
      <c r="F160" s="36"/>
      <c r="G160" s="101">
        <f>D160*F159</f>
        <v>0</v>
      </c>
      <c r="H160" s="75"/>
      <c r="K160" s="78"/>
      <c r="L160" s="76"/>
    </row>
    <row r="161">
      <c r="A161" s="35"/>
      <c r="B161" s="97">
        <v>3.0</v>
      </c>
      <c r="C161" s="97" t="s">
        <v>64</v>
      </c>
      <c r="D161" s="98">
        <v>1.0</v>
      </c>
      <c r="E161" s="97" t="s">
        <v>63</v>
      </c>
      <c r="F161" s="36"/>
      <c r="G161" s="101">
        <f>D161*F159</f>
        <v>0</v>
      </c>
      <c r="H161" s="75"/>
      <c r="I161" s="105"/>
      <c r="J161" s="106"/>
      <c r="K161" s="78"/>
      <c r="L161" s="76"/>
    </row>
    <row r="162">
      <c r="A162" s="35"/>
      <c r="B162" s="97">
        <v>4.0</v>
      </c>
      <c r="C162" s="97" t="s">
        <v>66</v>
      </c>
      <c r="D162" s="98">
        <v>180.0</v>
      </c>
      <c r="E162" s="97" t="s">
        <v>61</v>
      </c>
      <c r="F162" s="36"/>
      <c r="G162" s="101">
        <f>D162*F159</f>
        <v>0</v>
      </c>
      <c r="H162" s="75"/>
      <c r="I162" s="105"/>
      <c r="J162" s="106"/>
      <c r="K162" s="78"/>
      <c r="L162" s="76"/>
    </row>
    <row r="163">
      <c r="A163" s="35"/>
      <c r="B163" s="97">
        <v>5.0</v>
      </c>
      <c r="C163" s="97" t="s">
        <v>20</v>
      </c>
      <c r="D163" s="98">
        <v>1.0</v>
      </c>
      <c r="E163" s="97" t="s">
        <v>63</v>
      </c>
      <c r="F163" s="36"/>
      <c r="G163" s="101">
        <f>D163*F159</f>
        <v>0</v>
      </c>
      <c r="H163" s="75"/>
      <c r="I163" s="105"/>
      <c r="J163" s="106"/>
      <c r="K163" s="78"/>
      <c r="L163" s="76"/>
    </row>
    <row r="164">
      <c r="A164" s="35"/>
      <c r="B164" s="97">
        <v>6.0</v>
      </c>
      <c r="C164" s="97" t="s">
        <v>72</v>
      </c>
      <c r="D164" s="98">
        <v>3.0</v>
      </c>
      <c r="E164" s="97" t="s">
        <v>61</v>
      </c>
      <c r="F164" s="36"/>
      <c r="G164" s="101">
        <f>D164*F159</f>
        <v>0</v>
      </c>
      <c r="H164" s="75"/>
      <c r="I164" s="76"/>
      <c r="J164" s="77"/>
      <c r="K164" s="78"/>
      <c r="L164" s="76"/>
    </row>
    <row r="165">
      <c r="A165" s="35"/>
      <c r="B165" s="97">
        <v>7.0</v>
      </c>
      <c r="C165" s="97" t="s">
        <v>73</v>
      </c>
      <c r="D165" s="98">
        <v>3.0</v>
      </c>
      <c r="E165" s="97" t="s">
        <v>61</v>
      </c>
      <c r="F165" s="36"/>
      <c r="G165" s="101">
        <f>D165*F159</f>
        <v>0</v>
      </c>
      <c r="H165" s="75"/>
      <c r="I165" s="76"/>
      <c r="J165" s="77"/>
      <c r="K165" s="78"/>
      <c r="L165" s="76"/>
    </row>
    <row r="166">
      <c r="A166" s="90"/>
      <c r="B166" s="97">
        <v>8.0</v>
      </c>
      <c r="C166" s="97" t="s">
        <v>74</v>
      </c>
      <c r="D166" s="98">
        <v>5.0</v>
      </c>
      <c r="E166" s="97" t="s">
        <v>61</v>
      </c>
      <c r="F166" s="91"/>
      <c r="G166" s="101">
        <f>D166*F159</f>
        <v>0</v>
      </c>
      <c r="H166" s="75"/>
      <c r="I166" s="76"/>
      <c r="J166" s="77"/>
      <c r="K166" s="78"/>
      <c r="L166" s="76"/>
    </row>
    <row r="167">
      <c r="A167" s="96" t="s">
        <v>19</v>
      </c>
      <c r="B167" s="97">
        <v>1.0</v>
      </c>
      <c r="C167" s="97" t="s">
        <v>75</v>
      </c>
      <c r="D167" s="98">
        <v>1.0</v>
      </c>
      <c r="E167" s="97" t="s">
        <v>70</v>
      </c>
      <c r="F167" s="99">
        <f>VLOOKUP(A167, '28052026'!$I$130:$J$158, 2, )</f>
        <v>10</v>
      </c>
      <c r="G167" s="101">
        <f>D167*F167</f>
        <v>10</v>
      </c>
      <c r="H167" s="75"/>
      <c r="I167" s="76"/>
      <c r="J167" s="77"/>
      <c r="K167" s="78"/>
      <c r="L167" s="76"/>
    </row>
    <row r="168">
      <c r="A168" s="35"/>
      <c r="B168" s="97">
        <v>2.0</v>
      </c>
      <c r="C168" s="97" t="s">
        <v>76</v>
      </c>
      <c r="D168" s="98">
        <v>1.0</v>
      </c>
      <c r="E168" s="97" t="s">
        <v>77</v>
      </c>
      <c r="F168" s="36"/>
      <c r="G168" s="101">
        <f>D168*F167</f>
        <v>10</v>
      </c>
      <c r="H168" s="75"/>
      <c r="I168" s="76"/>
      <c r="J168" s="77"/>
      <c r="K168" s="78"/>
      <c r="L168" s="76"/>
    </row>
    <row r="169">
      <c r="A169" s="35"/>
      <c r="B169" s="97">
        <v>3.0</v>
      </c>
      <c r="C169" s="97" t="s">
        <v>78</v>
      </c>
      <c r="D169" s="98">
        <v>0.5</v>
      </c>
      <c r="E169" s="97" t="s">
        <v>61</v>
      </c>
      <c r="F169" s="36"/>
      <c r="G169" s="101">
        <f>D169*F167</f>
        <v>5</v>
      </c>
      <c r="H169" s="75"/>
      <c r="I169" s="76"/>
      <c r="J169" s="77"/>
      <c r="K169" s="78"/>
      <c r="L169" s="76"/>
    </row>
    <row r="170">
      <c r="A170" s="90"/>
      <c r="B170" s="97">
        <v>4.0</v>
      </c>
      <c r="C170" s="97" t="s">
        <v>79</v>
      </c>
      <c r="D170" s="98">
        <v>1.0</v>
      </c>
      <c r="E170" s="97" t="s">
        <v>70</v>
      </c>
      <c r="F170" s="91"/>
      <c r="G170" s="101">
        <f>D170*F167</f>
        <v>10</v>
      </c>
      <c r="H170" s="75"/>
      <c r="I170" s="76"/>
      <c r="J170" s="77"/>
      <c r="K170" s="78"/>
      <c r="L170" s="76"/>
    </row>
    <row r="171">
      <c r="A171" s="96" t="s">
        <v>23</v>
      </c>
      <c r="B171" s="97">
        <v>1.0</v>
      </c>
      <c r="C171" s="97" t="s">
        <v>66</v>
      </c>
      <c r="D171" s="98">
        <v>180.0</v>
      </c>
      <c r="E171" s="97" t="s">
        <v>61</v>
      </c>
      <c r="F171" s="99">
        <f>VLOOKUP(A171, '28052026'!$I$130:$J$158, 2, )</f>
        <v>0</v>
      </c>
      <c r="G171" s="101">
        <f>D171*F171</f>
        <v>0</v>
      </c>
      <c r="H171" s="75"/>
      <c r="I171" s="76"/>
      <c r="J171" s="77"/>
      <c r="K171" s="78"/>
      <c r="L171" s="76"/>
    </row>
    <row r="172">
      <c r="A172" s="90"/>
      <c r="B172" s="97">
        <v>2.0</v>
      </c>
      <c r="C172" s="97" t="s">
        <v>79</v>
      </c>
      <c r="D172" s="98">
        <v>1.0</v>
      </c>
      <c r="E172" s="97" t="s">
        <v>63</v>
      </c>
      <c r="F172" s="91"/>
      <c r="G172" s="101">
        <f>D172*F171</f>
        <v>0</v>
      </c>
      <c r="H172" s="75"/>
      <c r="I172" s="76"/>
      <c r="J172" s="77"/>
      <c r="K172" s="78"/>
      <c r="L172" s="76"/>
    </row>
    <row r="173">
      <c r="A173" s="107" t="s">
        <v>20</v>
      </c>
      <c r="B173" s="97">
        <v>1.0</v>
      </c>
      <c r="C173" s="97" t="s">
        <v>20</v>
      </c>
      <c r="D173" s="98">
        <v>1.0</v>
      </c>
      <c r="E173" s="97" t="s">
        <v>70</v>
      </c>
      <c r="F173" s="98">
        <f>VLOOKUP(A173, $I$130:$J$158, 2, FALSE)</f>
        <v>1</v>
      </c>
      <c r="G173" s="101">
        <f t="shared" ref="G173:G177" si="7">D173*F173</f>
        <v>1</v>
      </c>
      <c r="H173" s="75"/>
      <c r="I173" s="76"/>
      <c r="J173" s="77"/>
      <c r="K173" s="78"/>
      <c r="L173" s="76"/>
    </row>
    <row r="174">
      <c r="A174" s="107" t="s">
        <v>21</v>
      </c>
      <c r="B174" s="97">
        <v>1.0</v>
      </c>
      <c r="C174" s="97" t="s">
        <v>80</v>
      </c>
      <c r="D174" s="98">
        <v>1.0</v>
      </c>
      <c r="E174" s="97" t="s">
        <v>58</v>
      </c>
      <c r="F174" s="98">
        <f>VLOOKUP(A174, $I$130:$J$160, 2, FALSE)</f>
        <v>2</v>
      </c>
      <c r="G174" s="101">
        <f t="shared" si="7"/>
        <v>2</v>
      </c>
      <c r="H174" s="75"/>
      <c r="I174" s="76"/>
      <c r="J174" s="77"/>
      <c r="K174" s="78"/>
      <c r="L174" s="76"/>
    </row>
    <row r="175">
      <c r="A175" s="94" t="s">
        <v>28</v>
      </c>
      <c r="B175" s="97">
        <v>1.0</v>
      </c>
      <c r="C175" s="97" t="s">
        <v>67</v>
      </c>
      <c r="D175" s="98">
        <v>65.0</v>
      </c>
      <c r="E175" s="97" t="s">
        <v>61</v>
      </c>
      <c r="F175" s="98">
        <f>VLOOKUP(A175, '28052026'!$I$130:$J$158, 2, )</f>
        <v>0</v>
      </c>
      <c r="G175" s="101">
        <f t="shared" si="7"/>
        <v>0</v>
      </c>
      <c r="H175" s="75"/>
      <c r="I175" s="76"/>
      <c r="J175" s="77"/>
      <c r="K175" s="78"/>
      <c r="L175" s="76"/>
    </row>
    <row r="176">
      <c r="A176" s="94" t="s">
        <v>29</v>
      </c>
      <c r="B176" s="97">
        <v>1.0</v>
      </c>
      <c r="C176" s="97" t="s">
        <v>60</v>
      </c>
      <c r="D176" s="98">
        <v>35.0</v>
      </c>
      <c r="E176" s="97" t="s">
        <v>61</v>
      </c>
      <c r="F176" s="98">
        <f>VLOOKUP(A176, '28052026'!$I$130:$J$158, 2, )</f>
        <v>0</v>
      </c>
      <c r="G176" s="101">
        <f t="shared" si="7"/>
        <v>0</v>
      </c>
      <c r="H176" s="75"/>
      <c r="I176" s="76"/>
      <c r="J176" s="77"/>
      <c r="K176" s="78"/>
      <c r="L176" s="76"/>
    </row>
    <row r="177">
      <c r="A177" s="96" t="s">
        <v>12</v>
      </c>
      <c r="B177" s="97">
        <v>1.0</v>
      </c>
      <c r="C177" s="97" t="s">
        <v>81</v>
      </c>
      <c r="D177" s="98">
        <v>1.0</v>
      </c>
      <c r="E177" s="97" t="s">
        <v>58</v>
      </c>
      <c r="F177" s="108">
        <f>VLOOKUP(A177, '28052026'!$I$130:$J$158, 2, )</f>
        <v>16</v>
      </c>
      <c r="G177" s="101">
        <f t="shared" si="7"/>
        <v>16</v>
      </c>
      <c r="H177" s="75"/>
      <c r="I177" s="76"/>
      <c r="J177" s="77"/>
      <c r="K177" s="78"/>
      <c r="L177" s="76"/>
    </row>
    <row r="178">
      <c r="A178" s="35"/>
      <c r="B178" s="97">
        <v>2.0</v>
      </c>
      <c r="C178" s="97" t="s">
        <v>82</v>
      </c>
      <c r="D178" s="98">
        <v>10.0</v>
      </c>
      <c r="E178" s="97" t="s">
        <v>61</v>
      </c>
      <c r="F178" s="36"/>
      <c r="G178" s="101">
        <f>D178*F177</f>
        <v>160</v>
      </c>
      <c r="H178" s="75"/>
      <c r="I178" s="76"/>
      <c r="J178" s="77"/>
      <c r="K178" s="78"/>
      <c r="L178" s="76"/>
    </row>
    <row r="179">
      <c r="A179" s="35"/>
      <c r="B179" s="97">
        <v>3.0</v>
      </c>
      <c r="C179" s="97" t="s">
        <v>62</v>
      </c>
      <c r="D179" s="98">
        <v>1.0</v>
      </c>
      <c r="E179" s="97" t="s">
        <v>63</v>
      </c>
      <c r="F179" s="36"/>
      <c r="G179" s="101">
        <f>D179*F177</f>
        <v>16</v>
      </c>
      <c r="H179" s="75"/>
      <c r="I179" s="76"/>
      <c r="J179" s="77"/>
      <c r="K179" s="78"/>
      <c r="L179" s="76"/>
    </row>
    <row r="180">
      <c r="A180" s="35"/>
      <c r="B180" s="97">
        <v>4.0</v>
      </c>
      <c r="C180" s="97" t="s">
        <v>64</v>
      </c>
      <c r="D180" s="98">
        <v>1.0</v>
      </c>
      <c r="E180" s="97" t="s">
        <v>63</v>
      </c>
      <c r="F180" s="36"/>
      <c r="G180" s="101">
        <f>D180*F177</f>
        <v>16</v>
      </c>
      <c r="H180" s="75"/>
      <c r="I180" s="76"/>
      <c r="J180" s="77"/>
      <c r="K180" s="78"/>
      <c r="L180" s="76"/>
    </row>
    <row r="181">
      <c r="A181" s="35"/>
      <c r="B181" s="97">
        <v>5.0</v>
      </c>
      <c r="C181" s="97" t="s">
        <v>66</v>
      </c>
      <c r="D181" s="98">
        <v>180.0</v>
      </c>
      <c r="E181" s="97" t="s">
        <v>61</v>
      </c>
      <c r="F181" s="36"/>
      <c r="G181" s="101">
        <f>D181*F177</f>
        <v>2880</v>
      </c>
      <c r="H181" s="75"/>
      <c r="I181" s="76"/>
      <c r="J181" s="77"/>
      <c r="K181" s="78"/>
      <c r="L181" s="76"/>
    </row>
    <row r="182">
      <c r="A182" s="90"/>
      <c r="B182" s="97">
        <v>6.0</v>
      </c>
      <c r="C182" s="97" t="s">
        <v>76</v>
      </c>
      <c r="D182" s="98">
        <v>1.0</v>
      </c>
      <c r="E182" s="97" t="s">
        <v>61</v>
      </c>
      <c r="F182" s="91"/>
      <c r="G182" s="101">
        <f>D182*F177</f>
        <v>16</v>
      </c>
      <c r="H182" s="75"/>
      <c r="I182" s="76"/>
      <c r="J182" s="77"/>
      <c r="K182" s="78"/>
      <c r="L182" s="76"/>
    </row>
    <row r="183">
      <c r="A183" s="96" t="s">
        <v>18</v>
      </c>
      <c r="B183" s="97">
        <v>1.0</v>
      </c>
      <c r="C183" s="97" t="s">
        <v>81</v>
      </c>
      <c r="D183" s="98">
        <v>1.0</v>
      </c>
      <c r="E183" s="97" t="s">
        <v>58</v>
      </c>
      <c r="F183" s="108">
        <f>VLOOKUP(A183, '28052026'!$I$130:$J$158, 2, )</f>
        <v>6</v>
      </c>
      <c r="G183" s="101">
        <f>D183*F183</f>
        <v>6</v>
      </c>
      <c r="H183" s="75"/>
      <c r="I183" s="76"/>
      <c r="J183" s="77"/>
      <c r="K183" s="78"/>
      <c r="L183" s="76"/>
    </row>
    <row r="184">
      <c r="A184" s="35"/>
      <c r="B184" s="97">
        <v>2.0</v>
      </c>
      <c r="C184" s="97" t="s">
        <v>20</v>
      </c>
      <c r="D184" s="98">
        <v>1.0</v>
      </c>
      <c r="E184" s="97" t="s">
        <v>63</v>
      </c>
      <c r="F184" s="36"/>
      <c r="G184" s="101">
        <f>D184*F183</f>
        <v>6</v>
      </c>
      <c r="H184" s="75"/>
      <c r="I184" s="76"/>
      <c r="J184" s="77"/>
      <c r="K184" s="78"/>
      <c r="L184" s="76"/>
    </row>
    <row r="185">
      <c r="A185" s="35"/>
      <c r="B185" s="97">
        <v>3.0</v>
      </c>
      <c r="C185" s="97" t="s">
        <v>62</v>
      </c>
      <c r="D185" s="98">
        <v>1.0</v>
      </c>
      <c r="E185" s="97" t="s">
        <v>63</v>
      </c>
      <c r="F185" s="36"/>
      <c r="G185" s="101">
        <f>D185*F183</f>
        <v>6</v>
      </c>
      <c r="H185" s="75"/>
      <c r="I185" s="76"/>
      <c r="J185" s="77"/>
      <c r="K185" s="78"/>
      <c r="L185" s="76"/>
    </row>
    <row r="186">
      <c r="A186" s="35"/>
      <c r="B186" s="97">
        <v>4.0</v>
      </c>
      <c r="C186" s="97" t="s">
        <v>64</v>
      </c>
      <c r="D186" s="98">
        <v>1.0</v>
      </c>
      <c r="E186" s="97" t="s">
        <v>63</v>
      </c>
      <c r="F186" s="36"/>
      <c r="G186" s="101">
        <f>D186*F183</f>
        <v>6</v>
      </c>
      <c r="H186" s="75"/>
      <c r="I186" s="76"/>
      <c r="J186" s="77"/>
      <c r="K186" s="78"/>
      <c r="L186" s="76"/>
    </row>
    <row r="187">
      <c r="A187" s="35"/>
      <c r="B187" s="97">
        <v>5.0</v>
      </c>
      <c r="C187" s="97" t="s">
        <v>66</v>
      </c>
      <c r="D187" s="98">
        <v>180.0</v>
      </c>
      <c r="E187" s="97" t="s">
        <v>61</v>
      </c>
      <c r="F187" s="36"/>
      <c r="G187" s="101">
        <f>D187*F183</f>
        <v>1080</v>
      </c>
      <c r="H187" s="75"/>
      <c r="I187" s="76"/>
      <c r="J187" s="77"/>
      <c r="K187" s="78"/>
      <c r="L187" s="76"/>
    </row>
    <row r="188">
      <c r="A188" s="90"/>
      <c r="B188" s="97">
        <v>6.0</v>
      </c>
      <c r="C188" s="97" t="s">
        <v>76</v>
      </c>
      <c r="D188" s="98">
        <v>1.0</v>
      </c>
      <c r="E188" s="97" t="s">
        <v>61</v>
      </c>
      <c r="F188" s="91"/>
      <c r="G188" s="101">
        <f>D188*F183</f>
        <v>6</v>
      </c>
      <c r="H188" s="75"/>
      <c r="I188" s="76"/>
      <c r="J188" s="77"/>
      <c r="K188" s="78"/>
      <c r="L188" s="76"/>
    </row>
    <row r="189">
      <c r="A189" s="96" t="s">
        <v>4</v>
      </c>
      <c r="B189" s="97">
        <v>1.0</v>
      </c>
      <c r="C189" s="97" t="s">
        <v>83</v>
      </c>
      <c r="D189" s="98">
        <v>4.0</v>
      </c>
      <c r="E189" s="97" t="s">
        <v>61</v>
      </c>
      <c r="F189" s="108">
        <f>VLOOKUP(A189, '28052026'!$I$130:$J$158, 2, )</f>
        <v>0</v>
      </c>
      <c r="G189" s="101">
        <f>D189*F189</f>
        <v>0</v>
      </c>
      <c r="H189" s="75"/>
      <c r="I189" s="76"/>
      <c r="J189" s="77"/>
      <c r="K189" s="78"/>
      <c r="L189" s="76"/>
    </row>
    <row r="190">
      <c r="A190" s="35"/>
      <c r="B190" s="97">
        <v>2.0</v>
      </c>
      <c r="C190" s="97" t="s">
        <v>84</v>
      </c>
      <c r="D190" s="98">
        <v>15.0</v>
      </c>
      <c r="E190" s="97" t="s">
        <v>61</v>
      </c>
      <c r="F190" s="36"/>
      <c r="G190" s="101">
        <f>D190*F189</f>
        <v>0</v>
      </c>
      <c r="H190" s="75"/>
      <c r="I190" s="76"/>
      <c r="J190" s="77"/>
      <c r="K190" s="78"/>
      <c r="L190" s="76"/>
    </row>
    <row r="191">
      <c r="A191" s="35"/>
      <c r="B191" s="97">
        <v>3.0</v>
      </c>
      <c r="C191" s="97" t="s">
        <v>85</v>
      </c>
      <c r="D191" s="98">
        <v>50.0</v>
      </c>
      <c r="E191" s="97" t="s">
        <v>86</v>
      </c>
      <c r="F191" s="36"/>
      <c r="G191" s="100">
        <f>D191*F189</f>
        <v>0</v>
      </c>
      <c r="H191" s="75"/>
      <c r="I191" s="76"/>
      <c r="J191" s="77"/>
      <c r="K191" s="78"/>
      <c r="L191" s="76"/>
    </row>
    <row r="192">
      <c r="A192" s="35"/>
      <c r="B192" s="97">
        <v>4.0</v>
      </c>
      <c r="C192" s="97" t="s">
        <v>87</v>
      </c>
      <c r="D192" s="98">
        <v>180.0</v>
      </c>
      <c r="E192" s="97" t="s">
        <v>61</v>
      </c>
      <c r="F192" s="36"/>
      <c r="G192" s="100">
        <f>D192*F189</f>
        <v>0</v>
      </c>
      <c r="H192" s="75"/>
      <c r="I192" s="76"/>
      <c r="J192" s="77"/>
      <c r="K192" s="78"/>
      <c r="L192" s="76"/>
    </row>
    <row r="193">
      <c r="A193" s="35"/>
      <c r="B193" s="97">
        <v>5.0</v>
      </c>
      <c r="C193" s="97" t="s">
        <v>88</v>
      </c>
      <c r="D193" s="98">
        <v>125.0</v>
      </c>
      <c r="E193" s="97" t="s">
        <v>86</v>
      </c>
      <c r="F193" s="36"/>
      <c r="G193" s="100">
        <f>D193*F189</f>
        <v>0</v>
      </c>
      <c r="H193" s="75"/>
      <c r="I193" s="76"/>
      <c r="J193" s="77"/>
      <c r="K193" s="78"/>
      <c r="L193" s="76"/>
    </row>
    <row r="194">
      <c r="A194" s="35"/>
      <c r="B194" s="97">
        <v>6.0</v>
      </c>
      <c r="C194" s="97" t="s">
        <v>89</v>
      </c>
      <c r="D194" s="98">
        <v>1.0</v>
      </c>
      <c r="E194" s="97" t="s">
        <v>63</v>
      </c>
      <c r="F194" s="36"/>
      <c r="G194" s="100">
        <f>D194*F189</f>
        <v>0</v>
      </c>
      <c r="H194" s="75"/>
      <c r="I194" s="76"/>
      <c r="J194" s="77"/>
      <c r="K194" s="78"/>
      <c r="L194" s="76"/>
    </row>
    <row r="195">
      <c r="A195" s="90"/>
      <c r="B195" s="97">
        <v>7.0</v>
      </c>
      <c r="C195" s="97" t="s">
        <v>90</v>
      </c>
      <c r="D195" s="98">
        <v>1.0</v>
      </c>
      <c r="E195" s="97" t="s">
        <v>63</v>
      </c>
      <c r="F195" s="91"/>
      <c r="G195" s="100">
        <f>D195*F189</f>
        <v>0</v>
      </c>
      <c r="H195" s="75"/>
      <c r="I195" s="76"/>
      <c r="J195" s="77"/>
      <c r="K195" s="78"/>
      <c r="L195" s="76"/>
    </row>
    <row r="196">
      <c r="A196" s="96" t="s">
        <v>5</v>
      </c>
      <c r="B196" s="97">
        <v>1.0</v>
      </c>
      <c r="C196" s="97" t="s">
        <v>91</v>
      </c>
      <c r="D196" s="98">
        <v>5.0</v>
      </c>
      <c r="E196" s="97" t="s">
        <v>61</v>
      </c>
      <c r="F196" s="108">
        <f>VLOOKUP(A196, '28052026'!$I$130:$J$158, 2, )</f>
        <v>1</v>
      </c>
      <c r="G196" s="100">
        <f>D196*F196</f>
        <v>5</v>
      </c>
      <c r="H196" s="75"/>
      <c r="I196" s="76"/>
      <c r="J196" s="77"/>
      <c r="K196" s="78"/>
      <c r="L196" s="76"/>
    </row>
    <row r="197">
      <c r="A197" s="35"/>
      <c r="B197" s="97">
        <v>2.0</v>
      </c>
      <c r="C197" s="97" t="s">
        <v>84</v>
      </c>
      <c r="D197" s="98">
        <v>15.0</v>
      </c>
      <c r="E197" s="97" t="s">
        <v>61</v>
      </c>
      <c r="F197" s="36"/>
      <c r="G197" s="100">
        <f>D197*F196</f>
        <v>15</v>
      </c>
      <c r="H197" s="75"/>
      <c r="I197" s="76"/>
      <c r="J197" s="77"/>
      <c r="K197" s="78"/>
      <c r="L197" s="76"/>
    </row>
    <row r="198">
      <c r="A198" s="35"/>
      <c r="B198" s="97">
        <v>3.0</v>
      </c>
      <c r="C198" s="97" t="s">
        <v>85</v>
      </c>
      <c r="D198" s="98">
        <v>50.0</v>
      </c>
      <c r="E198" s="97" t="s">
        <v>86</v>
      </c>
      <c r="F198" s="36"/>
      <c r="G198" s="100">
        <f>D198*F196</f>
        <v>50</v>
      </c>
      <c r="H198" s="75"/>
      <c r="I198" s="76"/>
      <c r="J198" s="77"/>
      <c r="K198" s="78"/>
      <c r="L198" s="76"/>
    </row>
    <row r="199">
      <c r="A199" s="35"/>
      <c r="B199" s="97">
        <v>4.0</v>
      </c>
      <c r="C199" s="97" t="s">
        <v>87</v>
      </c>
      <c r="D199" s="98">
        <v>180.0</v>
      </c>
      <c r="E199" s="97" t="s">
        <v>61</v>
      </c>
      <c r="F199" s="36"/>
      <c r="G199" s="100">
        <f>D199*F196</f>
        <v>180</v>
      </c>
      <c r="H199" s="75"/>
      <c r="I199" s="76"/>
      <c r="J199" s="77"/>
      <c r="K199" s="78"/>
      <c r="L199" s="76"/>
    </row>
    <row r="200">
      <c r="A200" s="35"/>
      <c r="B200" s="97">
        <v>5.0</v>
      </c>
      <c r="C200" s="97" t="s">
        <v>88</v>
      </c>
      <c r="D200" s="98">
        <v>125.0</v>
      </c>
      <c r="E200" s="97" t="s">
        <v>86</v>
      </c>
      <c r="F200" s="36"/>
      <c r="G200" s="100">
        <f>D200*F196</f>
        <v>125</v>
      </c>
      <c r="H200" s="75"/>
      <c r="I200" s="76"/>
      <c r="J200" s="77"/>
      <c r="K200" s="78"/>
      <c r="L200" s="76"/>
    </row>
    <row r="201">
      <c r="A201" s="35"/>
      <c r="B201" s="97">
        <v>6.0</v>
      </c>
      <c r="C201" s="97" t="s">
        <v>89</v>
      </c>
      <c r="D201" s="98">
        <v>1.0</v>
      </c>
      <c r="E201" s="97" t="s">
        <v>63</v>
      </c>
      <c r="F201" s="36"/>
      <c r="G201" s="100">
        <f>D201*F196</f>
        <v>1</v>
      </c>
      <c r="H201" s="75"/>
      <c r="I201" s="76"/>
      <c r="J201" s="77"/>
      <c r="K201" s="78"/>
      <c r="L201" s="76"/>
    </row>
    <row r="202">
      <c r="A202" s="90"/>
      <c r="B202" s="97">
        <v>7.0</v>
      </c>
      <c r="C202" s="97" t="s">
        <v>90</v>
      </c>
      <c r="D202" s="98">
        <v>1.0</v>
      </c>
      <c r="E202" s="97" t="s">
        <v>63</v>
      </c>
      <c r="F202" s="91"/>
      <c r="G202" s="100">
        <f>D202*F196</f>
        <v>1</v>
      </c>
      <c r="H202" s="75"/>
      <c r="I202" s="76"/>
      <c r="J202" s="77"/>
      <c r="K202" s="78"/>
      <c r="L202" s="76"/>
    </row>
    <row r="203">
      <c r="A203" s="96" t="s">
        <v>6</v>
      </c>
      <c r="B203" s="97">
        <v>1.0</v>
      </c>
      <c r="C203" s="97" t="s">
        <v>6</v>
      </c>
      <c r="D203" s="98">
        <v>16.0</v>
      </c>
      <c r="E203" s="97" t="s">
        <v>61</v>
      </c>
      <c r="F203" s="108">
        <f>VLOOKUP(A203, '28052026'!$I$130:$J$158, 2, )</f>
        <v>2</v>
      </c>
      <c r="G203" s="100">
        <f>D203*F203</f>
        <v>32</v>
      </c>
      <c r="H203" s="75"/>
      <c r="I203" s="76"/>
      <c r="J203" s="77"/>
      <c r="K203" s="78"/>
      <c r="L203" s="76"/>
    </row>
    <row r="204">
      <c r="A204" s="35"/>
      <c r="B204" s="97">
        <v>2.0</v>
      </c>
      <c r="C204" s="97" t="s">
        <v>92</v>
      </c>
      <c r="D204" s="98">
        <v>15.0</v>
      </c>
      <c r="E204" s="97" t="s">
        <v>61</v>
      </c>
      <c r="F204" s="36"/>
      <c r="G204" s="100">
        <f>D204*F203</f>
        <v>30</v>
      </c>
      <c r="H204" s="75"/>
      <c r="I204" s="76"/>
      <c r="J204" s="77"/>
      <c r="K204" s="78"/>
      <c r="L204" s="76"/>
    </row>
    <row r="205">
      <c r="A205" s="35"/>
      <c r="B205" s="97">
        <v>3.0</v>
      </c>
      <c r="C205" s="97" t="s">
        <v>84</v>
      </c>
      <c r="D205" s="98">
        <v>8.0</v>
      </c>
      <c r="E205" s="97" t="s">
        <v>61</v>
      </c>
      <c r="F205" s="36"/>
      <c r="G205" s="100">
        <f>D205*F203</f>
        <v>16</v>
      </c>
      <c r="H205" s="75"/>
      <c r="I205" s="76"/>
      <c r="J205" s="77"/>
      <c r="K205" s="78"/>
      <c r="L205" s="76"/>
    </row>
    <row r="206">
      <c r="A206" s="35"/>
      <c r="B206" s="97">
        <v>4.0</v>
      </c>
      <c r="C206" s="97" t="s">
        <v>85</v>
      </c>
      <c r="D206" s="98">
        <v>50.0</v>
      </c>
      <c r="E206" s="97" t="s">
        <v>86</v>
      </c>
      <c r="F206" s="36"/>
      <c r="G206" s="100">
        <f>D206*F203</f>
        <v>100</v>
      </c>
      <c r="H206" s="75"/>
      <c r="I206" s="76"/>
      <c r="J206" s="77"/>
      <c r="K206" s="78"/>
      <c r="L206" s="76"/>
    </row>
    <row r="207">
      <c r="A207" s="35"/>
      <c r="B207" s="97">
        <v>5.0</v>
      </c>
      <c r="C207" s="97" t="s">
        <v>88</v>
      </c>
      <c r="D207" s="98">
        <v>125.0</v>
      </c>
      <c r="E207" s="97" t="s">
        <v>86</v>
      </c>
      <c r="F207" s="36"/>
      <c r="G207" s="100">
        <f>D207*F203</f>
        <v>250</v>
      </c>
      <c r="H207" s="75"/>
      <c r="I207" s="76"/>
      <c r="J207" s="77"/>
      <c r="K207" s="78"/>
      <c r="L207" s="76"/>
    </row>
    <row r="208">
      <c r="A208" s="35"/>
      <c r="B208" s="97">
        <v>6.0</v>
      </c>
      <c r="C208" s="97" t="s">
        <v>87</v>
      </c>
      <c r="D208" s="98">
        <v>180.0</v>
      </c>
      <c r="E208" s="97" t="s">
        <v>61</v>
      </c>
      <c r="F208" s="36"/>
      <c r="G208" s="100">
        <f>D208*F203</f>
        <v>360</v>
      </c>
      <c r="H208" s="75"/>
      <c r="I208" s="76"/>
      <c r="J208" s="77"/>
      <c r="K208" s="78"/>
      <c r="L208" s="76"/>
    </row>
    <row r="209">
      <c r="A209" s="35"/>
      <c r="B209" s="97">
        <v>7.0</v>
      </c>
      <c r="C209" s="97" t="s">
        <v>89</v>
      </c>
      <c r="D209" s="98">
        <v>1.0</v>
      </c>
      <c r="E209" s="97" t="s">
        <v>63</v>
      </c>
      <c r="F209" s="36"/>
      <c r="G209" s="100">
        <f>D209*F203</f>
        <v>2</v>
      </c>
      <c r="H209" s="75"/>
      <c r="I209" s="76"/>
      <c r="J209" s="77"/>
      <c r="K209" s="78"/>
      <c r="L209" s="76"/>
    </row>
    <row r="210">
      <c r="A210" s="90"/>
      <c r="B210" s="97">
        <v>8.0</v>
      </c>
      <c r="C210" s="97" t="s">
        <v>90</v>
      </c>
      <c r="D210" s="98">
        <v>1.0</v>
      </c>
      <c r="E210" s="97" t="s">
        <v>63</v>
      </c>
      <c r="F210" s="91"/>
      <c r="G210" s="100">
        <f>D210*F203</f>
        <v>2</v>
      </c>
      <c r="H210" s="75"/>
      <c r="I210" s="76"/>
      <c r="J210" s="77"/>
      <c r="K210" s="78"/>
      <c r="L210" s="76"/>
    </row>
    <row r="211">
      <c r="A211" s="96" t="s">
        <v>7</v>
      </c>
      <c r="B211" s="97">
        <v>1.0</v>
      </c>
      <c r="C211" s="97" t="s">
        <v>83</v>
      </c>
      <c r="D211" s="98">
        <v>1.5</v>
      </c>
      <c r="E211" s="97" t="s">
        <v>61</v>
      </c>
      <c r="F211" s="108">
        <f>VLOOKUP(A211, '28052026'!$I$130:$J$158, 2, )</f>
        <v>2</v>
      </c>
      <c r="G211" s="100">
        <f>D211*F211</f>
        <v>3</v>
      </c>
      <c r="H211" s="75"/>
      <c r="I211" s="76"/>
      <c r="J211" s="77"/>
      <c r="K211" s="78"/>
      <c r="L211" s="76"/>
    </row>
    <row r="212">
      <c r="A212" s="35"/>
      <c r="B212" s="97">
        <v>2.0</v>
      </c>
      <c r="C212" s="97" t="s">
        <v>84</v>
      </c>
      <c r="D212" s="98">
        <v>25.0</v>
      </c>
      <c r="E212" s="97" t="s">
        <v>61</v>
      </c>
      <c r="F212" s="36"/>
      <c r="G212" s="100">
        <f>D212*F211</f>
        <v>50</v>
      </c>
      <c r="H212" s="75"/>
      <c r="I212" s="76"/>
      <c r="J212" s="77"/>
      <c r="K212" s="78"/>
      <c r="L212" s="76"/>
    </row>
    <row r="213">
      <c r="A213" s="35"/>
      <c r="B213" s="97">
        <v>3.0</v>
      </c>
      <c r="C213" s="97" t="s">
        <v>85</v>
      </c>
      <c r="D213" s="98">
        <v>50.0</v>
      </c>
      <c r="E213" s="97" t="s">
        <v>86</v>
      </c>
      <c r="F213" s="36"/>
      <c r="G213" s="100">
        <f>D213*F211</f>
        <v>100</v>
      </c>
      <c r="H213" s="75"/>
      <c r="I213" s="76"/>
      <c r="J213" s="77"/>
      <c r="K213" s="78"/>
      <c r="L213" s="76"/>
    </row>
    <row r="214">
      <c r="A214" s="35"/>
      <c r="B214" s="97">
        <v>4.0</v>
      </c>
      <c r="C214" s="97" t="s">
        <v>87</v>
      </c>
      <c r="D214" s="98">
        <v>180.0</v>
      </c>
      <c r="E214" s="97" t="s">
        <v>61</v>
      </c>
      <c r="F214" s="36"/>
      <c r="G214" s="100">
        <f>D214*F211</f>
        <v>360</v>
      </c>
      <c r="H214" s="75"/>
      <c r="I214" s="76"/>
      <c r="J214" s="77"/>
      <c r="K214" s="78"/>
      <c r="L214" s="76"/>
    </row>
    <row r="215">
      <c r="A215" s="35"/>
      <c r="B215" s="97">
        <v>5.0</v>
      </c>
      <c r="C215" s="97" t="s">
        <v>85</v>
      </c>
      <c r="D215" s="98">
        <v>125.0</v>
      </c>
      <c r="E215" s="97" t="s">
        <v>86</v>
      </c>
      <c r="F215" s="36"/>
      <c r="G215" s="100">
        <f>D215*F211</f>
        <v>250</v>
      </c>
      <c r="H215" s="75"/>
      <c r="I215" s="76"/>
      <c r="J215" s="77"/>
      <c r="K215" s="78"/>
      <c r="L215" s="76"/>
    </row>
    <row r="216">
      <c r="A216" s="35"/>
      <c r="B216" s="97">
        <v>6.0</v>
      </c>
      <c r="C216" s="97" t="s">
        <v>89</v>
      </c>
      <c r="D216" s="98">
        <v>1.0</v>
      </c>
      <c r="E216" s="97" t="s">
        <v>63</v>
      </c>
      <c r="F216" s="36"/>
      <c r="G216" s="100">
        <f>D216*F211</f>
        <v>2</v>
      </c>
      <c r="H216" s="75"/>
      <c r="I216" s="76"/>
      <c r="J216" s="77"/>
      <c r="K216" s="78"/>
      <c r="L216" s="76"/>
    </row>
    <row r="217">
      <c r="A217" s="90"/>
      <c r="B217" s="97">
        <v>7.0</v>
      </c>
      <c r="C217" s="97" t="s">
        <v>90</v>
      </c>
      <c r="D217" s="98">
        <v>1.0</v>
      </c>
      <c r="E217" s="97" t="s">
        <v>63</v>
      </c>
      <c r="F217" s="91"/>
      <c r="G217" s="100">
        <f>D217*F211</f>
        <v>2</v>
      </c>
      <c r="H217" s="75"/>
      <c r="I217" s="76"/>
      <c r="J217" s="77"/>
      <c r="K217" s="78"/>
      <c r="L217" s="76"/>
    </row>
    <row r="218">
      <c r="A218" s="96" t="s">
        <v>22</v>
      </c>
      <c r="B218" s="97">
        <v>1.0</v>
      </c>
      <c r="C218" s="97" t="s">
        <v>6</v>
      </c>
      <c r="D218" s="98">
        <v>16.0</v>
      </c>
      <c r="E218" s="97" t="s">
        <v>61</v>
      </c>
      <c r="F218" s="108">
        <f>VLOOKUP(A218, '28052026'!$I$130:$J$158, 2, )</f>
        <v>0</v>
      </c>
      <c r="G218" s="100">
        <f>D218*F218</f>
        <v>0</v>
      </c>
      <c r="H218" s="75"/>
      <c r="I218" s="76"/>
      <c r="J218" s="77"/>
      <c r="K218" s="78"/>
      <c r="L218" s="76"/>
    </row>
    <row r="219">
      <c r="A219" s="35"/>
      <c r="B219" s="97">
        <v>2.0</v>
      </c>
      <c r="C219" s="97" t="s">
        <v>92</v>
      </c>
      <c r="D219" s="98">
        <v>15.0</v>
      </c>
      <c r="E219" s="97" t="s">
        <v>61</v>
      </c>
      <c r="F219" s="36"/>
      <c r="G219" s="100">
        <f>D219*F218</f>
        <v>0</v>
      </c>
      <c r="H219" s="75"/>
      <c r="I219" s="76"/>
      <c r="J219" s="77"/>
      <c r="K219" s="78"/>
      <c r="L219" s="76"/>
    </row>
    <row r="220">
      <c r="A220" s="35"/>
      <c r="B220" s="97">
        <v>3.0</v>
      </c>
      <c r="C220" s="97" t="s">
        <v>84</v>
      </c>
      <c r="D220" s="98">
        <v>8.0</v>
      </c>
      <c r="E220" s="97" t="s">
        <v>61</v>
      </c>
      <c r="F220" s="36"/>
      <c r="G220" s="100">
        <f>D220*F218</f>
        <v>0</v>
      </c>
      <c r="H220" s="75"/>
      <c r="I220" s="76"/>
      <c r="J220" s="77"/>
      <c r="K220" s="78"/>
      <c r="L220" s="76"/>
    </row>
    <row r="221">
      <c r="A221" s="35"/>
      <c r="B221" s="97">
        <v>4.0</v>
      </c>
      <c r="C221" s="97" t="s">
        <v>93</v>
      </c>
      <c r="D221" s="98">
        <v>20.0</v>
      </c>
      <c r="E221" s="97" t="s">
        <v>61</v>
      </c>
      <c r="F221" s="36"/>
      <c r="G221" s="100">
        <f>D221*F218</f>
        <v>0</v>
      </c>
      <c r="H221" s="75"/>
      <c r="I221" s="76"/>
      <c r="J221" s="77"/>
      <c r="K221" s="78"/>
      <c r="L221" s="76"/>
    </row>
    <row r="222">
      <c r="A222" s="35"/>
      <c r="B222" s="97">
        <v>5.0</v>
      </c>
      <c r="C222" s="97" t="s">
        <v>85</v>
      </c>
      <c r="D222" s="98">
        <v>50.0</v>
      </c>
      <c r="E222" s="97" t="s">
        <v>86</v>
      </c>
      <c r="F222" s="36"/>
      <c r="G222" s="100">
        <f>D222*F218</f>
        <v>0</v>
      </c>
      <c r="H222" s="75"/>
      <c r="I222" s="76"/>
      <c r="J222" s="77"/>
      <c r="K222" s="78"/>
      <c r="L222" s="76"/>
    </row>
    <row r="223">
      <c r="A223" s="35"/>
      <c r="B223" s="97">
        <v>6.0</v>
      </c>
      <c r="C223" s="97" t="s">
        <v>88</v>
      </c>
      <c r="D223" s="98">
        <v>125.0</v>
      </c>
      <c r="E223" s="97" t="s">
        <v>86</v>
      </c>
      <c r="F223" s="36"/>
      <c r="G223" s="100">
        <f>D223*F218</f>
        <v>0</v>
      </c>
      <c r="H223" s="75"/>
      <c r="I223" s="76"/>
      <c r="J223" s="77"/>
      <c r="K223" s="78"/>
      <c r="L223" s="76"/>
    </row>
    <row r="224">
      <c r="A224" s="35"/>
      <c r="B224" s="97">
        <v>7.0</v>
      </c>
      <c r="C224" s="97" t="s">
        <v>87</v>
      </c>
      <c r="D224" s="98">
        <v>180.0</v>
      </c>
      <c r="E224" s="97" t="s">
        <v>61</v>
      </c>
      <c r="F224" s="36"/>
      <c r="G224" s="100">
        <f>D224*F218</f>
        <v>0</v>
      </c>
      <c r="H224" s="75"/>
      <c r="I224" s="76"/>
      <c r="J224" s="77"/>
      <c r="K224" s="78"/>
      <c r="L224" s="76"/>
    </row>
    <row r="225">
      <c r="A225" s="35"/>
      <c r="B225" s="97">
        <v>8.0</v>
      </c>
      <c r="C225" s="97" t="s">
        <v>89</v>
      </c>
      <c r="D225" s="98">
        <v>1.0</v>
      </c>
      <c r="E225" s="97" t="s">
        <v>63</v>
      </c>
      <c r="F225" s="36"/>
      <c r="G225" s="100">
        <f>D225*F218</f>
        <v>0</v>
      </c>
      <c r="H225" s="75"/>
      <c r="I225" s="76"/>
      <c r="J225" s="77"/>
      <c r="K225" s="78"/>
      <c r="L225" s="76"/>
    </row>
    <row r="226">
      <c r="A226" s="90"/>
      <c r="B226" s="97">
        <v>9.0</v>
      </c>
      <c r="C226" s="97" t="s">
        <v>90</v>
      </c>
      <c r="D226" s="98">
        <v>1.0</v>
      </c>
      <c r="E226" s="97" t="s">
        <v>63</v>
      </c>
      <c r="F226" s="91"/>
      <c r="G226" s="100">
        <f>D226*F218</f>
        <v>0</v>
      </c>
      <c r="H226" s="75"/>
      <c r="I226" s="76"/>
      <c r="J226" s="77"/>
      <c r="K226" s="78"/>
      <c r="L226" s="76"/>
    </row>
    <row r="227">
      <c r="A227" s="109" t="s">
        <v>8</v>
      </c>
      <c r="B227" s="110">
        <v>1.0</v>
      </c>
      <c r="C227" s="111" t="s">
        <v>94</v>
      </c>
      <c r="D227" s="112">
        <v>0.067</v>
      </c>
      <c r="E227" s="113" t="s">
        <v>63</v>
      </c>
      <c r="F227" s="114">
        <f>VLOOKUP(A227, '28052026'!$I$130:$J$158, 2, )</f>
        <v>20</v>
      </c>
      <c r="G227" s="115">
        <f>D227*F227</f>
        <v>1.34</v>
      </c>
      <c r="H227" s="75"/>
      <c r="I227" s="76"/>
      <c r="J227" s="77"/>
      <c r="K227" s="78"/>
      <c r="L227" s="76"/>
    </row>
    <row r="228">
      <c r="A228" s="35"/>
      <c r="B228" s="116">
        <v>2.0</v>
      </c>
      <c r="C228" s="117" t="s">
        <v>84</v>
      </c>
      <c r="D228" s="118">
        <v>20.0</v>
      </c>
      <c r="E228" s="119" t="s">
        <v>61</v>
      </c>
      <c r="F228" s="36"/>
      <c r="G228" s="115">
        <f>D228*F227</f>
        <v>400</v>
      </c>
      <c r="H228" s="75"/>
      <c r="I228" s="76"/>
      <c r="J228" s="77"/>
      <c r="K228" s="78"/>
      <c r="L228" s="76"/>
    </row>
    <row r="229">
      <c r="A229" s="35"/>
      <c r="B229" s="116">
        <v>3.0</v>
      </c>
      <c r="C229" s="117" t="s">
        <v>85</v>
      </c>
      <c r="D229" s="118">
        <v>50.0</v>
      </c>
      <c r="E229" s="119" t="s">
        <v>86</v>
      </c>
      <c r="F229" s="36"/>
      <c r="G229" s="115">
        <f>D229*F227</f>
        <v>1000</v>
      </c>
      <c r="H229" s="75"/>
      <c r="I229" s="76"/>
      <c r="J229" s="77"/>
      <c r="K229" s="78"/>
      <c r="L229" s="76"/>
    </row>
    <row r="230">
      <c r="A230" s="35"/>
      <c r="B230" s="116">
        <v>4.0</v>
      </c>
      <c r="C230" s="117" t="s">
        <v>87</v>
      </c>
      <c r="D230" s="118">
        <v>180.0</v>
      </c>
      <c r="E230" s="119" t="s">
        <v>61</v>
      </c>
      <c r="F230" s="36"/>
      <c r="G230" s="115">
        <f>D230*F227</f>
        <v>3600</v>
      </c>
      <c r="H230" s="75"/>
      <c r="I230" s="76"/>
      <c r="J230" s="77"/>
      <c r="K230" s="78"/>
      <c r="L230" s="76"/>
    </row>
    <row r="231">
      <c r="A231" s="35"/>
      <c r="B231" s="116">
        <v>6.0</v>
      </c>
      <c r="C231" s="117" t="s">
        <v>89</v>
      </c>
      <c r="D231" s="118">
        <v>1.0</v>
      </c>
      <c r="E231" s="119" t="s">
        <v>63</v>
      </c>
      <c r="F231" s="36"/>
      <c r="G231" s="115">
        <f>D231*F227</f>
        <v>20</v>
      </c>
      <c r="H231" s="75"/>
      <c r="I231" s="76"/>
      <c r="J231" s="77"/>
      <c r="K231" s="78"/>
      <c r="L231" s="76"/>
    </row>
    <row r="232">
      <c r="A232" s="90"/>
      <c r="B232" s="116">
        <v>7.0</v>
      </c>
      <c r="C232" s="117" t="s">
        <v>90</v>
      </c>
      <c r="D232" s="118">
        <v>1.0</v>
      </c>
      <c r="E232" s="119" t="s">
        <v>63</v>
      </c>
      <c r="F232" s="91"/>
      <c r="G232" s="115">
        <f>D232*F227</f>
        <v>20</v>
      </c>
      <c r="H232" s="75"/>
      <c r="I232" s="76"/>
      <c r="J232" s="77"/>
      <c r="K232" s="78"/>
      <c r="L232" s="76"/>
    </row>
    <row r="233">
      <c r="A233" s="120" t="s">
        <v>31</v>
      </c>
      <c r="B233" s="121">
        <v>1.0</v>
      </c>
      <c r="C233" s="121" t="s">
        <v>60</v>
      </c>
      <c r="D233" s="122">
        <v>70.0</v>
      </c>
      <c r="E233" s="121" t="s">
        <v>61</v>
      </c>
      <c r="F233" s="114">
        <f>VLOOKUP(A233, '28052026'!$I$130:$J$158, 2, )</f>
        <v>2</v>
      </c>
      <c r="G233" s="123">
        <f>D233*F233</f>
        <v>140</v>
      </c>
      <c r="H233" s="75"/>
      <c r="I233" s="76"/>
      <c r="J233" s="77"/>
      <c r="K233" s="78"/>
      <c r="L233" s="76"/>
    </row>
    <row r="234">
      <c r="A234" s="35"/>
      <c r="B234" s="121">
        <v>2.0</v>
      </c>
      <c r="C234" s="121" t="s">
        <v>20</v>
      </c>
      <c r="D234" s="122">
        <v>1.0</v>
      </c>
      <c r="E234" s="121" t="s">
        <v>63</v>
      </c>
      <c r="F234" s="36"/>
      <c r="G234" s="123">
        <f>D234*F233</f>
        <v>2</v>
      </c>
      <c r="H234" s="75"/>
      <c r="I234" s="76"/>
      <c r="J234" s="77"/>
      <c r="K234" s="78"/>
      <c r="L234" s="76"/>
    </row>
    <row r="235">
      <c r="A235" s="35"/>
      <c r="B235" s="121">
        <v>3.0</v>
      </c>
      <c r="C235" s="97" t="s">
        <v>62</v>
      </c>
      <c r="D235" s="98">
        <v>1.0</v>
      </c>
      <c r="E235" s="97" t="s">
        <v>63</v>
      </c>
      <c r="F235" s="36"/>
      <c r="G235" s="123">
        <f>D235*F233</f>
        <v>2</v>
      </c>
      <c r="H235" s="75"/>
      <c r="I235" s="76"/>
      <c r="J235" s="77"/>
      <c r="K235" s="78"/>
      <c r="L235" s="76"/>
    </row>
    <row r="236">
      <c r="A236" s="35"/>
      <c r="B236" s="121">
        <v>4.0</v>
      </c>
      <c r="C236" s="97" t="s">
        <v>64</v>
      </c>
      <c r="D236" s="98">
        <v>1.0</v>
      </c>
      <c r="E236" s="97" t="s">
        <v>63</v>
      </c>
      <c r="F236" s="36"/>
      <c r="G236" s="123">
        <f>D236*F233</f>
        <v>2</v>
      </c>
      <c r="H236" s="75"/>
      <c r="I236" s="76"/>
      <c r="J236" s="77"/>
      <c r="K236" s="78"/>
      <c r="L236" s="76"/>
    </row>
    <row r="237">
      <c r="A237" s="35"/>
      <c r="B237" s="121">
        <v>5.0</v>
      </c>
      <c r="C237" s="121" t="s">
        <v>66</v>
      </c>
      <c r="D237" s="122">
        <v>180.0</v>
      </c>
      <c r="E237" s="121" t="s">
        <v>61</v>
      </c>
      <c r="F237" s="36"/>
      <c r="G237" s="123">
        <f>D237*F233</f>
        <v>360</v>
      </c>
      <c r="H237" s="75"/>
      <c r="I237" s="76"/>
      <c r="J237" s="77"/>
      <c r="K237" s="78"/>
      <c r="L237" s="76"/>
    </row>
    <row r="238">
      <c r="A238" s="90"/>
      <c r="B238" s="121">
        <v>6.0</v>
      </c>
      <c r="C238" s="121" t="s">
        <v>65</v>
      </c>
      <c r="D238" s="122">
        <v>1.0</v>
      </c>
      <c r="E238" s="121" t="s">
        <v>63</v>
      </c>
      <c r="F238" s="91"/>
      <c r="G238" s="123">
        <f>D238*F233</f>
        <v>2</v>
      </c>
      <c r="H238" s="75"/>
      <c r="I238" s="76"/>
      <c r="J238" s="77"/>
      <c r="K238" s="78"/>
      <c r="L238" s="76"/>
    </row>
    <row r="239">
      <c r="A239" s="120" t="s">
        <v>30</v>
      </c>
      <c r="B239" s="124">
        <v>1.0</v>
      </c>
      <c r="C239" s="125" t="s">
        <v>30</v>
      </c>
      <c r="D239" s="126">
        <v>1.0</v>
      </c>
      <c r="E239" s="124" t="s">
        <v>63</v>
      </c>
      <c r="F239" s="114">
        <f>VLOOKUP(A239, '28052026'!$I$130:$J$158, 2, )</f>
        <v>0</v>
      </c>
      <c r="G239" s="127">
        <f t="shared" ref="G239:G240" si="8">D239*F239</f>
        <v>0</v>
      </c>
      <c r="H239" s="75"/>
      <c r="I239" s="76"/>
      <c r="J239" s="77"/>
      <c r="K239" s="78"/>
      <c r="L239" s="76"/>
    </row>
    <row r="240">
      <c r="A240" s="128" t="s">
        <v>33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'28052026'!$I$130:$J$158, 2, )</f>
        <v>1</v>
      </c>
      <c r="G240" s="134">
        <f t="shared" si="8"/>
        <v>67.5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7.5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117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1.25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67</v>
      </c>
      <c r="D244" s="136">
        <v>130.0</v>
      </c>
      <c r="E244" s="129" t="s">
        <v>61</v>
      </c>
      <c r="F244" s="36"/>
      <c r="G244" s="134">
        <f>D244*F240</f>
        <v>130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2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1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10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100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15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15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10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97</v>
      </c>
      <c r="D253" s="136">
        <v>5.0</v>
      </c>
      <c r="E253" s="129" t="s">
        <v>61</v>
      </c>
      <c r="F253" s="36"/>
      <c r="G253" s="134">
        <f>D253*F240</f>
        <v>5</v>
      </c>
      <c r="H253" s="75"/>
      <c r="I253" s="76"/>
      <c r="J253" s="77"/>
      <c r="K253" s="78"/>
      <c r="L253" s="76"/>
    </row>
    <row r="254">
      <c r="A254" s="90"/>
      <c r="B254" s="129">
        <v>16.0</v>
      </c>
      <c r="C254" s="135" t="s">
        <v>106</v>
      </c>
      <c r="D254" s="136">
        <v>10.0</v>
      </c>
      <c r="E254" s="129" t="s">
        <v>61</v>
      </c>
      <c r="F254" s="91"/>
      <c r="G254" s="134">
        <f>D254*F240</f>
        <v>10</v>
      </c>
      <c r="H254" s="75"/>
      <c r="I254" s="76"/>
      <c r="J254" s="77"/>
      <c r="K254" s="78"/>
      <c r="L254" s="76"/>
    </row>
    <row r="255">
      <c r="A255" s="138" t="s">
        <v>34</v>
      </c>
      <c r="B255" s="139">
        <v>1.0</v>
      </c>
      <c r="C255" s="140" t="s">
        <v>95</v>
      </c>
      <c r="D255" s="141">
        <v>67.5</v>
      </c>
      <c r="E255" s="142" t="s">
        <v>61</v>
      </c>
      <c r="F255" s="143">
        <f>VLOOKUP(A255, '28052026'!$I$130:$J$158, 2, )</f>
        <v>2</v>
      </c>
      <c r="G255" s="144">
        <f>D255*F255</f>
        <v>135</v>
      </c>
      <c r="H255" s="75"/>
      <c r="I255" s="76"/>
      <c r="J255" s="77"/>
      <c r="K255" s="78"/>
      <c r="L255" s="76"/>
    </row>
    <row r="256">
      <c r="A256" s="35"/>
      <c r="B256" s="129">
        <v>2.0</v>
      </c>
      <c r="C256" s="130" t="s">
        <v>96</v>
      </c>
      <c r="D256" s="131">
        <v>7.5</v>
      </c>
      <c r="E256" s="132" t="s">
        <v>61</v>
      </c>
      <c r="F256" s="36"/>
      <c r="G256" s="134">
        <f>D256*F255</f>
        <v>15</v>
      </c>
      <c r="H256" s="75"/>
      <c r="I256" s="76"/>
      <c r="J256" s="77"/>
      <c r="K256" s="78"/>
      <c r="L256" s="76"/>
    </row>
    <row r="257">
      <c r="A257" s="35"/>
      <c r="B257" s="129">
        <v>3.0</v>
      </c>
      <c r="C257" s="130" t="s">
        <v>85</v>
      </c>
      <c r="D257" s="131">
        <v>117.0</v>
      </c>
      <c r="E257" s="132" t="s">
        <v>61</v>
      </c>
      <c r="F257" s="36"/>
      <c r="G257" s="134">
        <f>D257*F255</f>
        <v>234</v>
      </c>
      <c r="H257" s="75"/>
      <c r="I257" s="76"/>
      <c r="J257" s="77"/>
      <c r="K257" s="78"/>
      <c r="L257" s="76"/>
    </row>
    <row r="258">
      <c r="A258" s="35"/>
      <c r="B258" s="129">
        <v>4.0</v>
      </c>
      <c r="C258" s="135" t="s">
        <v>97</v>
      </c>
      <c r="D258" s="131">
        <v>1.25</v>
      </c>
      <c r="E258" s="132" t="s">
        <v>61</v>
      </c>
      <c r="F258" s="36"/>
      <c r="G258" s="134">
        <f>D258*F255</f>
        <v>2.5</v>
      </c>
      <c r="H258" s="75"/>
      <c r="I258" s="76"/>
      <c r="J258" s="77"/>
      <c r="K258" s="78"/>
      <c r="L258" s="76"/>
    </row>
    <row r="259">
      <c r="A259" s="35"/>
      <c r="B259" s="129">
        <v>5.0</v>
      </c>
      <c r="C259" s="135" t="s">
        <v>60</v>
      </c>
      <c r="D259" s="136">
        <v>70.0</v>
      </c>
      <c r="E259" s="129" t="s">
        <v>61</v>
      </c>
      <c r="F259" s="36"/>
      <c r="G259" s="134">
        <f>D259*F255</f>
        <v>140</v>
      </c>
      <c r="H259" s="75"/>
      <c r="I259" s="76"/>
      <c r="J259" s="77"/>
      <c r="K259" s="78"/>
      <c r="L259" s="76"/>
    </row>
    <row r="260">
      <c r="A260" s="35"/>
      <c r="B260" s="129">
        <v>6.0</v>
      </c>
      <c r="C260" s="135" t="s">
        <v>98</v>
      </c>
      <c r="D260" s="136">
        <v>2.0</v>
      </c>
      <c r="E260" s="129" t="s">
        <v>63</v>
      </c>
      <c r="F260" s="36"/>
      <c r="G260" s="134">
        <f>D260*F255</f>
        <v>4</v>
      </c>
      <c r="H260" s="75"/>
      <c r="I260" s="76"/>
      <c r="J260" s="77"/>
      <c r="K260" s="78"/>
      <c r="L260" s="76"/>
    </row>
    <row r="261">
      <c r="A261" s="35"/>
      <c r="B261" s="129">
        <v>7.0</v>
      </c>
      <c r="C261" s="135" t="s">
        <v>99</v>
      </c>
      <c r="D261" s="136">
        <v>1.0</v>
      </c>
      <c r="E261" s="129" t="s">
        <v>77</v>
      </c>
      <c r="F261" s="36"/>
      <c r="G261" s="134">
        <f>D261*F255</f>
        <v>2</v>
      </c>
      <c r="H261" s="75"/>
      <c r="I261" s="76"/>
      <c r="J261" s="77"/>
      <c r="K261" s="78"/>
      <c r="L261" s="76"/>
    </row>
    <row r="262">
      <c r="A262" s="35"/>
      <c r="B262" s="129">
        <v>8.0</v>
      </c>
      <c r="C262" s="135" t="s">
        <v>100</v>
      </c>
      <c r="D262" s="136">
        <v>10.0</v>
      </c>
      <c r="E262" s="129" t="s">
        <v>101</v>
      </c>
      <c r="F262" s="36"/>
      <c r="G262" s="134">
        <f>D262*F255</f>
        <v>20</v>
      </c>
      <c r="H262" s="75"/>
      <c r="I262" s="76"/>
      <c r="J262" s="77"/>
      <c r="K262" s="78"/>
      <c r="L262" s="76"/>
    </row>
    <row r="263">
      <c r="A263" s="35"/>
      <c r="B263" s="129">
        <v>9.0</v>
      </c>
      <c r="C263" s="135" t="s">
        <v>102</v>
      </c>
      <c r="D263" s="136">
        <v>5.0</v>
      </c>
      <c r="E263" s="129" t="s">
        <v>101</v>
      </c>
      <c r="F263" s="36"/>
      <c r="G263" s="134">
        <f>D263*F255</f>
        <v>10</v>
      </c>
      <c r="H263" s="75"/>
      <c r="I263" s="76"/>
      <c r="J263" s="77"/>
      <c r="K263" s="78"/>
      <c r="L263" s="76"/>
    </row>
    <row r="264">
      <c r="A264" s="35"/>
      <c r="B264" s="129">
        <v>10.0</v>
      </c>
      <c r="C264" s="137" t="s">
        <v>85</v>
      </c>
      <c r="D264" s="136">
        <v>100.0</v>
      </c>
      <c r="E264" s="129" t="s">
        <v>103</v>
      </c>
      <c r="F264" s="36"/>
      <c r="G264" s="134">
        <f>D264*F255</f>
        <v>200</v>
      </c>
      <c r="H264" s="75"/>
      <c r="I264" s="76"/>
      <c r="J264" s="77"/>
      <c r="K264" s="78"/>
      <c r="L264" s="76"/>
    </row>
    <row r="265">
      <c r="A265" s="35"/>
      <c r="B265" s="129">
        <v>11.0</v>
      </c>
      <c r="C265" s="135" t="s">
        <v>104</v>
      </c>
      <c r="D265" s="136">
        <v>15.0</v>
      </c>
      <c r="E265" s="129" t="s">
        <v>61</v>
      </c>
      <c r="F265" s="36"/>
      <c r="G265" s="134">
        <f>D265*F255</f>
        <v>30</v>
      </c>
      <c r="H265" s="75"/>
      <c r="I265" s="76"/>
      <c r="J265" s="77"/>
      <c r="K265" s="78"/>
      <c r="L265" s="76"/>
    </row>
    <row r="266">
      <c r="A266" s="35"/>
      <c r="B266" s="129">
        <v>12.0</v>
      </c>
      <c r="C266" s="135" t="s">
        <v>105</v>
      </c>
      <c r="D266" s="136">
        <v>15.0</v>
      </c>
      <c r="E266" s="129" t="s">
        <v>61</v>
      </c>
      <c r="F266" s="36"/>
      <c r="G266" s="134">
        <f>D266*F255</f>
        <v>30</v>
      </c>
      <c r="H266" s="75"/>
      <c r="I266" s="76"/>
      <c r="J266" s="77"/>
      <c r="K266" s="78"/>
      <c r="L266" s="76"/>
    </row>
    <row r="267">
      <c r="A267" s="35"/>
      <c r="B267" s="129">
        <v>13.0</v>
      </c>
      <c r="C267" s="137" t="s">
        <v>85</v>
      </c>
      <c r="D267" s="136">
        <v>10.0</v>
      </c>
      <c r="E267" s="129" t="s">
        <v>86</v>
      </c>
      <c r="F267" s="36"/>
      <c r="G267" s="134">
        <f>D267*F255</f>
        <v>20</v>
      </c>
      <c r="H267" s="75"/>
      <c r="I267" s="76"/>
      <c r="J267" s="77"/>
      <c r="K267" s="78"/>
      <c r="L267" s="76"/>
    </row>
    <row r="268">
      <c r="A268" s="35"/>
      <c r="B268" s="129">
        <v>14.0</v>
      </c>
      <c r="C268" s="135" t="s">
        <v>87</v>
      </c>
      <c r="D268" s="136">
        <v>5.0</v>
      </c>
      <c r="E268" s="129" t="s">
        <v>61</v>
      </c>
      <c r="F268" s="36"/>
      <c r="G268" s="134">
        <f>D268*F255</f>
        <v>10</v>
      </c>
      <c r="H268" s="75"/>
      <c r="I268" s="76"/>
      <c r="J268" s="77"/>
      <c r="K268" s="78"/>
      <c r="L268" s="76"/>
    </row>
    <row r="269">
      <c r="A269" s="35"/>
      <c r="B269" s="129">
        <v>15.0</v>
      </c>
      <c r="C269" s="135" t="s">
        <v>97</v>
      </c>
      <c r="D269" s="136">
        <v>1.0</v>
      </c>
      <c r="E269" s="129" t="s">
        <v>61</v>
      </c>
      <c r="F269" s="36"/>
      <c r="G269" s="134">
        <f>D269*F255</f>
        <v>2</v>
      </c>
      <c r="H269" s="75"/>
      <c r="I269" s="76"/>
      <c r="J269" s="77"/>
      <c r="K269" s="78"/>
      <c r="L269" s="76"/>
    </row>
    <row r="270">
      <c r="A270" s="90"/>
      <c r="B270" s="129">
        <v>16.0</v>
      </c>
      <c r="C270" s="135" t="s">
        <v>106</v>
      </c>
      <c r="D270" s="136">
        <v>10.0</v>
      </c>
      <c r="E270" s="129" t="s">
        <v>61</v>
      </c>
      <c r="F270" s="91"/>
      <c r="G270" s="134">
        <f>D270*F255</f>
        <v>20</v>
      </c>
      <c r="H270" s="75"/>
      <c r="I270" s="76"/>
      <c r="J270" s="77"/>
      <c r="K270" s="78"/>
      <c r="L270" s="76"/>
    </row>
    <row r="271">
      <c r="A271" s="128" t="s">
        <v>32</v>
      </c>
      <c r="B271" s="129">
        <v>1.0</v>
      </c>
      <c r="C271" s="130" t="s">
        <v>95</v>
      </c>
      <c r="D271" s="131">
        <v>67.5</v>
      </c>
      <c r="E271" s="132" t="s">
        <v>61</v>
      </c>
      <c r="F271" s="133">
        <f>VLOOKUP(A271, '28052026'!$I$130:$J$158, 2, )</f>
        <v>3</v>
      </c>
      <c r="G271" s="134">
        <f>D271*F271</f>
        <v>202.5</v>
      </c>
      <c r="H271" s="75"/>
      <c r="I271" s="76"/>
      <c r="J271" s="77"/>
      <c r="K271" s="78"/>
      <c r="L271" s="76"/>
    </row>
    <row r="272">
      <c r="A272" s="35"/>
      <c r="B272" s="129">
        <v>2.0</v>
      </c>
      <c r="C272" s="130" t="s">
        <v>96</v>
      </c>
      <c r="D272" s="131">
        <v>7.5</v>
      </c>
      <c r="E272" s="132" t="s">
        <v>61</v>
      </c>
      <c r="F272" s="36"/>
      <c r="G272" s="134">
        <f>D272*F271</f>
        <v>22.5</v>
      </c>
      <c r="H272" s="75"/>
      <c r="I272" s="76"/>
      <c r="J272" s="77"/>
      <c r="K272" s="78"/>
      <c r="L272" s="76"/>
    </row>
    <row r="273">
      <c r="A273" s="35"/>
      <c r="B273" s="129">
        <v>3.0</v>
      </c>
      <c r="C273" s="130" t="s">
        <v>85</v>
      </c>
      <c r="D273" s="131">
        <v>117.0</v>
      </c>
      <c r="E273" s="132" t="s">
        <v>61</v>
      </c>
      <c r="F273" s="36"/>
      <c r="G273" s="134">
        <f>D273*F271</f>
        <v>351</v>
      </c>
      <c r="H273" s="75"/>
      <c r="I273" s="76"/>
      <c r="J273" s="77"/>
      <c r="K273" s="78"/>
      <c r="L273" s="76"/>
    </row>
    <row r="274">
      <c r="A274" s="35"/>
      <c r="B274" s="129">
        <v>4.0</v>
      </c>
      <c r="C274" s="135" t="s">
        <v>97</v>
      </c>
      <c r="D274" s="131">
        <v>1.25</v>
      </c>
      <c r="E274" s="132" t="s">
        <v>61</v>
      </c>
      <c r="F274" s="36"/>
      <c r="G274" s="134">
        <f>D274*F271</f>
        <v>3.75</v>
      </c>
      <c r="H274" s="75"/>
      <c r="I274" s="76"/>
      <c r="J274" s="77"/>
      <c r="K274" s="78"/>
      <c r="L274" s="76"/>
    </row>
    <row r="275">
      <c r="A275" s="35"/>
      <c r="B275" s="129">
        <v>5.0</v>
      </c>
      <c r="C275" s="135" t="s">
        <v>81</v>
      </c>
      <c r="D275" s="136">
        <v>1.0</v>
      </c>
      <c r="E275" s="129" t="s">
        <v>58</v>
      </c>
      <c r="F275" s="36"/>
      <c r="G275" s="134">
        <f>D275*F271</f>
        <v>3</v>
      </c>
      <c r="H275" s="75"/>
      <c r="I275" s="76"/>
      <c r="J275" s="77"/>
      <c r="K275" s="78"/>
      <c r="L275" s="76"/>
    </row>
    <row r="276">
      <c r="A276" s="35"/>
      <c r="B276" s="129">
        <v>6.0</v>
      </c>
      <c r="C276" s="135" t="s">
        <v>98</v>
      </c>
      <c r="D276" s="136">
        <v>2.0</v>
      </c>
      <c r="E276" s="129" t="s">
        <v>77</v>
      </c>
      <c r="F276" s="36"/>
      <c r="G276" s="134">
        <f>D276*F271</f>
        <v>6</v>
      </c>
      <c r="H276" s="75"/>
      <c r="I276" s="76"/>
      <c r="J276" s="77"/>
      <c r="K276" s="78"/>
      <c r="L276" s="76"/>
    </row>
    <row r="277">
      <c r="A277" s="35"/>
      <c r="B277" s="129">
        <v>7.0</v>
      </c>
      <c r="C277" s="135" t="s">
        <v>99</v>
      </c>
      <c r="D277" s="136">
        <v>1.0</v>
      </c>
      <c r="E277" s="129" t="s">
        <v>77</v>
      </c>
      <c r="F277" s="36"/>
      <c r="G277" s="134">
        <f>D277*F271</f>
        <v>3</v>
      </c>
      <c r="H277" s="75"/>
      <c r="I277" s="76"/>
      <c r="J277" s="77"/>
      <c r="K277" s="78"/>
      <c r="L277" s="76"/>
    </row>
    <row r="278">
      <c r="A278" s="35"/>
      <c r="B278" s="129">
        <v>8.0</v>
      </c>
      <c r="C278" s="135" t="s">
        <v>100</v>
      </c>
      <c r="D278" s="136">
        <v>10.0</v>
      </c>
      <c r="E278" s="129" t="s">
        <v>101</v>
      </c>
      <c r="F278" s="36"/>
      <c r="G278" s="134">
        <f>D278*F271</f>
        <v>30</v>
      </c>
      <c r="H278" s="75"/>
      <c r="I278" s="76"/>
      <c r="J278" s="77"/>
      <c r="K278" s="78"/>
      <c r="L278" s="76"/>
    </row>
    <row r="279">
      <c r="A279" s="35"/>
      <c r="B279" s="129">
        <v>9.0</v>
      </c>
      <c r="C279" s="135" t="s">
        <v>102</v>
      </c>
      <c r="D279" s="136">
        <v>5.0</v>
      </c>
      <c r="E279" s="129" t="s">
        <v>101</v>
      </c>
      <c r="F279" s="36"/>
      <c r="G279" s="134">
        <f>D279*F271</f>
        <v>15</v>
      </c>
      <c r="H279" s="75"/>
      <c r="I279" s="76"/>
      <c r="J279" s="77"/>
      <c r="K279" s="78"/>
      <c r="L279" s="76"/>
    </row>
    <row r="280">
      <c r="A280" s="35"/>
      <c r="B280" s="129">
        <v>10.0</v>
      </c>
      <c r="C280" s="137" t="s">
        <v>85</v>
      </c>
      <c r="D280" s="136">
        <v>100.0</v>
      </c>
      <c r="E280" s="129" t="s">
        <v>103</v>
      </c>
      <c r="F280" s="36"/>
      <c r="G280" s="134">
        <f>D280*F271</f>
        <v>300</v>
      </c>
      <c r="H280" s="75"/>
      <c r="I280" s="76"/>
      <c r="J280" s="77"/>
      <c r="K280" s="78"/>
      <c r="L280" s="76"/>
    </row>
    <row r="281">
      <c r="A281" s="35"/>
      <c r="B281" s="129">
        <v>11.0</v>
      </c>
      <c r="C281" s="135" t="s">
        <v>104</v>
      </c>
      <c r="D281" s="136">
        <v>15.0</v>
      </c>
      <c r="E281" s="129" t="s">
        <v>61</v>
      </c>
      <c r="F281" s="36"/>
      <c r="G281" s="134">
        <f>D281*F271</f>
        <v>45</v>
      </c>
      <c r="H281" s="75"/>
      <c r="I281" s="76"/>
      <c r="J281" s="77"/>
      <c r="K281" s="78"/>
      <c r="L281" s="76"/>
    </row>
    <row r="282">
      <c r="A282" s="35"/>
      <c r="B282" s="129">
        <v>12.0</v>
      </c>
      <c r="C282" s="135" t="s">
        <v>105</v>
      </c>
      <c r="D282" s="136">
        <v>15.0</v>
      </c>
      <c r="E282" s="129" t="s">
        <v>61</v>
      </c>
      <c r="F282" s="36"/>
      <c r="G282" s="134">
        <f>D282*F271</f>
        <v>45</v>
      </c>
      <c r="H282" s="75"/>
      <c r="I282" s="76"/>
      <c r="J282" s="77"/>
      <c r="K282" s="78"/>
      <c r="L282" s="76"/>
    </row>
    <row r="283">
      <c r="A283" s="35"/>
      <c r="B283" s="129">
        <v>13.0</v>
      </c>
      <c r="C283" s="137" t="s">
        <v>85</v>
      </c>
      <c r="D283" s="136">
        <v>10.0</v>
      </c>
      <c r="E283" s="129" t="s">
        <v>86</v>
      </c>
      <c r="F283" s="36"/>
      <c r="G283" s="134">
        <f>D283*F271</f>
        <v>30</v>
      </c>
      <c r="H283" s="75"/>
      <c r="I283" s="76"/>
      <c r="J283" s="77"/>
      <c r="K283" s="78"/>
      <c r="L283" s="76"/>
    </row>
    <row r="284">
      <c r="A284" s="35"/>
      <c r="B284" s="129">
        <v>14.0</v>
      </c>
      <c r="C284" s="135" t="s">
        <v>87</v>
      </c>
      <c r="D284" s="136">
        <v>5.0</v>
      </c>
      <c r="E284" s="129" t="s">
        <v>61</v>
      </c>
      <c r="F284" s="36"/>
      <c r="G284" s="134">
        <f>D284*F271</f>
        <v>15</v>
      </c>
      <c r="H284" s="75"/>
      <c r="I284" s="76"/>
      <c r="J284" s="77"/>
      <c r="K284" s="78"/>
      <c r="L284" s="76"/>
    </row>
    <row r="285">
      <c r="A285" s="35"/>
      <c r="B285" s="129">
        <v>15.0</v>
      </c>
      <c r="C285" s="135" t="s">
        <v>97</v>
      </c>
      <c r="D285" s="136">
        <v>1.0</v>
      </c>
      <c r="E285" s="129" t="s">
        <v>61</v>
      </c>
      <c r="F285" s="36"/>
      <c r="G285" s="134">
        <f>D285*F271</f>
        <v>3</v>
      </c>
      <c r="H285" s="75"/>
      <c r="I285" s="76"/>
      <c r="J285" s="77"/>
      <c r="K285" s="78"/>
      <c r="L285" s="76"/>
    </row>
    <row r="286">
      <c r="A286" s="49"/>
      <c r="B286" s="145">
        <v>16.0</v>
      </c>
      <c r="C286" s="146" t="s">
        <v>106</v>
      </c>
      <c r="D286" s="147">
        <v>10.0</v>
      </c>
      <c r="E286" s="145" t="s">
        <v>61</v>
      </c>
      <c r="F286" s="50"/>
      <c r="G286" s="148">
        <f>D286*F271</f>
        <v>30</v>
      </c>
      <c r="H286" s="75"/>
      <c r="I286" s="76"/>
      <c r="J286" s="77"/>
      <c r="K286" s="78"/>
      <c r="L286" s="76"/>
    </row>
  </sheetData>
  <mergeCells count="72">
    <mergeCell ref="F159:F166"/>
    <mergeCell ref="F167:F170"/>
    <mergeCell ref="F131:F135"/>
    <mergeCell ref="F136:F139"/>
    <mergeCell ref="F140:F144"/>
    <mergeCell ref="F145:F146"/>
    <mergeCell ref="F147:F149"/>
    <mergeCell ref="F150:F153"/>
    <mergeCell ref="F154:F158"/>
    <mergeCell ref="F203:F210"/>
    <mergeCell ref="F211:F217"/>
    <mergeCell ref="F218:F226"/>
    <mergeCell ref="F227:F232"/>
    <mergeCell ref="F233:F238"/>
    <mergeCell ref="F240:F254"/>
    <mergeCell ref="F255:F270"/>
    <mergeCell ref="F271:F286"/>
    <mergeCell ref="A154:A158"/>
    <mergeCell ref="A159:A166"/>
    <mergeCell ref="A167:A170"/>
    <mergeCell ref="A171:A172"/>
    <mergeCell ref="F171:F172"/>
    <mergeCell ref="F177:F182"/>
    <mergeCell ref="F183:F188"/>
    <mergeCell ref="A227:A232"/>
    <mergeCell ref="A233:A238"/>
    <mergeCell ref="A240:A254"/>
    <mergeCell ref="A255:A270"/>
    <mergeCell ref="A271:A286"/>
    <mergeCell ref="A177:A182"/>
    <mergeCell ref="A183:A188"/>
    <mergeCell ref="A189:A195"/>
    <mergeCell ref="A196:A202"/>
    <mergeCell ref="A203:A210"/>
    <mergeCell ref="A211:A217"/>
    <mergeCell ref="A218:A226"/>
    <mergeCell ref="I2:I32"/>
    <mergeCell ref="I33:I63"/>
    <mergeCell ref="I64:I94"/>
    <mergeCell ref="I95:I125"/>
    <mergeCell ref="A2:A32"/>
    <mergeCell ref="B2:B32"/>
    <mergeCell ref="J2:J32"/>
    <mergeCell ref="K2:K32"/>
    <mergeCell ref="L2:L32"/>
    <mergeCell ref="B33:B63"/>
    <mergeCell ref="L33:L63"/>
    <mergeCell ref="J95:J125"/>
    <mergeCell ref="I128:J128"/>
    <mergeCell ref="J33:J63"/>
    <mergeCell ref="K33:K63"/>
    <mergeCell ref="J64:J94"/>
    <mergeCell ref="K64:K94"/>
    <mergeCell ref="L64:L94"/>
    <mergeCell ref="K95:K125"/>
    <mergeCell ref="L95:L125"/>
    <mergeCell ref="A33:A63"/>
    <mergeCell ref="A64:A94"/>
    <mergeCell ref="B64:B94"/>
    <mergeCell ref="A95:A125"/>
    <mergeCell ref="B95:B125"/>
    <mergeCell ref="A128:G128"/>
    <mergeCell ref="B129:B130"/>
    <mergeCell ref="A129:A130"/>
    <mergeCell ref="A131:A135"/>
    <mergeCell ref="A136:A139"/>
    <mergeCell ref="A140:A144"/>
    <mergeCell ref="A145:A146"/>
    <mergeCell ref="A147:A149"/>
    <mergeCell ref="A150:A153"/>
    <mergeCell ref="F189:F195"/>
    <mergeCell ref="F196:F202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5"/>
    <col customWidth="1" min="3" max="3" width="26.38"/>
    <col customWidth="1" min="4" max="4" width="13.0"/>
    <col customWidth="1" min="5" max="5" width="8.0"/>
    <col customWidth="1" min="6" max="6" width="14.63"/>
    <col customWidth="1" min="7" max="7" width="13.13"/>
    <col customWidth="1" min="8" max="8" width="13.0"/>
    <col customWidth="1" min="9" max="9" width="31.75"/>
    <col customWidth="1" min="10" max="10" width="20.75"/>
    <col customWidth="1" min="11" max="11" width="14.75"/>
    <col customWidth="1" min="12" max="12" width="23.38"/>
  </cols>
  <sheetData>
    <row r="1">
      <c r="A1" s="19" t="s">
        <v>35</v>
      </c>
      <c r="B1" s="20" t="s">
        <v>36</v>
      </c>
      <c r="C1" s="21" t="s">
        <v>37</v>
      </c>
      <c r="D1" s="22" t="s">
        <v>3</v>
      </c>
      <c r="E1" s="23" t="s">
        <v>38</v>
      </c>
      <c r="F1" s="23" t="s">
        <v>39</v>
      </c>
      <c r="G1" s="23" t="s">
        <v>40</v>
      </c>
      <c r="H1" s="22" t="s">
        <v>41</v>
      </c>
      <c r="I1" s="22" t="s">
        <v>42</v>
      </c>
      <c r="J1" s="24" t="s">
        <v>43</v>
      </c>
      <c r="K1" s="20" t="s">
        <v>44</v>
      </c>
      <c r="L1" s="22" t="s">
        <v>45</v>
      </c>
    </row>
    <row r="2">
      <c r="A2" s="25" t="s">
        <v>46</v>
      </c>
      <c r="B2" s="26"/>
      <c r="C2" s="27" t="s">
        <v>4</v>
      </c>
      <c r="D2" s="28">
        <f>VLOOKUP(C2, 'LIST HPP'!$B$4:$C$39, 2, )</f>
        <v>8805.63</v>
      </c>
      <c r="E2" s="29">
        <v>0.0</v>
      </c>
      <c r="F2" s="29"/>
      <c r="G2" s="30">
        <f t="shared" ref="G2:G32" si="1">sum(E2:F2)</f>
        <v>0</v>
      </c>
      <c r="H2" s="28">
        <f t="shared" ref="H2:H33" si="2">D2*G2</f>
        <v>0</v>
      </c>
      <c r="I2" s="31">
        <f>sum(H2:H32)</f>
        <v>278533.01</v>
      </c>
      <c r="J2" s="32">
        <v>415444.0</v>
      </c>
      <c r="K2" s="33">
        <f>(J2-I2)/J2</f>
        <v>0.3295534175</v>
      </c>
      <c r="L2" s="34">
        <f>J2-I2</f>
        <v>136910.99</v>
      </c>
    </row>
    <row r="3">
      <c r="A3" s="35"/>
      <c r="B3" s="36"/>
      <c r="C3" s="37" t="s">
        <v>5</v>
      </c>
      <c r="D3" s="38">
        <f>VLOOKUP(C3, 'LIST HPP'!$B$4:$C$39, 2, )</f>
        <v>8150.63</v>
      </c>
      <c r="E3" s="39">
        <v>0.0</v>
      </c>
      <c r="F3" s="39"/>
      <c r="G3" s="40">
        <f t="shared" si="1"/>
        <v>0</v>
      </c>
      <c r="H3" s="38">
        <f t="shared" si="2"/>
        <v>0</v>
      </c>
      <c r="I3" s="36"/>
      <c r="J3" s="36"/>
      <c r="K3" s="36"/>
      <c r="L3" s="41"/>
    </row>
    <row r="4">
      <c r="A4" s="35"/>
      <c r="B4" s="36"/>
      <c r="C4" s="37" t="s">
        <v>6</v>
      </c>
      <c r="D4" s="38">
        <f>VLOOKUP(C4, 'LIST HPP'!$B$4:$C$39, 2, )</f>
        <v>6013.63</v>
      </c>
      <c r="E4" s="39">
        <v>1.0</v>
      </c>
      <c r="F4" s="39"/>
      <c r="G4" s="40">
        <f t="shared" si="1"/>
        <v>1</v>
      </c>
      <c r="H4" s="38">
        <f t="shared" si="2"/>
        <v>6013.63</v>
      </c>
      <c r="I4" s="36"/>
      <c r="J4" s="36"/>
      <c r="K4" s="36"/>
      <c r="L4" s="41"/>
    </row>
    <row r="5">
      <c r="A5" s="35"/>
      <c r="B5" s="36"/>
      <c r="C5" s="37" t="s">
        <v>22</v>
      </c>
      <c r="D5" s="38">
        <f>VLOOKUP(C5, 'LIST HPP'!$B$4:$C$39, 2, )</f>
        <v>7131.43</v>
      </c>
      <c r="E5" s="39">
        <v>0.0</v>
      </c>
      <c r="F5" s="39"/>
      <c r="G5" s="40">
        <f t="shared" si="1"/>
        <v>0</v>
      </c>
      <c r="H5" s="38">
        <f t="shared" si="2"/>
        <v>0</v>
      </c>
      <c r="I5" s="36"/>
      <c r="J5" s="36"/>
      <c r="K5" s="36"/>
      <c r="L5" s="41"/>
    </row>
    <row r="6">
      <c r="A6" s="35"/>
      <c r="B6" s="36"/>
      <c r="C6" s="37" t="s">
        <v>7</v>
      </c>
      <c r="D6" s="38">
        <f>VLOOKUP(C6, 'LIST HPP'!$B$4:$C$39, 2, )</f>
        <v>3748.21</v>
      </c>
      <c r="E6" s="39">
        <v>1.0</v>
      </c>
      <c r="F6" s="39"/>
      <c r="G6" s="40">
        <f t="shared" si="1"/>
        <v>1</v>
      </c>
      <c r="H6" s="38">
        <f t="shared" si="2"/>
        <v>3748.21</v>
      </c>
      <c r="I6" s="36"/>
      <c r="J6" s="36"/>
      <c r="K6" s="36"/>
      <c r="L6" s="41"/>
    </row>
    <row r="7">
      <c r="A7" s="35"/>
      <c r="B7" s="36"/>
      <c r="C7" s="42" t="s">
        <v>8</v>
      </c>
      <c r="D7" s="38">
        <f>VLOOKUP(C7, 'LIST HPP'!$B$4:$C$39, 2, )</f>
        <v>1448.63</v>
      </c>
      <c r="E7" s="39">
        <v>14.0</v>
      </c>
      <c r="F7" s="39"/>
      <c r="G7" s="40">
        <f t="shared" si="1"/>
        <v>14</v>
      </c>
      <c r="H7" s="38">
        <f t="shared" si="2"/>
        <v>20280.82</v>
      </c>
      <c r="I7" s="36"/>
      <c r="J7" s="36"/>
      <c r="K7" s="36"/>
      <c r="L7" s="41"/>
    </row>
    <row r="8">
      <c r="A8" s="35"/>
      <c r="B8" s="36"/>
      <c r="C8" s="37" t="s">
        <v>9</v>
      </c>
      <c r="D8" s="38">
        <f>VLOOKUP(C8, 'LIST HPP'!$B$4:$C$39, 2, )</f>
        <v>11670</v>
      </c>
      <c r="E8" s="39">
        <v>1.0</v>
      </c>
      <c r="F8" s="39"/>
      <c r="G8" s="40">
        <f t="shared" si="1"/>
        <v>1</v>
      </c>
      <c r="H8" s="38">
        <f t="shared" si="2"/>
        <v>11670</v>
      </c>
      <c r="I8" s="36"/>
      <c r="J8" s="36"/>
      <c r="K8" s="36"/>
      <c r="L8" s="41"/>
    </row>
    <row r="9">
      <c r="A9" s="35"/>
      <c r="B9" s="36"/>
      <c r="C9" s="37" t="s">
        <v>10</v>
      </c>
      <c r="D9" s="38">
        <f>VLOOKUP(C9, 'LIST HPP'!$B$4:$C$39, 2, )</f>
        <v>9350.16</v>
      </c>
      <c r="E9" s="39">
        <v>4.0</v>
      </c>
      <c r="F9" s="39"/>
      <c r="G9" s="40">
        <f t="shared" si="1"/>
        <v>4</v>
      </c>
      <c r="H9" s="38">
        <f t="shared" si="2"/>
        <v>37400.64</v>
      </c>
      <c r="I9" s="36"/>
      <c r="J9" s="36"/>
      <c r="K9" s="36"/>
      <c r="L9" s="41"/>
    </row>
    <row r="10">
      <c r="A10" s="35"/>
      <c r="B10" s="36"/>
      <c r="C10" s="37" t="s">
        <v>11</v>
      </c>
      <c r="D10" s="38">
        <f>VLOOKUP(C10, 'LIST HPP'!$B$4:$C$39, 2, )</f>
        <v>9990.16</v>
      </c>
      <c r="E10" s="39">
        <v>1.0</v>
      </c>
      <c r="F10" s="39"/>
      <c r="G10" s="40">
        <f t="shared" si="1"/>
        <v>1</v>
      </c>
      <c r="H10" s="38">
        <f t="shared" si="2"/>
        <v>9990.16</v>
      </c>
      <c r="I10" s="36"/>
      <c r="J10" s="36"/>
      <c r="K10" s="36"/>
      <c r="L10" s="41"/>
    </row>
    <row r="11">
      <c r="A11" s="35"/>
      <c r="B11" s="36"/>
      <c r="C11" s="42" t="s">
        <v>12</v>
      </c>
      <c r="D11" s="38">
        <f>VLOOKUP(C11, 'LIST HPP'!$B$4:$C$39, 2, )</f>
        <v>7445.2</v>
      </c>
      <c r="E11" s="39">
        <v>12.0</v>
      </c>
      <c r="F11" s="39"/>
      <c r="G11" s="40">
        <f t="shared" si="1"/>
        <v>12</v>
      </c>
      <c r="H11" s="38">
        <f t="shared" si="2"/>
        <v>89342.4</v>
      </c>
      <c r="I11" s="36"/>
      <c r="J11" s="36"/>
      <c r="K11" s="36"/>
      <c r="L11" s="41"/>
    </row>
    <row r="12">
      <c r="A12" s="35"/>
      <c r="B12" s="36"/>
      <c r="C12" s="42" t="s">
        <v>13</v>
      </c>
      <c r="D12" s="38">
        <f>VLOOKUP(C12, 'LIST HPP'!$B$4:$C$39, 2, )</f>
        <v>17260</v>
      </c>
      <c r="E12" s="39">
        <v>0.0</v>
      </c>
      <c r="F12" s="39"/>
      <c r="G12" s="40">
        <f t="shared" si="1"/>
        <v>0</v>
      </c>
      <c r="H12" s="38">
        <f t="shared" si="2"/>
        <v>0</v>
      </c>
      <c r="I12" s="36"/>
      <c r="J12" s="36"/>
      <c r="K12" s="36"/>
      <c r="L12" s="41"/>
    </row>
    <row r="13">
      <c r="A13" s="35"/>
      <c r="B13" s="36"/>
      <c r="C13" s="42" t="s">
        <v>14</v>
      </c>
      <c r="D13" s="38">
        <f>VLOOKUP(C13, 'LIST HPP'!$B$4:$C$39, 2, )</f>
        <v>14155</v>
      </c>
      <c r="E13" s="39">
        <v>0.0</v>
      </c>
      <c r="F13" s="39"/>
      <c r="G13" s="40">
        <f t="shared" si="1"/>
        <v>0</v>
      </c>
      <c r="H13" s="38">
        <f t="shared" si="2"/>
        <v>0</v>
      </c>
      <c r="I13" s="36"/>
      <c r="J13" s="36"/>
      <c r="K13" s="36"/>
      <c r="L13" s="41"/>
    </row>
    <row r="14">
      <c r="A14" s="35"/>
      <c r="B14" s="36"/>
      <c r="C14" s="42" t="s">
        <v>15</v>
      </c>
      <c r="D14" s="38">
        <f>VLOOKUP(C14, 'LIST HPP'!$B$4:$C$39, 2, )</f>
        <v>15435</v>
      </c>
      <c r="E14" s="39">
        <v>0.0</v>
      </c>
      <c r="F14" s="39"/>
      <c r="G14" s="40">
        <f t="shared" si="1"/>
        <v>0</v>
      </c>
      <c r="H14" s="38">
        <f t="shared" si="2"/>
        <v>0</v>
      </c>
      <c r="I14" s="36"/>
      <c r="J14" s="36"/>
      <c r="K14" s="36"/>
      <c r="L14" s="41"/>
    </row>
    <row r="15">
      <c r="A15" s="35"/>
      <c r="B15" s="36"/>
      <c r="C15" s="42" t="s">
        <v>16</v>
      </c>
      <c r="D15" s="38">
        <f>VLOOKUP(C15, 'LIST HPP'!$B$4:$C$39, 2, )</f>
        <v>9229.59</v>
      </c>
      <c r="E15" s="39">
        <v>1.0</v>
      </c>
      <c r="F15" s="39"/>
      <c r="G15" s="40">
        <f t="shared" si="1"/>
        <v>1</v>
      </c>
      <c r="H15" s="38">
        <f t="shared" si="2"/>
        <v>9229.59</v>
      </c>
      <c r="I15" s="36"/>
      <c r="J15" s="36"/>
      <c r="K15" s="36"/>
      <c r="L15" s="41"/>
    </row>
    <row r="16">
      <c r="A16" s="35"/>
      <c r="B16" s="36"/>
      <c r="C16" s="42" t="s">
        <v>17</v>
      </c>
      <c r="D16" s="38">
        <f>VLOOKUP(C16, 'LIST HPP'!$B$4:$C$39, 2, )</f>
        <v>11550.16</v>
      </c>
      <c r="E16" s="39">
        <v>0.0</v>
      </c>
      <c r="F16" s="39"/>
      <c r="G16" s="40">
        <f t="shared" si="1"/>
        <v>0</v>
      </c>
      <c r="H16" s="38">
        <f t="shared" si="2"/>
        <v>0</v>
      </c>
      <c r="I16" s="36"/>
      <c r="J16" s="36"/>
      <c r="K16" s="36"/>
      <c r="L16" s="41"/>
    </row>
    <row r="17">
      <c r="A17" s="35"/>
      <c r="B17" s="36"/>
      <c r="C17" s="37" t="s">
        <v>18</v>
      </c>
      <c r="D17" s="38">
        <f>VLOOKUP(C17, 'LIST HPP'!$B$4:$C$39, 2, )</f>
        <v>9300.16</v>
      </c>
      <c r="E17" s="39">
        <v>2.0</v>
      </c>
      <c r="F17" s="39"/>
      <c r="G17" s="40">
        <f t="shared" si="1"/>
        <v>2</v>
      </c>
      <c r="H17" s="38">
        <f t="shared" si="2"/>
        <v>18600.32</v>
      </c>
      <c r="I17" s="36"/>
      <c r="J17" s="36"/>
      <c r="K17" s="36"/>
      <c r="L17" s="41"/>
    </row>
    <row r="18">
      <c r="A18" s="35"/>
      <c r="B18" s="36"/>
      <c r="C18" s="37" t="s">
        <v>19</v>
      </c>
      <c r="D18" s="38">
        <f>VLOOKUP(C18, 'LIST HPP'!$B$4:$C$39, 2, )</f>
        <v>1741</v>
      </c>
      <c r="E18" s="39">
        <v>2.0</v>
      </c>
      <c r="F18" s="39"/>
      <c r="G18" s="40">
        <f t="shared" si="1"/>
        <v>2</v>
      </c>
      <c r="H18" s="38">
        <f t="shared" si="2"/>
        <v>3482</v>
      </c>
      <c r="I18" s="36"/>
      <c r="J18" s="36"/>
      <c r="K18" s="36"/>
      <c r="L18" s="41"/>
    </row>
    <row r="19">
      <c r="A19" s="35"/>
      <c r="B19" s="36"/>
      <c r="C19" s="37" t="s">
        <v>20</v>
      </c>
      <c r="D19" s="38">
        <f>VLOOKUP(C19, 'LIST HPP'!$B$4:$C$39, 2, )</f>
        <v>2200</v>
      </c>
      <c r="E19" s="43">
        <v>0.0</v>
      </c>
      <c r="F19" s="43"/>
      <c r="G19" s="40">
        <f t="shared" si="1"/>
        <v>0</v>
      </c>
      <c r="H19" s="38">
        <f t="shared" si="2"/>
        <v>0</v>
      </c>
      <c r="I19" s="36"/>
      <c r="J19" s="36"/>
      <c r="K19" s="36"/>
      <c r="L19" s="41"/>
    </row>
    <row r="20">
      <c r="A20" s="35"/>
      <c r="B20" s="36"/>
      <c r="C20" s="37" t="s">
        <v>21</v>
      </c>
      <c r="D20" s="38">
        <f>VLOOKUP(C20, 'LIST HPP'!$B$4:$C$39, 2, )</f>
        <v>2875</v>
      </c>
      <c r="E20" s="43">
        <v>1.0</v>
      </c>
      <c r="F20" s="43"/>
      <c r="G20" s="40">
        <f t="shared" si="1"/>
        <v>1</v>
      </c>
      <c r="H20" s="38">
        <f t="shared" si="2"/>
        <v>2875</v>
      </c>
      <c r="I20" s="36"/>
      <c r="J20" s="36"/>
      <c r="K20" s="36"/>
      <c r="L20" s="41"/>
    </row>
    <row r="21">
      <c r="A21" s="35"/>
      <c r="B21" s="36"/>
      <c r="C21" s="37" t="s">
        <v>23</v>
      </c>
      <c r="D21" s="38">
        <f>VLOOKUP(C21, 'LIST HPP'!$B$4:$C$39, 2, )</f>
        <v>2113.16</v>
      </c>
      <c r="E21" s="43">
        <v>0.0</v>
      </c>
      <c r="F21" s="43"/>
      <c r="G21" s="40">
        <f t="shared" si="1"/>
        <v>0</v>
      </c>
      <c r="H21" s="38">
        <f t="shared" si="2"/>
        <v>0</v>
      </c>
      <c r="I21" s="36"/>
      <c r="J21" s="36"/>
      <c r="K21" s="36"/>
      <c r="L21" s="41"/>
    </row>
    <row r="22">
      <c r="A22" s="35"/>
      <c r="B22" s="36"/>
      <c r="C22" s="37" t="s">
        <v>24</v>
      </c>
      <c r="D22" s="38">
        <f>VLOOKUP(C22, 'LIST HPP'!$B$4:$C$39, 2, )</f>
        <v>235</v>
      </c>
      <c r="E22" s="43">
        <v>11.0</v>
      </c>
      <c r="F22" s="43"/>
      <c r="G22" s="40">
        <f t="shared" si="1"/>
        <v>11</v>
      </c>
      <c r="H22" s="38">
        <f t="shared" si="2"/>
        <v>2585</v>
      </c>
      <c r="I22" s="36"/>
      <c r="J22" s="36"/>
      <c r="K22" s="36"/>
      <c r="L22" s="41"/>
    </row>
    <row r="23">
      <c r="A23" s="35"/>
      <c r="B23" s="36"/>
      <c r="C23" s="44" t="s">
        <v>25</v>
      </c>
      <c r="D23" s="38">
        <f>VLOOKUP(C23, 'LIST HPP'!$B$4:$C$39, 2, )</f>
        <v>296</v>
      </c>
      <c r="E23" s="43">
        <v>13.0</v>
      </c>
      <c r="F23" s="43"/>
      <c r="G23" s="40">
        <f t="shared" si="1"/>
        <v>13</v>
      </c>
      <c r="H23" s="38">
        <f t="shared" si="2"/>
        <v>3848</v>
      </c>
      <c r="I23" s="36"/>
      <c r="J23" s="36"/>
      <c r="K23" s="36"/>
      <c r="L23" s="41"/>
    </row>
    <row r="24">
      <c r="A24" s="35"/>
      <c r="B24" s="36"/>
      <c r="C24" s="44" t="s">
        <v>26</v>
      </c>
      <c r="D24" s="38">
        <f>VLOOKUP(C24, 'LIST HPP'!$B$4:$C$39, 2, )</f>
        <v>249.5</v>
      </c>
      <c r="E24" s="43">
        <v>16.0</v>
      </c>
      <c r="F24" s="43"/>
      <c r="G24" s="40">
        <f t="shared" si="1"/>
        <v>16</v>
      </c>
      <c r="H24" s="38">
        <f t="shared" si="2"/>
        <v>3992</v>
      </c>
      <c r="I24" s="36"/>
      <c r="J24" s="36"/>
      <c r="K24" s="36"/>
      <c r="L24" s="41"/>
    </row>
    <row r="25">
      <c r="A25" s="35"/>
      <c r="B25" s="36"/>
      <c r="C25" s="44" t="s">
        <v>27</v>
      </c>
      <c r="D25" s="38">
        <f>VLOOKUP(C25, 'LIST HPP'!$B$4:$C$39, 2, )</f>
        <v>208</v>
      </c>
      <c r="E25" s="43">
        <v>25.0</v>
      </c>
      <c r="F25" s="43"/>
      <c r="G25" s="40">
        <f t="shared" si="1"/>
        <v>25</v>
      </c>
      <c r="H25" s="38">
        <f t="shared" si="2"/>
        <v>5200</v>
      </c>
      <c r="I25" s="36"/>
      <c r="J25" s="36"/>
      <c r="K25" s="36"/>
      <c r="L25" s="41"/>
    </row>
    <row r="26">
      <c r="A26" s="35"/>
      <c r="B26" s="36"/>
      <c r="C26" s="44" t="s">
        <v>28</v>
      </c>
      <c r="D26" s="38">
        <f>VLOOKUP(C26, 'LIST HPP'!$B$4:$C$39, 2, )</f>
        <v>2446.08</v>
      </c>
      <c r="E26" s="43">
        <v>0.0</v>
      </c>
      <c r="F26" s="43"/>
      <c r="G26" s="40">
        <f t="shared" si="1"/>
        <v>0</v>
      </c>
      <c r="H26" s="38">
        <f t="shared" si="2"/>
        <v>0</v>
      </c>
      <c r="I26" s="36"/>
      <c r="J26" s="36"/>
      <c r="K26" s="36"/>
      <c r="L26" s="41"/>
    </row>
    <row r="27">
      <c r="A27" s="35"/>
      <c r="B27" s="36"/>
      <c r="C27" s="44" t="s">
        <v>29</v>
      </c>
      <c r="D27" s="38">
        <f>VLOOKUP(C27, 'LIST HPP'!$B$4:$C$39, 2, )</f>
        <v>4095</v>
      </c>
      <c r="E27" s="43">
        <v>0.0</v>
      </c>
      <c r="F27" s="43"/>
      <c r="G27" s="40">
        <f t="shared" si="1"/>
        <v>0</v>
      </c>
      <c r="H27" s="38">
        <f t="shared" si="2"/>
        <v>0</v>
      </c>
      <c r="I27" s="36"/>
      <c r="J27" s="36"/>
      <c r="K27" s="36"/>
      <c r="L27" s="41"/>
    </row>
    <row r="28">
      <c r="A28" s="35"/>
      <c r="B28" s="36"/>
      <c r="C28" s="45" t="s">
        <v>30</v>
      </c>
      <c r="D28" s="38">
        <f>VLOOKUP(C28, 'LIST HPP'!$B$4:$C$39, 2, )</f>
        <v>2064.84</v>
      </c>
      <c r="E28" s="43">
        <v>0.0</v>
      </c>
      <c r="F28" s="43"/>
      <c r="G28" s="40">
        <f t="shared" si="1"/>
        <v>0</v>
      </c>
      <c r="H28" s="38">
        <f t="shared" si="2"/>
        <v>0</v>
      </c>
      <c r="I28" s="36"/>
      <c r="J28" s="36"/>
      <c r="K28" s="36"/>
      <c r="L28" s="41"/>
    </row>
    <row r="29">
      <c r="A29" s="35"/>
      <c r="B29" s="36"/>
      <c r="C29" s="46" t="s">
        <v>31</v>
      </c>
      <c r="D29" s="38">
        <f>VLOOKUP(C29, 'LIST HPP'!$B$4:$C$39, 2, )</f>
        <v>13871</v>
      </c>
      <c r="E29" s="47">
        <v>0.0</v>
      </c>
      <c r="F29" s="47"/>
      <c r="G29" s="40">
        <f t="shared" si="1"/>
        <v>0</v>
      </c>
      <c r="H29" s="38">
        <f t="shared" si="2"/>
        <v>0</v>
      </c>
      <c r="I29" s="36"/>
      <c r="J29" s="36"/>
      <c r="K29" s="36"/>
      <c r="L29" s="41"/>
    </row>
    <row r="30">
      <c r="A30" s="35"/>
      <c r="B30" s="36"/>
      <c r="C30" s="46" t="s">
        <v>32</v>
      </c>
      <c r="D30" s="38">
        <f>VLOOKUP(C30, 'LIST HPP'!$B$4:$C$39, 2, )</f>
        <v>10521.31</v>
      </c>
      <c r="E30" s="47">
        <v>2.0</v>
      </c>
      <c r="F30" s="47"/>
      <c r="G30" s="40">
        <f t="shared" si="1"/>
        <v>2</v>
      </c>
      <c r="H30" s="38">
        <f t="shared" si="2"/>
        <v>21042.62</v>
      </c>
      <c r="I30" s="36"/>
      <c r="J30" s="36"/>
      <c r="K30" s="36"/>
      <c r="L30" s="41"/>
    </row>
    <row r="31">
      <c r="A31" s="35"/>
      <c r="B31" s="36"/>
      <c r="C31" s="48" t="s">
        <v>33</v>
      </c>
      <c r="D31" s="38">
        <f>VLOOKUP(C31, 'LIST HPP'!$B$4:$C$39, 2, )</f>
        <v>12796.31</v>
      </c>
      <c r="E31" s="47">
        <v>0.0</v>
      </c>
      <c r="F31" s="47"/>
      <c r="G31" s="40">
        <f t="shared" si="1"/>
        <v>0</v>
      </c>
      <c r="H31" s="38">
        <f t="shared" si="2"/>
        <v>0</v>
      </c>
      <c r="I31" s="36"/>
      <c r="J31" s="36"/>
      <c r="K31" s="36"/>
      <c r="L31" s="41"/>
    </row>
    <row r="32">
      <c r="A32" s="49"/>
      <c r="B32" s="50"/>
      <c r="C32" s="51" t="s">
        <v>34</v>
      </c>
      <c r="D32" s="52">
        <f>VLOOKUP(C32, 'LIST HPP'!$B$4:$C$39, 2, )</f>
        <v>14616.31</v>
      </c>
      <c r="E32" s="53">
        <v>2.0</v>
      </c>
      <c r="F32" s="53"/>
      <c r="G32" s="54">
        <f t="shared" si="1"/>
        <v>2</v>
      </c>
      <c r="H32" s="52">
        <f t="shared" si="2"/>
        <v>29232.62</v>
      </c>
      <c r="I32" s="50"/>
      <c r="J32" s="50"/>
      <c r="K32" s="50"/>
      <c r="L32" s="55"/>
    </row>
    <row r="33">
      <c r="A33" s="25" t="s">
        <v>108</v>
      </c>
      <c r="B33" s="26"/>
      <c r="C33" s="56" t="s">
        <v>4</v>
      </c>
      <c r="D33" s="28">
        <f>VLOOKUP(C33, 'LIST HPP'!$B$4:$C$39, 2, )</f>
        <v>8805.63</v>
      </c>
      <c r="E33" s="29">
        <v>2.0</v>
      </c>
      <c r="F33" s="29"/>
      <c r="G33" s="57">
        <f t="shared" ref="G33:G63" si="3">SUM(E33:F33)</f>
        <v>2</v>
      </c>
      <c r="H33" s="58">
        <f t="shared" si="2"/>
        <v>17611.26</v>
      </c>
      <c r="I33" s="31">
        <f>sum(H33:H63)</f>
        <v>441600.55</v>
      </c>
      <c r="J33" s="32">
        <v>817214.0</v>
      </c>
      <c r="K33" s="33">
        <f>(J33-I33)/J33</f>
        <v>0.459626793</v>
      </c>
      <c r="L33" s="34">
        <f>J33-I33</f>
        <v>375613.45</v>
      </c>
    </row>
    <row r="34">
      <c r="A34" s="35"/>
      <c r="B34" s="36"/>
      <c r="C34" s="44" t="s">
        <v>5</v>
      </c>
      <c r="D34" s="38">
        <f>VLOOKUP(C34, 'LIST HPP'!$B$4:$C$39, 2, )</f>
        <v>8150.63</v>
      </c>
      <c r="E34" s="39">
        <v>1.0</v>
      </c>
      <c r="F34" s="39"/>
      <c r="G34" s="59">
        <f t="shared" si="3"/>
        <v>1</v>
      </c>
      <c r="H34" s="60">
        <f>D34*G340</f>
        <v>0</v>
      </c>
      <c r="I34" s="36"/>
      <c r="J34" s="36"/>
      <c r="K34" s="36"/>
      <c r="L34" s="41"/>
    </row>
    <row r="35">
      <c r="A35" s="35"/>
      <c r="B35" s="36"/>
      <c r="C35" s="44" t="s">
        <v>6</v>
      </c>
      <c r="D35" s="38">
        <f>VLOOKUP(C35, 'LIST HPP'!$B$4:$C$39, 2, )</f>
        <v>6013.63</v>
      </c>
      <c r="E35" s="39">
        <v>1.0</v>
      </c>
      <c r="F35" s="39"/>
      <c r="G35" s="59">
        <f t="shared" si="3"/>
        <v>1</v>
      </c>
      <c r="H35" s="60">
        <f t="shared" ref="H35:H94" si="4">D35*G35</f>
        <v>6013.63</v>
      </c>
      <c r="I35" s="36"/>
      <c r="J35" s="36"/>
      <c r="K35" s="36"/>
      <c r="L35" s="41"/>
    </row>
    <row r="36">
      <c r="A36" s="35"/>
      <c r="B36" s="36"/>
      <c r="C36" s="44" t="s">
        <v>22</v>
      </c>
      <c r="D36" s="38">
        <f>VLOOKUP(C36, 'LIST HPP'!$B$4:$C$39, 2, )</f>
        <v>7131.43</v>
      </c>
      <c r="E36" s="39">
        <v>2.0</v>
      </c>
      <c r="F36" s="39"/>
      <c r="G36" s="59">
        <f t="shared" si="3"/>
        <v>2</v>
      </c>
      <c r="H36" s="60">
        <f t="shared" si="4"/>
        <v>14262.86</v>
      </c>
      <c r="I36" s="36"/>
      <c r="J36" s="36"/>
      <c r="K36" s="36"/>
      <c r="L36" s="41"/>
    </row>
    <row r="37">
      <c r="A37" s="35"/>
      <c r="B37" s="36"/>
      <c r="C37" s="44" t="s">
        <v>7</v>
      </c>
      <c r="D37" s="38">
        <f>VLOOKUP(C37, 'LIST HPP'!$B$4:$C$39, 2, )</f>
        <v>3748.21</v>
      </c>
      <c r="E37" s="39">
        <v>2.0</v>
      </c>
      <c r="F37" s="39"/>
      <c r="G37" s="59">
        <f t="shared" si="3"/>
        <v>2</v>
      </c>
      <c r="H37" s="60">
        <f t="shared" si="4"/>
        <v>7496.42</v>
      </c>
      <c r="I37" s="36"/>
      <c r="J37" s="36"/>
      <c r="K37" s="36"/>
      <c r="L37" s="41"/>
    </row>
    <row r="38">
      <c r="A38" s="35"/>
      <c r="B38" s="36"/>
      <c r="C38" s="45" t="s">
        <v>8</v>
      </c>
      <c r="D38" s="38">
        <f>VLOOKUP(C38, 'LIST HPP'!$B$4:$C$39, 2, )</f>
        <v>1448.63</v>
      </c>
      <c r="E38" s="39">
        <v>10.0</v>
      </c>
      <c r="F38" s="39"/>
      <c r="G38" s="59">
        <f t="shared" si="3"/>
        <v>10</v>
      </c>
      <c r="H38" s="60">
        <f t="shared" si="4"/>
        <v>14486.3</v>
      </c>
      <c r="I38" s="36"/>
      <c r="J38" s="36"/>
      <c r="K38" s="36"/>
      <c r="L38" s="41"/>
    </row>
    <row r="39">
      <c r="A39" s="35"/>
      <c r="B39" s="36"/>
      <c r="C39" s="44" t="s">
        <v>9</v>
      </c>
      <c r="D39" s="38">
        <f>VLOOKUP(C39, 'LIST HPP'!$B$4:$C$39, 2, )</f>
        <v>11670</v>
      </c>
      <c r="E39" s="39">
        <v>1.0</v>
      </c>
      <c r="F39" s="39"/>
      <c r="G39" s="59">
        <f t="shared" si="3"/>
        <v>1</v>
      </c>
      <c r="H39" s="60">
        <f t="shared" si="4"/>
        <v>11670</v>
      </c>
      <c r="I39" s="36"/>
      <c r="J39" s="36"/>
      <c r="K39" s="36"/>
      <c r="L39" s="41"/>
    </row>
    <row r="40">
      <c r="A40" s="35"/>
      <c r="B40" s="36"/>
      <c r="C40" s="44" t="s">
        <v>10</v>
      </c>
      <c r="D40" s="38">
        <f>VLOOKUP(C40, 'LIST HPP'!$B$4:$C$39, 2, )</f>
        <v>9350.16</v>
      </c>
      <c r="E40" s="39">
        <v>0.0</v>
      </c>
      <c r="F40" s="39"/>
      <c r="G40" s="59">
        <f t="shared" si="3"/>
        <v>0</v>
      </c>
      <c r="H40" s="60">
        <f t="shared" si="4"/>
        <v>0</v>
      </c>
      <c r="I40" s="36"/>
      <c r="J40" s="36"/>
      <c r="K40" s="36"/>
      <c r="L40" s="41"/>
    </row>
    <row r="41">
      <c r="A41" s="35"/>
      <c r="B41" s="36"/>
      <c r="C41" s="44" t="s">
        <v>11</v>
      </c>
      <c r="D41" s="38">
        <f>VLOOKUP(C41, 'LIST HPP'!$B$4:$C$39, 2, )</f>
        <v>9990.16</v>
      </c>
      <c r="E41" s="39">
        <v>2.0</v>
      </c>
      <c r="F41" s="39"/>
      <c r="G41" s="59">
        <f t="shared" si="3"/>
        <v>2</v>
      </c>
      <c r="H41" s="60">
        <f t="shared" si="4"/>
        <v>19980.32</v>
      </c>
      <c r="I41" s="36"/>
      <c r="J41" s="36"/>
      <c r="K41" s="36"/>
      <c r="L41" s="41"/>
    </row>
    <row r="42">
      <c r="A42" s="35"/>
      <c r="B42" s="36"/>
      <c r="C42" s="45" t="s">
        <v>12</v>
      </c>
      <c r="D42" s="38">
        <f>VLOOKUP(C42, 'LIST HPP'!$B$4:$C$39, 2, )</f>
        <v>7445.2</v>
      </c>
      <c r="E42" s="39">
        <v>10.0</v>
      </c>
      <c r="F42" s="39"/>
      <c r="G42" s="59">
        <f t="shared" si="3"/>
        <v>10</v>
      </c>
      <c r="H42" s="60">
        <f t="shared" si="4"/>
        <v>74452</v>
      </c>
      <c r="I42" s="36"/>
      <c r="J42" s="36"/>
      <c r="K42" s="36"/>
      <c r="L42" s="41"/>
    </row>
    <row r="43">
      <c r="A43" s="35"/>
      <c r="B43" s="36"/>
      <c r="C43" s="45" t="s">
        <v>13</v>
      </c>
      <c r="D43" s="38">
        <f>VLOOKUP(C43, 'LIST HPP'!$B$4:$C$39, 2, )</f>
        <v>17260</v>
      </c>
      <c r="E43" s="39">
        <v>5.0</v>
      </c>
      <c r="F43" s="39"/>
      <c r="G43" s="59">
        <f t="shared" si="3"/>
        <v>5</v>
      </c>
      <c r="H43" s="60">
        <f t="shared" si="4"/>
        <v>86300</v>
      </c>
      <c r="I43" s="36"/>
      <c r="J43" s="36"/>
      <c r="K43" s="36"/>
      <c r="L43" s="41"/>
    </row>
    <row r="44">
      <c r="A44" s="35"/>
      <c r="B44" s="36"/>
      <c r="C44" s="45" t="s">
        <v>14</v>
      </c>
      <c r="D44" s="38">
        <f>VLOOKUP(C44, 'LIST HPP'!$B$4:$C$39, 2, )</f>
        <v>14155</v>
      </c>
      <c r="E44" s="39">
        <v>2.0</v>
      </c>
      <c r="F44" s="39"/>
      <c r="G44" s="59">
        <f t="shared" si="3"/>
        <v>2</v>
      </c>
      <c r="H44" s="60">
        <f t="shared" si="4"/>
        <v>28310</v>
      </c>
      <c r="I44" s="36"/>
      <c r="J44" s="36"/>
      <c r="K44" s="36"/>
      <c r="L44" s="41"/>
    </row>
    <row r="45">
      <c r="A45" s="35"/>
      <c r="B45" s="36"/>
      <c r="C45" s="45" t="s">
        <v>15</v>
      </c>
      <c r="D45" s="38">
        <f>VLOOKUP(C45, 'LIST HPP'!$B$4:$C$39, 2, )</f>
        <v>15435</v>
      </c>
      <c r="E45" s="39">
        <v>4.0</v>
      </c>
      <c r="F45" s="39"/>
      <c r="G45" s="59">
        <f t="shared" si="3"/>
        <v>4</v>
      </c>
      <c r="H45" s="60">
        <f t="shared" si="4"/>
        <v>61740</v>
      </c>
      <c r="I45" s="36"/>
      <c r="J45" s="36"/>
      <c r="K45" s="36"/>
      <c r="L45" s="41"/>
    </row>
    <row r="46">
      <c r="A46" s="35"/>
      <c r="B46" s="36"/>
      <c r="C46" s="45" t="s">
        <v>16</v>
      </c>
      <c r="D46" s="38">
        <f>VLOOKUP(C46, 'LIST HPP'!$B$4:$C$39, 2, )</f>
        <v>9229.59</v>
      </c>
      <c r="E46" s="39">
        <v>1.0</v>
      </c>
      <c r="F46" s="39"/>
      <c r="G46" s="59">
        <f t="shared" si="3"/>
        <v>1</v>
      </c>
      <c r="H46" s="60">
        <f t="shared" si="4"/>
        <v>9229.59</v>
      </c>
      <c r="I46" s="36"/>
      <c r="J46" s="36"/>
      <c r="K46" s="36"/>
      <c r="L46" s="41"/>
    </row>
    <row r="47">
      <c r="A47" s="35"/>
      <c r="B47" s="36"/>
      <c r="C47" s="45" t="s">
        <v>17</v>
      </c>
      <c r="D47" s="38">
        <f>VLOOKUP(C47, 'LIST HPP'!$B$4:$C$39, 2, )</f>
        <v>11550.16</v>
      </c>
      <c r="E47" s="39">
        <v>1.0</v>
      </c>
      <c r="F47" s="39"/>
      <c r="G47" s="59">
        <f t="shared" si="3"/>
        <v>1</v>
      </c>
      <c r="H47" s="60">
        <f t="shared" si="4"/>
        <v>11550.16</v>
      </c>
      <c r="I47" s="36"/>
      <c r="J47" s="36"/>
      <c r="K47" s="36"/>
      <c r="L47" s="41"/>
    </row>
    <row r="48">
      <c r="A48" s="35"/>
      <c r="B48" s="36"/>
      <c r="C48" s="44" t="s">
        <v>18</v>
      </c>
      <c r="D48" s="38">
        <f>VLOOKUP(C48, 'LIST HPP'!$B$4:$C$39, 2, )</f>
        <v>9300.16</v>
      </c>
      <c r="E48" s="39">
        <v>0.0</v>
      </c>
      <c r="F48" s="39"/>
      <c r="G48" s="59">
        <f t="shared" si="3"/>
        <v>0</v>
      </c>
      <c r="H48" s="60">
        <f t="shared" si="4"/>
        <v>0</v>
      </c>
      <c r="I48" s="36"/>
      <c r="J48" s="36"/>
      <c r="K48" s="36"/>
      <c r="L48" s="41"/>
    </row>
    <row r="49">
      <c r="A49" s="35"/>
      <c r="B49" s="36"/>
      <c r="C49" s="44" t="s">
        <v>19</v>
      </c>
      <c r="D49" s="38">
        <f>VLOOKUP(C49, 'LIST HPP'!$B$4:$C$39, 2, )</f>
        <v>1741</v>
      </c>
      <c r="E49" s="39">
        <v>3.0</v>
      </c>
      <c r="F49" s="39"/>
      <c r="G49" s="59">
        <f t="shared" si="3"/>
        <v>3</v>
      </c>
      <c r="H49" s="60">
        <f t="shared" si="4"/>
        <v>5223</v>
      </c>
      <c r="I49" s="36"/>
      <c r="J49" s="36"/>
      <c r="K49" s="36"/>
      <c r="L49" s="41"/>
    </row>
    <row r="50">
      <c r="A50" s="35"/>
      <c r="B50" s="36"/>
      <c r="C50" s="44" t="s">
        <v>20</v>
      </c>
      <c r="D50" s="38">
        <f>VLOOKUP(C50, 'LIST HPP'!$B$4:$C$39, 2, )</f>
        <v>2200</v>
      </c>
      <c r="E50" s="43">
        <v>1.0</v>
      </c>
      <c r="F50" s="43"/>
      <c r="G50" s="59">
        <f t="shared" si="3"/>
        <v>1</v>
      </c>
      <c r="H50" s="60">
        <f t="shared" si="4"/>
        <v>2200</v>
      </c>
      <c r="I50" s="36"/>
      <c r="J50" s="36"/>
      <c r="K50" s="36"/>
      <c r="L50" s="41"/>
    </row>
    <row r="51">
      <c r="A51" s="35"/>
      <c r="B51" s="36"/>
      <c r="C51" s="44" t="s">
        <v>21</v>
      </c>
      <c r="D51" s="38">
        <f>VLOOKUP(C51, 'LIST HPP'!$B$4:$C$39, 2, )</f>
        <v>2875</v>
      </c>
      <c r="E51" s="43">
        <v>0.0</v>
      </c>
      <c r="F51" s="43"/>
      <c r="G51" s="59">
        <f t="shared" si="3"/>
        <v>0</v>
      </c>
      <c r="H51" s="60">
        <f t="shared" si="4"/>
        <v>0</v>
      </c>
      <c r="I51" s="36"/>
      <c r="J51" s="36"/>
      <c r="K51" s="36"/>
      <c r="L51" s="41"/>
    </row>
    <row r="52">
      <c r="A52" s="35"/>
      <c r="B52" s="36"/>
      <c r="C52" s="44" t="s">
        <v>23</v>
      </c>
      <c r="D52" s="38">
        <f>VLOOKUP(C52, 'LIST HPP'!$B$4:$C$39, 2, )</f>
        <v>2113.16</v>
      </c>
      <c r="E52" s="43">
        <v>0.0</v>
      </c>
      <c r="F52" s="43"/>
      <c r="G52" s="59">
        <f t="shared" si="3"/>
        <v>0</v>
      </c>
      <c r="H52" s="60">
        <f t="shared" si="4"/>
        <v>0</v>
      </c>
      <c r="I52" s="36"/>
      <c r="J52" s="36"/>
      <c r="K52" s="36"/>
      <c r="L52" s="41"/>
    </row>
    <row r="53">
      <c r="A53" s="35"/>
      <c r="B53" s="36"/>
      <c r="C53" s="44" t="s">
        <v>24</v>
      </c>
      <c r="D53" s="38">
        <f>VLOOKUP(C53, 'LIST HPP'!$B$4:$C$39, 2, )</f>
        <v>235</v>
      </c>
      <c r="E53" s="43">
        <v>15.0</v>
      </c>
      <c r="F53" s="43"/>
      <c r="G53" s="59">
        <f t="shared" si="3"/>
        <v>15</v>
      </c>
      <c r="H53" s="60">
        <f t="shared" si="4"/>
        <v>3525</v>
      </c>
      <c r="I53" s="36"/>
      <c r="J53" s="36"/>
      <c r="K53" s="36"/>
      <c r="L53" s="41"/>
    </row>
    <row r="54">
      <c r="A54" s="35"/>
      <c r="B54" s="36"/>
      <c r="C54" s="44" t="s">
        <v>25</v>
      </c>
      <c r="D54" s="38">
        <f>VLOOKUP(C54, 'LIST HPP'!$B$4:$C$39, 2, )</f>
        <v>296</v>
      </c>
      <c r="E54" s="43">
        <v>15.0</v>
      </c>
      <c r="F54" s="43"/>
      <c r="G54" s="59">
        <f t="shared" si="3"/>
        <v>15</v>
      </c>
      <c r="H54" s="60">
        <f t="shared" si="4"/>
        <v>4440</v>
      </c>
      <c r="I54" s="36"/>
      <c r="J54" s="36"/>
      <c r="K54" s="36"/>
      <c r="L54" s="41"/>
    </row>
    <row r="55">
      <c r="A55" s="35"/>
      <c r="B55" s="36"/>
      <c r="C55" s="44" t="s">
        <v>26</v>
      </c>
      <c r="D55" s="38">
        <f>VLOOKUP(C55, 'LIST HPP'!$B$4:$C$39, 2, )</f>
        <v>249.5</v>
      </c>
      <c r="E55" s="43">
        <v>18.0</v>
      </c>
      <c r="F55" s="43"/>
      <c r="G55" s="59">
        <f t="shared" si="3"/>
        <v>18</v>
      </c>
      <c r="H55" s="60">
        <f t="shared" si="4"/>
        <v>4491</v>
      </c>
      <c r="I55" s="36"/>
      <c r="J55" s="36"/>
      <c r="K55" s="36"/>
      <c r="L55" s="41"/>
    </row>
    <row r="56">
      <c r="A56" s="35"/>
      <c r="B56" s="36"/>
      <c r="C56" s="44" t="s">
        <v>27</v>
      </c>
      <c r="D56" s="38">
        <f>VLOOKUP(C56, 'LIST HPP'!$B$4:$C$39, 2, )</f>
        <v>208</v>
      </c>
      <c r="E56" s="43">
        <v>21.0</v>
      </c>
      <c r="F56" s="43"/>
      <c r="G56" s="59">
        <f t="shared" si="3"/>
        <v>21</v>
      </c>
      <c r="H56" s="60">
        <f t="shared" si="4"/>
        <v>4368</v>
      </c>
      <c r="I56" s="36"/>
      <c r="J56" s="36"/>
      <c r="K56" s="36"/>
      <c r="L56" s="41"/>
    </row>
    <row r="57">
      <c r="A57" s="35"/>
      <c r="B57" s="36"/>
      <c r="C57" s="44" t="s">
        <v>28</v>
      </c>
      <c r="D57" s="38">
        <f>VLOOKUP(C57, 'LIST HPP'!$B$4:$C$39, 2, )</f>
        <v>2446.08</v>
      </c>
      <c r="E57" s="43">
        <v>1.0</v>
      </c>
      <c r="F57" s="43"/>
      <c r="G57" s="59">
        <f t="shared" si="3"/>
        <v>1</v>
      </c>
      <c r="H57" s="60">
        <f t="shared" si="4"/>
        <v>2446.08</v>
      </c>
      <c r="I57" s="36"/>
      <c r="J57" s="36"/>
      <c r="K57" s="36"/>
      <c r="L57" s="41"/>
    </row>
    <row r="58">
      <c r="A58" s="35"/>
      <c r="B58" s="36"/>
      <c r="C58" s="44" t="s">
        <v>29</v>
      </c>
      <c r="D58" s="38">
        <f>VLOOKUP(C58, 'LIST HPP'!$B$4:$C$39, 2, )</f>
        <v>4095</v>
      </c>
      <c r="E58" s="43">
        <v>0.0</v>
      </c>
      <c r="F58" s="43"/>
      <c r="G58" s="59">
        <f t="shared" si="3"/>
        <v>0</v>
      </c>
      <c r="H58" s="60">
        <f t="shared" si="4"/>
        <v>0</v>
      </c>
      <c r="I58" s="36"/>
      <c r="J58" s="36"/>
      <c r="K58" s="36"/>
      <c r="L58" s="41"/>
    </row>
    <row r="59">
      <c r="A59" s="35"/>
      <c r="B59" s="36"/>
      <c r="C59" s="45" t="s">
        <v>30</v>
      </c>
      <c r="D59" s="38">
        <f>VLOOKUP(C59, 'LIST HPP'!$B$4:$C$39, 2, )</f>
        <v>2064.84</v>
      </c>
      <c r="E59" s="43">
        <v>0.0</v>
      </c>
      <c r="F59" s="43"/>
      <c r="G59" s="59">
        <f t="shared" si="3"/>
        <v>0</v>
      </c>
      <c r="H59" s="60">
        <f t="shared" si="4"/>
        <v>0</v>
      </c>
      <c r="I59" s="36"/>
      <c r="J59" s="36"/>
      <c r="K59" s="36"/>
      <c r="L59" s="41"/>
    </row>
    <row r="60">
      <c r="A60" s="35"/>
      <c r="B60" s="36"/>
      <c r="C60" s="46" t="s">
        <v>31</v>
      </c>
      <c r="D60" s="38">
        <f>VLOOKUP(C60, 'LIST HPP'!$B$4:$C$39, 2, )</f>
        <v>13871</v>
      </c>
      <c r="E60" s="47">
        <v>1.0</v>
      </c>
      <c r="F60" s="47"/>
      <c r="G60" s="59">
        <f t="shared" si="3"/>
        <v>1</v>
      </c>
      <c r="H60" s="60">
        <f t="shared" si="4"/>
        <v>13871</v>
      </c>
      <c r="I60" s="36"/>
      <c r="J60" s="36"/>
      <c r="K60" s="36"/>
      <c r="L60" s="41"/>
    </row>
    <row r="61">
      <c r="A61" s="35"/>
      <c r="B61" s="36"/>
      <c r="C61" s="46" t="s">
        <v>32</v>
      </c>
      <c r="D61" s="38">
        <f>VLOOKUP(C61, 'LIST HPP'!$B$4:$C$39, 2, )</f>
        <v>10521.31</v>
      </c>
      <c r="E61" s="47">
        <v>1.0</v>
      </c>
      <c r="F61" s="47"/>
      <c r="G61" s="59">
        <f t="shared" si="3"/>
        <v>1</v>
      </c>
      <c r="H61" s="60">
        <f t="shared" si="4"/>
        <v>10521.31</v>
      </c>
      <c r="I61" s="36"/>
      <c r="J61" s="36"/>
      <c r="K61" s="36"/>
      <c r="L61" s="41"/>
    </row>
    <row r="62">
      <c r="A62" s="35"/>
      <c r="B62" s="36"/>
      <c r="C62" s="48" t="s">
        <v>33</v>
      </c>
      <c r="D62" s="38">
        <f>VLOOKUP(C62, 'LIST HPP'!$B$4:$C$39, 2, )</f>
        <v>12796.31</v>
      </c>
      <c r="E62" s="47">
        <v>1.0</v>
      </c>
      <c r="F62" s="47"/>
      <c r="G62" s="59">
        <f t="shared" si="3"/>
        <v>1</v>
      </c>
      <c r="H62" s="60">
        <f t="shared" si="4"/>
        <v>12796.31</v>
      </c>
      <c r="I62" s="36"/>
      <c r="J62" s="36"/>
      <c r="K62" s="36"/>
      <c r="L62" s="41"/>
    </row>
    <row r="63">
      <c r="A63" s="49"/>
      <c r="B63" s="50"/>
      <c r="C63" s="51" t="s">
        <v>34</v>
      </c>
      <c r="D63" s="52">
        <f>VLOOKUP(C63, 'LIST HPP'!$B$4:$C$39, 2, )</f>
        <v>14616.31</v>
      </c>
      <c r="E63" s="53">
        <v>1.0</v>
      </c>
      <c r="F63" s="53"/>
      <c r="G63" s="61">
        <f t="shared" si="3"/>
        <v>1</v>
      </c>
      <c r="H63" s="62">
        <f t="shared" si="4"/>
        <v>14616.31</v>
      </c>
      <c r="I63" s="50"/>
      <c r="J63" s="50"/>
      <c r="K63" s="50"/>
      <c r="L63" s="55"/>
    </row>
    <row r="64">
      <c r="A64" s="25" t="s">
        <v>48</v>
      </c>
      <c r="B64" s="26"/>
      <c r="C64" s="56" t="s">
        <v>4</v>
      </c>
      <c r="D64" s="28">
        <f>VLOOKUP(C64, 'LIST HPP'!$B$4:$C$39, 2, )</f>
        <v>8805.63</v>
      </c>
      <c r="E64" s="29">
        <v>0.0</v>
      </c>
      <c r="F64" s="63"/>
      <c r="G64" s="64">
        <f t="shared" ref="G64:G94" si="5">Sum(E64:F64)</f>
        <v>0</v>
      </c>
      <c r="H64" s="58">
        <f t="shared" si="4"/>
        <v>0</v>
      </c>
      <c r="I64" s="31">
        <f>sum(H64:H94)</f>
        <v>104269.34</v>
      </c>
      <c r="J64" s="32">
        <v>228704.0</v>
      </c>
      <c r="K64" s="33">
        <f>(J64-I64)/J64</f>
        <v>0.5440860676</v>
      </c>
      <c r="L64" s="34">
        <f>J64-I64</f>
        <v>124434.66</v>
      </c>
    </row>
    <row r="65">
      <c r="A65" s="35"/>
      <c r="B65" s="36"/>
      <c r="C65" s="44" t="s">
        <v>5</v>
      </c>
      <c r="D65" s="38">
        <f>VLOOKUP(C65, 'LIST HPP'!$B$4:$C$39, 2, )</f>
        <v>8150.63</v>
      </c>
      <c r="E65" s="39">
        <v>0.0</v>
      </c>
      <c r="F65" s="65"/>
      <c r="G65" s="66">
        <f t="shared" si="5"/>
        <v>0</v>
      </c>
      <c r="H65" s="60">
        <f t="shared" si="4"/>
        <v>0</v>
      </c>
      <c r="I65" s="36"/>
      <c r="J65" s="36"/>
      <c r="K65" s="36"/>
      <c r="L65" s="41"/>
    </row>
    <row r="66">
      <c r="A66" s="35"/>
      <c r="B66" s="36"/>
      <c r="C66" s="44" t="s">
        <v>6</v>
      </c>
      <c r="D66" s="38">
        <f>VLOOKUP(C66, 'LIST HPP'!$B$4:$C$39, 2, )</f>
        <v>6013.63</v>
      </c>
      <c r="E66" s="39">
        <v>0.0</v>
      </c>
      <c r="F66" s="65"/>
      <c r="G66" s="66">
        <f t="shared" si="5"/>
        <v>0</v>
      </c>
      <c r="H66" s="60">
        <f t="shared" si="4"/>
        <v>0</v>
      </c>
      <c r="I66" s="36"/>
      <c r="J66" s="36"/>
      <c r="K66" s="36"/>
      <c r="L66" s="41"/>
    </row>
    <row r="67">
      <c r="A67" s="35"/>
      <c r="B67" s="36"/>
      <c r="C67" s="44" t="s">
        <v>22</v>
      </c>
      <c r="D67" s="38">
        <f>VLOOKUP(C67, 'LIST HPP'!$B$4:$C$39, 2, )</f>
        <v>7131.43</v>
      </c>
      <c r="E67" s="39">
        <v>0.0</v>
      </c>
      <c r="F67" s="65"/>
      <c r="G67" s="66">
        <f t="shared" si="5"/>
        <v>0</v>
      </c>
      <c r="H67" s="60">
        <f t="shared" si="4"/>
        <v>0</v>
      </c>
      <c r="I67" s="36"/>
      <c r="J67" s="36"/>
      <c r="K67" s="36"/>
      <c r="L67" s="41"/>
    </row>
    <row r="68">
      <c r="A68" s="35"/>
      <c r="B68" s="36"/>
      <c r="C68" s="44" t="s">
        <v>7</v>
      </c>
      <c r="D68" s="38">
        <f>VLOOKUP(C68, 'LIST HPP'!$B$4:$C$39, 2, )</f>
        <v>3748.21</v>
      </c>
      <c r="E68" s="39">
        <v>0.0</v>
      </c>
      <c r="F68" s="65"/>
      <c r="G68" s="66">
        <f t="shared" si="5"/>
        <v>0</v>
      </c>
      <c r="H68" s="60">
        <f t="shared" si="4"/>
        <v>0</v>
      </c>
      <c r="I68" s="36"/>
      <c r="J68" s="36"/>
      <c r="K68" s="36"/>
      <c r="L68" s="41"/>
    </row>
    <row r="69">
      <c r="A69" s="35"/>
      <c r="B69" s="36"/>
      <c r="C69" s="45" t="s">
        <v>8</v>
      </c>
      <c r="D69" s="38">
        <f>VLOOKUP(C69, 'LIST HPP'!$B$4:$C$39, 2, )</f>
        <v>1448.63</v>
      </c>
      <c r="E69" s="39">
        <v>4.0</v>
      </c>
      <c r="F69" s="65"/>
      <c r="G69" s="66">
        <f t="shared" si="5"/>
        <v>4</v>
      </c>
      <c r="H69" s="60">
        <f t="shared" si="4"/>
        <v>5794.52</v>
      </c>
      <c r="I69" s="36"/>
      <c r="J69" s="36"/>
      <c r="K69" s="36"/>
      <c r="L69" s="41"/>
    </row>
    <row r="70">
      <c r="A70" s="35"/>
      <c r="B70" s="36"/>
      <c r="C70" s="44" t="s">
        <v>9</v>
      </c>
      <c r="D70" s="38">
        <f>VLOOKUP(C70, 'LIST HPP'!$B$4:$C$39, 2, )</f>
        <v>11670</v>
      </c>
      <c r="E70" s="39">
        <v>2.0</v>
      </c>
      <c r="F70" s="65"/>
      <c r="G70" s="66">
        <f t="shared" si="5"/>
        <v>2</v>
      </c>
      <c r="H70" s="60">
        <f t="shared" si="4"/>
        <v>23340</v>
      </c>
      <c r="I70" s="36"/>
      <c r="J70" s="36"/>
      <c r="K70" s="36"/>
      <c r="L70" s="41"/>
    </row>
    <row r="71">
      <c r="A71" s="35"/>
      <c r="B71" s="36"/>
      <c r="C71" s="44" t="s">
        <v>10</v>
      </c>
      <c r="D71" s="38">
        <f>VLOOKUP(C71, 'LIST HPP'!$B$4:$C$39, 2, )</f>
        <v>9350.16</v>
      </c>
      <c r="E71" s="39">
        <v>4.0</v>
      </c>
      <c r="F71" s="65"/>
      <c r="G71" s="66">
        <f t="shared" si="5"/>
        <v>4</v>
      </c>
      <c r="H71" s="60">
        <f t="shared" si="4"/>
        <v>37400.64</v>
      </c>
      <c r="I71" s="36"/>
      <c r="J71" s="36"/>
      <c r="K71" s="36"/>
      <c r="L71" s="41"/>
    </row>
    <row r="72">
      <c r="A72" s="35"/>
      <c r="B72" s="36"/>
      <c r="C72" s="44" t="s">
        <v>11</v>
      </c>
      <c r="D72" s="38">
        <f>VLOOKUP(C72, 'LIST HPP'!$B$4:$C$39, 2, )</f>
        <v>9990.16</v>
      </c>
      <c r="E72" s="39">
        <v>0.0</v>
      </c>
      <c r="F72" s="65"/>
      <c r="G72" s="66">
        <f t="shared" si="5"/>
        <v>0</v>
      </c>
      <c r="H72" s="60">
        <f t="shared" si="4"/>
        <v>0</v>
      </c>
      <c r="I72" s="36"/>
      <c r="J72" s="36"/>
      <c r="K72" s="36"/>
      <c r="L72" s="41"/>
    </row>
    <row r="73">
      <c r="A73" s="35"/>
      <c r="B73" s="36"/>
      <c r="C73" s="45" t="s">
        <v>12</v>
      </c>
      <c r="D73" s="38">
        <f>VLOOKUP(C73, 'LIST HPP'!$B$4:$C$39, 2, )</f>
        <v>7445.2</v>
      </c>
      <c r="E73" s="39">
        <v>0.0</v>
      </c>
      <c r="F73" s="65"/>
      <c r="G73" s="66">
        <f t="shared" si="5"/>
        <v>0</v>
      </c>
      <c r="H73" s="60">
        <f t="shared" si="4"/>
        <v>0</v>
      </c>
      <c r="I73" s="36"/>
      <c r="J73" s="36"/>
      <c r="K73" s="36"/>
      <c r="L73" s="41"/>
    </row>
    <row r="74">
      <c r="A74" s="35"/>
      <c r="B74" s="36"/>
      <c r="C74" s="45" t="s">
        <v>13</v>
      </c>
      <c r="D74" s="38">
        <f>VLOOKUP(C74, 'LIST HPP'!$B$4:$C$39, 2, )</f>
        <v>17260</v>
      </c>
      <c r="E74" s="39">
        <v>0.0</v>
      </c>
      <c r="F74" s="65"/>
      <c r="G74" s="66">
        <f t="shared" si="5"/>
        <v>0</v>
      </c>
      <c r="H74" s="60">
        <f t="shared" si="4"/>
        <v>0</v>
      </c>
      <c r="I74" s="36"/>
      <c r="J74" s="36"/>
      <c r="K74" s="36"/>
      <c r="L74" s="41"/>
    </row>
    <row r="75">
      <c r="A75" s="35"/>
      <c r="B75" s="36"/>
      <c r="C75" s="45" t="s">
        <v>14</v>
      </c>
      <c r="D75" s="38">
        <f>VLOOKUP(C75, 'LIST HPP'!$B$4:$C$39, 2, )</f>
        <v>14155</v>
      </c>
      <c r="E75" s="39">
        <v>0.0</v>
      </c>
      <c r="F75" s="65"/>
      <c r="G75" s="66">
        <f t="shared" si="5"/>
        <v>0</v>
      </c>
      <c r="H75" s="60">
        <f t="shared" si="4"/>
        <v>0</v>
      </c>
      <c r="I75" s="36"/>
      <c r="J75" s="36"/>
      <c r="K75" s="36"/>
      <c r="L75" s="41"/>
    </row>
    <row r="76">
      <c r="A76" s="35"/>
      <c r="B76" s="36"/>
      <c r="C76" s="45" t="s">
        <v>15</v>
      </c>
      <c r="D76" s="38">
        <f>VLOOKUP(C76, 'LIST HPP'!$B$4:$C$39, 2, )</f>
        <v>15435</v>
      </c>
      <c r="E76" s="39">
        <v>0.0</v>
      </c>
      <c r="F76" s="65"/>
      <c r="G76" s="66">
        <f t="shared" si="5"/>
        <v>0</v>
      </c>
      <c r="H76" s="60">
        <f t="shared" si="4"/>
        <v>0</v>
      </c>
      <c r="I76" s="36"/>
      <c r="J76" s="36"/>
      <c r="K76" s="36"/>
      <c r="L76" s="41"/>
    </row>
    <row r="77">
      <c r="A77" s="35"/>
      <c r="B77" s="36"/>
      <c r="C77" s="45" t="s">
        <v>16</v>
      </c>
      <c r="D77" s="38">
        <f>VLOOKUP(C77, 'LIST HPP'!$B$4:$C$39, 2, )</f>
        <v>9229.59</v>
      </c>
      <c r="E77" s="39">
        <v>2.0</v>
      </c>
      <c r="F77" s="65"/>
      <c r="G77" s="66">
        <f t="shared" si="5"/>
        <v>2</v>
      </c>
      <c r="H77" s="60">
        <f t="shared" si="4"/>
        <v>18459.18</v>
      </c>
      <c r="I77" s="36"/>
      <c r="J77" s="36"/>
      <c r="K77" s="36"/>
      <c r="L77" s="41"/>
    </row>
    <row r="78">
      <c r="A78" s="35"/>
      <c r="B78" s="36"/>
      <c r="C78" s="45" t="s">
        <v>17</v>
      </c>
      <c r="D78" s="38">
        <f>VLOOKUP(C78, 'LIST HPP'!$B$4:$C$39, 2, )</f>
        <v>11550.16</v>
      </c>
      <c r="E78" s="39">
        <v>1.0</v>
      </c>
      <c r="F78" s="65"/>
      <c r="G78" s="66">
        <f t="shared" si="5"/>
        <v>1</v>
      </c>
      <c r="H78" s="60">
        <f t="shared" si="4"/>
        <v>11550.16</v>
      </c>
      <c r="I78" s="36"/>
      <c r="J78" s="36"/>
      <c r="K78" s="36"/>
      <c r="L78" s="41"/>
    </row>
    <row r="79">
      <c r="A79" s="35"/>
      <c r="B79" s="36"/>
      <c r="C79" s="44" t="s">
        <v>18</v>
      </c>
      <c r="D79" s="38">
        <f>VLOOKUP(C79, 'LIST HPP'!$B$4:$C$39, 2, )</f>
        <v>9300.16</v>
      </c>
      <c r="E79" s="39">
        <v>0.0</v>
      </c>
      <c r="F79" s="65"/>
      <c r="G79" s="66">
        <f t="shared" si="5"/>
        <v>0</v>
      </c>
      <c r="H79" s="60">
        <f t="shared" si="4"/>
        <v>0</v>
      </c>
      <c r="I79" s="36"/>
      <c r="J79" s="36"/>
      <c r="K79" s="36"/>
      <c r="L79" s="41"/>
    </row>
    <row r="80">
      <c r="A80" s="35"/>
      <c r="B80" s="36"/>
      <c r="C80" s="44" t="s">
        <v>19</v>
      </c>
      <c r="D80" s="38">
        <f>VLOOKUP(C80, 'LIST HPP'!$B$4:$C$39, 2, )</f>
        <v>1741</v>
      </c>
      <c r="E80" s="39">
        <v>0.0</v>
      </c>
      <c r="F80" s="65"/>
      <c r="G80" s="66">
        <f t="shared" si="5"/>
        <v>0</v>
      </c>
      <c r="H80" s="60">
        <f t="shared" si="4"/>
        <v>0</v>
      </c>
      <c r="I80" s="36"/>
      <c r="J80" s="36"/>
      <c r="K80" s="36"/>
      <c r="L80" s="41"/>
    </row>
    <row r="81">
      <c r="A81" s="35"/>
      <c r="B81" s="36"/>
      <c r="C81" s="44" t="s">
        <v>20</v>
      </c>
      <c r="D81" s="38">
        <f>VLOOKUP(C81, 'LIST HPP'!$B$4:$C$39, 2, )</f>
        <v>2200</v>
      </c>
      <c r="E81" s="43">
        <v>1.0</v>
      </c>
      <c r="F81" s="65"/>
      <c r="G81" s="66">
        <f t="shared" si="5"/>
        <v>1</v>
      </c>
      <c r="H81" s="60">
        <f t="shared" si="4"/>
        <v>2200</v>
      </c>
      <c r="I81" s="36"/>
      <c r="J81" s="36"/>
      <c r="K81" s="36"/>
      <c r="L81" s="41"/>
    </row>
    <row r="82">
      <c r="A82" s="35"/>
      <c r="B82" s="36"/>
      <c r="C82" s="44" t="s">
        <v>21</v>
      </c>
      <c r="D82" s="38">
        <f>VLOOKUP(C82, 'LIST HPP'!$B$4:$C$39, 2, )</f>
        <v>2875</v>
      </c>
      <c r="E82" s="43">
        <v>0.0</v>
      </c>
      <c r="F82" s="65"/>
      <c r="G82" s="66">
        <f t="shared" si="5"/>
        <v>0</v>
      </c>
      <c r="H82" s="60">
        <f t="shared" si="4"/>
        <v>0</v>
      </c>
      <c r="I82" s="36"/>
      <c r="J82" s="36"/>
      <c r="K82" s="36"/>
      <c r="L82" s="41"/>
    </row>
    <row r="83">
      <c r="A83" s="35"/>
      <c r="B83" s="36"/>
      <c r="C83" s="44" t="s">
        <v>23</v>
      </c>
      <c r="D83" s="38">
        <f>VLOOKUP(C83, 'LIST HPP'!$B$4:$C$39, 2, )</f>
        <v>2113.16</v>
      </c>
      <c r="E83" s="43">
        <v>0.0</v>
      </c>
      <c r="F83" s="65"/>
      <c r="G83" s="66">
        <f t="shared" si="5"/>
        <v>0</v>
      </c>
      <c r="H83" s="60">
        <f t="shared" si="4"/>
        <v>0</v>
      </c>
      <c r="I83" s="36"/>
      <c r="J83" s="36"/>
      <c r="K83" s="36"/>
      <c r="L83" s="41"/>
    </row>
    <row r="84">
      <c r="A84" s="35"/>
      <c r="B84" s="36"/>
      <c r="C84" s="44" t="s">
        <v>24</v>
      </c>
      <c r="D84" s="38">
        <f>VLOOKUP(C84, 'LIST HPP'!$B$4:$C$39, 2, )</f>
        <v>235</v>
      </c>
      <c r="E84" s="43">
        <v>3.0</v>
      </c>
      <c r="F84" s="65"/>
      <c r="G84" s="66">
        <f t="shared" si="5"/>
        <v>3</v>
      </c>
      <c r="H84" s="60">
        <f t="shared" si="4"/>
        <v>705</v>
      </c>
      <c r="I84" s="36"/>
      <c r="J84" s="36"/>
      <c r="K84" s="36"/>
      <c r="L84" s="41"/>
    </row>
    <row r="85">
      <c r="A85" s="35"/>
      <c r="B85" s="36"/>
      <c r="C85" s="44" t="s">
        <v>25</v>
      </c>
      <c r="D85" s="38">
        <f>VLOOKUP(C85, 'LIST HPP'!$B$4:$C$39, 2, )</f>
        <v>296</v>
      </c>
      <c r="E85" s="43">
        <v>2.0</v>
      </c>
      <c r="F85" s="65"/>
      <c r="G85" s="66">
        <f t="shared" si="5"/>
        <v>2</v>
      </c>
      <c r="H85" s="60">
        <f t="shared" si="4"/>
        <v>592</v>
      </c>
      <c r="I85" s="36"/>
      <c r="J85" s="36"/>
      <c r="K85" s="36"/>
      <c r="L85" s="41"/>
    </row>
    <row r="86">
      <c r="A86" s="35"/>
      <c r="B86" s="36"/>
      <c r="C86" s="44" t="s">
        <v>26</v>
      </c>
      <c r="D86" s="38">
        <f>VLOOKUP(C86, 'LIST HPP'!$B$4:$C$39, 2, )</f>
        <v>249.5</v>
      </c>
      <c r="E86" s="43">
        <v>2.0</v>
      </c>
      <c r="F86" s="65"/>
      <c r="G86" s="66">
        <f t="shared" si="5"/>
        <v>2</v>
      </c>
      <c r="H86" s="60">
        <f t="shared" si="4"/>
        <v>499</v>
      </c>
      <c r="I86" s="36"/>
      <c r="J86" s="36"/>
      <c r="K86" s="36"/>
      <c r="L86" s="41"/>
    </row>
    <row r="87">
      <c r="A87" s="35"/>
      <c r="B87" s="36"/>
      <c r="C87" s="44" t="s">
        <v>27</v>
      </c>
      <c r="D87" s="38">
        <f>VLOOKUP(C87, 'LIST HPP'!$B$4:$C$39, 2, )</f>
        <v>208</v>
      </c>
      <c r="E87" s="43">
        <v>8.0</v>
      </c>
      <c r="F87" s="65"/>
      <c r="G87" s="66">
        <f t="shared" si="5"/>
        <v>8</v>
      </c>
      <c r="H87" s="60">
        <f t="shared" si="4"/>
        <v>1664</v>
      </c>
      <c r="I87" s="36"/>
      <c r="J87" s="36"/>
      <c r="K87" s="36"/>
      <c r="L87" s="41"/>
    </row>
    <row r="88">
      <c r="A88" s="35"/>
      <c r="B88" s="36"/>
      <c r="C88" s="44" t="s">
        <v>28</v>
      </c>
      <c r="D88" s="38">
        <f>VLOOKUP(C88, 'LIST HPP'!$B$4:$C$39, 2, )</f>
        <v>2446.08</v>
      </c>
      <c r="E88" s="43">
        <v>0.0</v>
      </c>
      <c r="F88" s="65"/>
      <c r="G88" s="66">
        <f t="shared" si="5"/>
        <v>0</v>
      </c>
      <c r="H88" s="60">
        <f t="shared" si="4"/>
        <v>0</v>
      </c>
      <c r="I88" s="36"/>
      <c r="J88" s="36"/>
      <c r="K88" s="36"/>
      <c r="L88" s="41"/>
    </row>
    <row r="89">
      <c r="A89" s="35"/>
      <c r="B89" s="36"/>
      <c r="C89" s="44" t="s">
        <v>29</v>
      </c>
      <c r="D89" s="38">
        <f>VLOOKUP(C89, 'LIST HPP'!$B$4:$C$39, 2, )</f>
        <v>4095</v>
      </c>
      <c r="E89" s="43">
        <v>0.0</v>
      </c>
      <c r="F89" s="65"/>
      <c r="G89" s="66">
        <f t="shared" si="5"/>
        <v>0</v>
      </c>
      <c r="H89" s="60">
        <f t="shared" si="4"/>
        <v>0</v>
      </c>
      <c r="I89" s="36"/>
      <c r="J89" s="36"/>
      <c r="K89" s="36"/>
      <c r="L89" s="41"/>
    </row>
    <row r="90">
      <c r="A90" s="35"/>
      <c r="B90" s="36"/>
      <c r="C90" s="45" t="s">
        <v>30</v>
      </c>
      <c r="D90" s="38">
        <f>VLOOKUP(C90, 'LIST HPP'!$B$4:$C$39, 2, )</f>
        <v>2064.84</v>
      </c>
      <c r="E90" s="43">
        <v>1.0</v>
      </c>
      <c r="F90" s="65"/>
      <c r="G90" s="66">
        <f t="shared" si="5"/>
        <v>1</v>
      </c>
      <c r="H90" s="60">
        <f t="shared" si="4"/>
        <v>2064.84</v>
      </c>
      <c r="I90" s="36"/>
      <c r="J90" s="36"/>
      <c r="K90" s="36"/>
      <c r="L90" s="41"/>
    </row>
    <row r="91">
      <c r="A91" s="35"/>
      <c r="B91" s="36"/>
      <c r="C91" s="46" t="s">
        <v>31</v>
      </c>
      <c r="D91" s="38">
        <f>VLOOKUP(C91, 'LIST HPP'!$B$4:$C$39, 2, )</f>
        <v>13871</v>
      </c>
      <c r="E91" s="47">
        <v>0.0</v>
      </c>
      <c r="F91" s="67"/>
      <c r="G91" s="66">
        <f t="shared" si="5"/>
        <v>0</v>
      </c>
      <c r="H91" s="60">
        <f t="shared" si="4"/>
        <v>0</v>
      </c>
      <c r="I91" s="36"/>
      <c r="J91" s="36"/>
      <c r="K91" s="36"/>
      <c r="L91" s="41"/>
    </row>
    <row r="92">
      <c r="A92" s="35"/>
      <c r="B92" s="36"/>
      <c r="C92" s="46" t="s">
        <v>32</v>
      </c>
      <c r="D92" s="38">
        <f>VLOOKUP(C92, 'LIST HPP'!$B$4:$C$39, 2, )</f>
        <v>10521.31</v>
      </c>
      <c r="E92" s="47">
        <v>0.0</v>
      </c>
      <c r="F92" s="67"/>
      <c r="G92" s="66">
        <f t="shared" si="5"/>
        <v>0</v>
      </c>
      <c r="H92" s="60">
        <f t="shared" si="4"/>
        <v>0</v>
      </c>
      <c r="I92" s="36"/>
      <c r="J92" s="36"/>
      <c r="K92" s="36"/>
      <c r="L92" s="41"/>
    </row>
    <row r="93">
      <c r="A93" s="35"/>
      <c r="B93" s="36"/>
      <c r="C93" s="48" t="s">
        <v>33</v>
      </c>
      <c r="D93" s="38">
        <f>VLOOKUP(C93, 'LIST HPP'!$B$4:$C$39, 2, )</f>
        <v>12796.31</v>
      </c>
      <c r="E93" s="47">
        <v>0.0</v>
      </c>
      <c r="F93" s="67"/>
      <c r="G93" s="66">
        <f t="shared" si="5"/>
        <v>0</v>
      </c>
      <c r="H93" s="60">
        <f t="shared" si="4"/>
        <v>0</v>
      </c>
      <c r="I93" s="36"/>
      <c r="J93" s="36"/>
      <c r="K93" s="36"/>
      <c r="L93" s="41"/>
    </row>
    <row r="94">
      <c r="A94" s="49"/>
      <c r="B94" s="50"/>
      <c r="C94" s="51" t="s">
        <v>34</v>
      </c>
      <c r="D94" s="52">
        <f>VLOOKUP(C94, 'LIST HPP'!$B$4:$C$39, 2, FALSE)</f>
        <v>14616.31</v>
      </c>
      <c r="E94" s="53">
        <v>0.0</v>
      </c>
      <c r="F94" s="68"/>
      <c r="G94" s="69">
        <f t="shared" si="5"/>
        <v>0</v>
      </c>
      <c r="H94" s="62">
        <f t="shared" si="4"/>
        <v>0</v>
      </c>
      <c r="I94" s="50"/>
      <c r="J94" s="50"/>
      <c r="K94" s="50"/>
      <c r="L94" s="55"/>
    </row>
    <row r="95">
      <c r="A95" s="74"/>
      <c r="B95" s="74" t="str">
        <f>#REF!</f>
        <v>#REF!</v>
      </c>
      <c r="C95" s="74"/>
      <c r="D95" s="74"/>
      <c r="E95" s="74"/>
      <c r="F95" s="74"/>
      <c r="G95" s="74"/>
      <c r="H95" s="75"/>
      <c r="I95" s="76">
        <f t="shared" ref="I95:J95" si="6">SUM(I2:I94)</f>
        <v>824402.9</v>
      </c>
      <c r="J95" s="76">
        <f t="shared" si="6"/>
        <v>1461362</v>
      </c>
      <c r="K95" s="76"/>
      <c r="L95" s="76">
        <f>SUM(L2:L94)</f>
        <v>636959.1</v>
      </c>
    </row>
    <row r="96">
      <c r="A96" s="74"/>
      <c r="B96" s="74"/>
      <c r="C96" s="74"/>
      <c r="D96" s="74"/>
      <c r="E96" s="74"/>
      <c r="F96" s="74"/>
      <c r="G96" s="74"/>
      <c r="H96" s="75"/>
      <c r="I96" s="76"/>
      <c r="J96" s="77"/>
      <c r="K96" s="78"/>
      <c r="L96" s="76"/>
    </row>
    <row r="97">
      <c r="A97" s="79" t="s">
        <v>49</v>
      </c>
      <c r="B97" s="80"/>
      <c r="C97" s="80"/>
      <c r="D97" s="80"/>
      <c r="E97" s="80"/>
      <c r="F97" s="80"/>
      <c r="G97" s="81"/>
      <c r="H97" s="75"/>
      <c r="I97" s="82" t="s">
        <v>50</v>
      </c>
      <c r="J97" s="81"/>
      <c r="K97" s="78"/>
      <c r="L97" s="76"/>
    </row>
    <row r="98">
      <c r="A98" s="83" t="s">
        <v>51</v>
      </c>
      <c r="B98" s="84" t="s">
        <v>52</v>
      </c>
      <c r="C98" s="85"/>
      <c r="D98" s="85"/>
      <c r="E98" s="85"/>
      <c r="F98" s="86" t="s">
        <v>53</v>
      </c>
      <c r="G98" s="87"/>
      <c r="H98" s="75"/>
      <c r="K98" s="78"/>
      <c r="L98" s="76"/>
    </row>
    <row r="99">
      <c r="A99" s="90"/>
      <c r="B99" s="91"/>
      <c r="C99" s="86" t="s">
        <v>55</v>
      </c>
      <c r="D99" s="92" t="s">
        <v>56</v>
      </c>
      <c r="E99" s="86" t="s">
        <v>57</v>
      </c>
      <c r="F99" s="86" t="s">
        <v>58</v>
      </c>
      <c r="G99" s="93" t="s">
        <v>59</v>
      </c>
      <c r="H99" s="75"/>
      <c r="K99" s="78"/>
      <c r="L99" s="76"/>
    </row>
    <row r="100">
      <c r="A100" s="96" t="s">
        <v>9</v>
      </c>
      <c r="B100" s="97">
        <v>1.0</v>
      </c>
      <c r="C100" s="97" t="s">
        <v>60</v>
      </c>
      <c r="D100" s="98">
        <v>70.0</v>
      </c>
      <c r="E100" s="97" t="s">
        <v>61</v>
      </c>
      <c r="F100" s="99">
        <f>VLOOKUP(A100, '26052026'!$I$99:$J$127, 2, )</f>
        <v>4</v>
      </c>
      <c r="G100" s="100">
        <f>D100*F100</f>
        <v>280</v>
      </c>
      <c r="H100" s="75"/>
      <c r="K100" s="78"/>
      <c r="L100" s="76"/>
    </row>
    <row r="101">
      <c r="A101" s="35"/>
      <c r="B101" s="97">
        <v>2.0</v>
      </c>
      <c r="C101" s="97" t="s">
        <v>62</v>
      </c>
      <c r="D101" s="98">
        <v>1.0</v>
      </c>
      <c r="E101" s="97" t="s">
        <v>63</v>
      </c>
      <c r="F101" s="36"/>
      <c r="G101" s="100">
        <f>D101*F100</f>
        <v>4</v>
      </c>
      <c r="H101" s="75"/>
      <c r="K101" s="78"/>
      <c r="L101" s="76"/>
    </row>
    <row r="102">
      <c r="A102" s="35"/>
      <c r="B102" s="97">
        <v>3.0</v>
      </c>
      <c r="C102" s="97" t="s">
        <v>64</v>
      </c>
      <c r="D102" s="98">
        <v>1.0</v>
      </c>
      <c r="E102" s="97" t="s">
        <v>63</v>
      </c>
      <c r="F102" s="36"/>
      <c r="G102" s="100">
        <f>D102*F100</f>
        <v>4</v>
      </c>
      <c r="H102" s="75"/>
      <c r="K102" s="78"/>
      <c r="L102" s="76"/>
    </row>
    <row r="103">
      <c r="A103" s="35"/>
      <c r="B103" s="97">
        <v>4.0</v>
      </c>
      <c r="C103" s="97" t="s">
        <v>65</v>
      </c>
      <c r="D103" s="98">
        <v>1.0</v>
      </c>
      <c r="E103" s="97" t="s">
        <v>63</v>
      </c>
      <c r="F103" s="36"/>
      <c r="G103" s="100">
        <f>D103*F100</f>
        <v>4</v>
      </c>
      <c r="H103" s="75"/>
      <c r="K103" s="78"/>
      <c r="L103" s="76"/>
    </row>
    <row r="104">
      <c r="A104" s="90"/>
      <c r="B104" s="97">
        <v>5.0</v>
      </c>
      <c r="C104" s="97" t="s">
        <v>66</v>
      </c>
      <c r="D104" s="98">
        <v>180.0</v>
      </c>
      <c r="E104" s="97" t="s">
        <v>61</v>
      </c>
      <c r="F104" s="91"/>
      <c r="G104" s="100">
        <f>D104*F100</f>
        <v>720</v>
      </c>
      <c r="H104" s="75"/>
      <c r="K104" s="78"/>
      <c r="L104" s="76"/>
    </row>
    <row r="105">
      <c r="A105" s="96" t="s">
        <v>10</v>
      </c>
      <c r="B105" s="97">
        <v>1.0</v>
      </c>
      <c r="C105" s="97" t="s">
        <v>67</v>
      </c>
      <c r="D105" s="98">
        <v>130.0</v>
      </c>
      <c r="E105" s="97" t="s">
        <v>61</v>
      </c>
      <c r="F105" s="99">
        <f>VLOOKUP(A105, '26052026'!$I$99:$J$127, 2, )</f>
        <v>8</v>
      </c>
      <c r="G105" s="100">
        <f>D105*F105</f>
        <v>1040</v>
      </c>
      <c r="H105" s="75"/>
      <c r="K105" s="78"/>
      <c r="L105" s="76"/>
    </row>
    <row r="106">
      <c r="A106" s="35"/>
      <c r="B106" s="97">
        <v>2.0</v>
      </c>
      <c r="C106" s="97" t="s">
        <v>62</v>
      </c>
      <c r="D106" s="98">
        <v>1.0</v>
      </c>
      <c r="E106" s="97" t="s">
        <v>63</v>
      </c>
      <c r="F106" s="36"/>
      <c r="G106" s="100">
        <f>D106*F105</f>
        <v>8</v>
      </c>
      <c r="H106" s="75"/>
      <c r="K106" s="78"/>
      <c r="L106" s="76"/>
    </row>
    <row r="107">
      <c r="A107" s="35"/>
      <c r="B107" s="97">
        <v>3.0</v>
      </c>
      <c r="C107" s="97" t="s">
        <v>64</v>
      </c>
      <c r="D107" s="98">
        <v>1.0</v>
      </c>
      <c r="E107" s="97" t="s">
        <v>63</v>
      </c>
      <c r="F107" s="36"/>
      <c r="G107" s="100">
        <f>D107*F105</f>
        <v>8</v>
      </c>
      <c r="H107" s="75"/>
      <c r="K107" s="78"/>
      <c r="L107" s="76"/>
    </row>
    <row r="108">
      <c r="A108" s="90"/>
      <c r="B108" s="97">
        <v>4.0</v>
      </c>
      <c r="C108" s="97" t="s">
        <v>66</v>
      </c>
      <c r="D108" s="98">
        <v>180.0</v>
      </c>
      <c r="E108" s="97" t="s">
        <v>61</v>
      </c>
      <c r="F108" s="91"/>
      <c r="G108" s="100">
        <f>D108*F105</f>
        <v>1440</v>
      </c>
      <c r="H108" s="75"/>
      <c r="K108" s="78"/>
      <c r="L108" s="76"/>
    </row>
    <row r="109">
      <c r="A109" s="96" t="s">
        <v>11</v>
      </c>
      <c r="B109" s="97">
        <v>1.0</v>
      </c>
      <c r="C109" s="97" t="s">
        <v>67</v>
      </c>
      <c r="D109" s="98">
        <v>130.0</v>
      </c>
      <c r="E109" s="97" t="s">
        <v>61</v>
      </c>
      <c r="F109" s="99">
        <f>VLOOKUP(A109, '26052026'!$I$99:$J$127, 2, )</f>
        <v>3</v>
      </c>
      <c r="G109" s="100">
        <f>D109*F109</f>
        <v>390</v>
      </c>
      <c r="H109" s="75"/>
      <c r="K109" s="78"/>
      <c r="L109" s="76"/>
    </row>
    <row r="110">
      <c r="A110" s="35"/>
      <c r="B110" s="97">
        <v>2.0</v>
      </c>
      <c r="C110" s="97" t="s">
        <v>62</v>
      </c>
      <c r="D110" s="98">
        <v>1.0</v>
      </c>
      <c r="E110" s="97" t="s">
        <v>63</v>
      </c>
      <c r="F110" s="36"/>
      <c r="G110" s="100">
        <f>D110*F109</f>
        <v>3</v>
      </c>
      <c r="H110" s="75"/>
      <c r="K110" s="78"/>
      <c r="L110" s="76"/>
    </row>
    <row r="111">
      <c r="A111" s="35"/>
      <c r="B111" s="97">
        <v>3.0</v>
      </c>
      <c r="C111" s="97" t="s">
        <v>64</v>
      </c>
      <c r="D111" s="98">
        <v>1.0</v>
      </c>
      <c r="E111" s="97" t="s">
        <v>63</v>
      </c>
      <c r="F111" s="36"/>
      <c r="G111" s="101">
        <f>D111*F109</f>
        <v>3</v>
      </c>
      <c r="H111" s="75"/>
      <c r="K111" s="78"/>
      <c r="L111" s="76"/>
    </row>
    <row r="112">
      <c r="A112" s="35"/>
      <c r="B112" s="97">
        <v>4.0</v>
      </c>
      <c r="C112" s="97" t="s">
        <v>66</v>
      </c>
      <c r="D112" s="98">
        <v>180.0</v>
      </c>
      <c r="E112" s="97" t="s">
        <v>61</v>
      </c>
      <c r="F112" s="36"/>
      <c r="G112" s="101">
        <f>D112*F109</f>
        <v>540</v>
      </c>
      <c r="H112" s="75"/>
      <c r="K112" s="78"/>
      <c r="L112" s="76"/>
    </row>
    <row r="113">
      <c r="A113" s="90"/>
      <c r="B113" s="97">
        <v>5.0</v>
      </c>
      <c r="C113" s="97" t="s">
        <v>68</v>
      </c>
      <c r="D113" s="98">
        <v>20.0</v>
      </c>
      <c r="E113" s="97" t="s">
        <v>61</v>
      </c>
      <c r="F113" s="91"/>
      <c r="G113" s="101">
        <f>D113*F109</f>
        <v>60</v>
      </c>
      <c r="H113" s="75"/>
      <c r="K113" s="78"/>
      <c r="L113" s="76"/>
    </row>
    <row r="114">
      <c r="A114" s="96" t="s">
        <v>13</v>
      </c>
      <c r="B114" s="97">
        <v>1.0</v>
      </c>
      <c r="C114" s="97" t="s">
        <v>60</v>
      </c>
      <c r="D114" s="98">
        <v>140.0</v>
      </c>
      <c r="E114" s="97" t="s">
        <v>61</v>
      </c>
      <c r="F114" s="99">
        <f>VLOOKUP(A114, '26052026'!$I$99:$J$127, 2, )</f>
        <v>5</v>
      </c>
      <c r="G114" s="101">
        <f>D114*F114</f>
        <v>700</v>
      </c>
      <c r="H114" s="75"/>
      <c r="K114" s="78"/>
      <c r="L114" s="76"/>
    </row>
    <row r="115">
      <c r="A115" s="90"/>
      <c r="B115" s="97">
        <v>2.0</v>
      </c>
      <c r="C115" s="97" t="s">
        <v>69</v>
      </c>
      <c r="D115" s="98">
        <v>1.0</v>
      </c>
      <c r="E115" s="97" t="s">
        <v>63</v>
      </c>
      <c r="F115" s="91"/>
      <c r="G115" s="101">
        <f>D115*F114</f>
        <v>5</v>
      </c>
      <c r="H115" s="75"/>
      <c r="K115" s="78"/>
      <c r="L115" s="76"/>
    </row>
    <row r="116">
      <c r="A116" s="96" t="s">
        <v>14</v>
      </c>
      <c r="B116" s="97">
        <v>1.0</v>
      </c>
      <c r="C116" s="97" t="s">
        <v>67</v>
      </c>
      <c r="D116" s="98">
        <v>260.0</v>
      </c>
      <c r="E116" s="97" t="s">
        <v>61</v>
      </c>
      <c r="F116" s="99">
        <f>VLOOKUP(A116, '26052026'!$I$99:$J$127, 2, )</f>
        <v>2</v>
      </c>
      <c r="G116" s="101">
        <f>D116*F116</f>
        <v>520</v>
      </c>
      <c r="H116" s="75"/>
      <c r="K116" s="78"/>
      <c r="L116" s="76"/>
    </row>
    <row r="117">
      <c r="A117" s="35"/>
      <c r="B117" s="97">
        <v>2.0</v>
      </c>
      <c r="C117" s="97" t="s">
        <v>62</v>
      </c>
      <c r="D117" s="98">
        <v>1.0</v>
      </c>
      <c r="E117" s="97" t="s">
        <v>63</v>
      </c>
      <c r="F117" s="36"/>
      <c r="G117" s="101">
        <f>D117*F116</f>
        <v>2</v>
      </c>
      <c r="H117" s="75"/>
      <c r="K117" s="78"/>
      <c r="L117" s="76"/>
    </row>
    <row r="118">
      <c r="A118" s="90"/>
      <c r="B118" s="97">
        <v>3.0</v>
      </c>
      <c r="C118" s="97" t="s">
        <v>64</v>
      </c>
      <c r="D118" s="98">
        <v>1.0</v>
      </c>
      <c r="E118" s="97" t="s">
        <v>63</v>
      </c>
      <c r="F118" s="91"/>
      <c r="G118" s="101">
        <f>D118*F116</f>
        <v>2</v>
      </c>
      <c r="H118" s="75"/>
      <c r="K118" s="78"/>
      <c r="L118" s="76"/>
    </row>
    <row r="119">
      <c r="A119" s="96" t="s">
        <v>15</v>
      </c>
      <c r="B119" s="97">
        <v>1.0</v>
      </c>
      <c r="C119" s="97" t="s">
        <v>67</v>
      </c>
      <c r="D119" s="98">
        <v>260.0</v>
      </c>
      <c r="E119" s="97" t="s">
        <v>61</v>
      </c>
      <c r="F119" s="99">
        <f>VLOOKUP(A119, '26052026'!$I$99:$J$127, 2, )</f>
        <v>4</v>
      </c>
      <c r="G119" s="101">
        <f>D119*F119</f>
        <v>1040</v>
      </c>
      <c r="H119" s="75"/>
      <c r="K119" s="78"/>
      <c r="L119" s="76"/>
    </row>
    <row r="120">
      <c r="A120" s="35"/>
      <c r="B120" s="97">
        <v>2.0</v>
      </c>
      <c r="C120" s="97" t="s">
        <v>62</v>
      </c>
      <c r="D120" s="98">
        <v>1.0</v>
      </c>
      <c r="E120" s="97" t="s">
        <v>63</v>
      </c>
      <c r="F120" s="36"/>
      <c r="G120" s="101">
        <f>D120*F119</f>
        <v>4</v>
      </c>
      <c r="H120" s="75"/>
      <c r="K120" s="78"/>
      <c r="L120" s="76"/>
    </row>
    <row r="121">
      <c r="A121" s="35"/>
      <c r="B121" s="97">
        <v>3.0</v>
      </c>
      <c r="C121" s="97" t="s">
        <v>64</v>
      </c>
      <c r="D121" s="98">
        <v>1.0</v>
      </c>
      <c r="E121" s="97" t="s">
        <v>63</v>
      </c>
      <c r="F121" s="36"/>
      <c r="G121" s="101">
        <f>D121*F119</f>
        <v>4</v>
      </c>
      <c r="H121" s="75"/>
      <c r="K121" s="78"/>
      <c r="L121" s="76"/>
    </row>
    <row r="122">
      <c r="A122" s="90"/>
      <c r="B122" s="97">
        <v>4.0</v>
      </c>
      <c r="C122" s="97" t="s">
        <v>68</v>
      </c>
      <c r="D122" s="98">
        <v>40.0</v>
      </c>
      <c r="E122" s="97" t="s">
        <v>61</v>
      </c>
      <c r="F122" s="91"/>
      <c r="G122" s="101">
        <f>D122*F119</f>
        <v>160</v>
      </c>
      <c r="H122" s="75"/>
      <c r="K122" s="78"/>
      <c r="L122" s="76"/>
    </row>
    <row r="123">
      <c r="A123" s="96" t="s">
        <v>17</v>
      </c>
      <c r="B123" s="97">
        <v>1.0</v>
      </c>
      <c r="C123" s="97" t="s">
        <v>67</v>
      </c>
      <c r="D123" s="98">
        <v>130.0</v>
      </c>
      <c r="E123" s="97" t="s">
        <v>70</v>
      </c>
      <c r="F123" s="99">
        <f>VLOOKUP(A123, '26052026'!$I$99:$J$127, 2, )</f>
        <v>2</v>
      </c>
      <c r="G123" s="101">
        <f>D123*F123</f>
        <v>260</v>
      </c>
      <c r="H123" s="75"/>
      <c r="K123" s="78"/>
      <c r="L123" s="76"/>
    </row>
    <row r="124">
      <c r="A124" s="35"/>
      <c r="B124" s="97">
        <v>2.0</v>
      </c>
      <c r="C124" s="97" t="s">
        <v>62</v>
      </c>
      <c r="D124" s="98">
        <v>1.0</v>
      </c>
      <c r="E124" s="97" t="s">
        <v>63</v>
      </c>
      <c r="F124" s="36"/>
      <c r="G124" s="101">
        <f>D124*F123</f>
        <v>2</v>
      </c>
      <c r="H124" s="75"/>
      <c r="K124" s="78"/>
      <c r="L124" s="76"/>
    </row>
    <row r="125">
      <c r="A125" s="35"/>
      <c r="B125" s="97">
        <v>3.0</v>
      </c>
      <c r="C125" s="97" t="s">
        <v>64</v>
      </c>
      <c r="D125" s="98">
        <v>1.0</v>
      </c>
      <c r="E125" s="97" t="s">
        <v>63</v>
      </c>
      <c r="F125" s="36"/>
      <c r="G125" s="101">
        <f>D125*F123</f>
        <v>2</v>
      </c>
      <c r="H125" s="75"/>
      <c r="K125" s="78"/>
      <c r="L125" s="76"/>
    </row>
    <row r="126">
      <c r="A126" s="35"/>
      <c r="B126" s="97">
        <v>4.0</v>
      </c>
      <c r="C126" s="97" t="s">
        <v>66</v>
      </c>
      <c r="D126" s="98">
        <v>180.0</v>
      </c>
      <c r="E126" s="97" t="s">
        <v>61</v>
      </c>
      <c r="F126" s="36"/>
      <c r="G126" s="101">
        <f>D126*F123</f>
        <v>360</v>
      </c>
      <c r="H126" s="75"/>
      <c r="K126" s="78"/>
      <c r="L126" s="76"/>
    </row>
    <row r="127">
      <c r="A127" s="90"/>
      <c r="B127" s="97">
        <v>5.0</v>
      </c>
      <c r="C127" s="97" t="s">
        <v>20</v>
      </c>
      <c r="D127" s="98">
        <v>1.0</v>
      </c>
      <c r="E127" s="97" t="s">
        <v>63</v>
      </c>
      <c r="F127" s="91"/>
      <c r="G127" s="101">
        <f>D127*F123</f>
        <v>2</v>
      </c>
      <c r="H127" s="75"/>
      <c r="K127" s="78"/>
      <c r="L127" s="76"/>
    </row>
    <row r="128">
      <c r="A128" s="96" t="s">
        <v>16</v>
      </c>
      <c r="B128" s="97">
        <v>1.0</v>
      </c>
      <c r="C128" s="97" t="s">
        <v>71</v>
      </c>
      <c r="D128" s="98">
        <v>2.0</v>
      </c>
      <c r="E128" s="97" t="s">
        <v>63</v>
      </c>
      <c r="F128" s="99">
        <f>VLOOKUP(A128, '26052026'!$I$99:$J$127, 2, )</f>
        <v>4</v>
      </c>
      <c r="G128" s="101">
        <f>D128*F128</f>
        <v>8</v>
      </c>
      <c r="H128" s="75"/>
      <c r="K128" s="78"/>
      <c r="L128" s="76"/>
    </row>
    <row r="129">
      <c r="A129" s="35"/>
      <c r="B129" s="97">
        <v>2.0</v>
      </c>
      <c r="C129" s="97" t="s">
        <v>62</v>
      </c>
      <c r="D129" s="98">
        <v>1.0</v>
      </c>
      <c r="E129" s="97" t="s">
        <v>63</v>
      </c>
      <c r="F129" s="36"/>
      <c r="G129" s="101">
        <f>D129*F128</f>
        <v>4</v>
      </c>
      <c r="H129" s="75"/>
      <c r="K129" s="78"/>
      <c r="L129" s="76"/>
    </row>
    <row r="130">
      <c r="A130" s="35"/>
      <c r="B130" s="97">
        <v>3.0</v>
      </c>
      <c r="C130" s="97" t="s">
        <v>64</v>
      </c>
      <c r="D130" s="98">
        <v>1.0</v>
      </c>
      <c r="E130" s="97" t="s">
        <v>63</v>
      </c>
      <c r="F130" s="36"/>
      <c r="G130" s="101">
        <f>D130*F128</f>
        <v>4</v>
      </c>
      <c r="H130" s="75"/>
      <c r="I130" s="105"/>
      <c r="J130" s="106"/>
      <c r="K130" s="78"/>
      <c r="L130" s="76"/>
    </row>
    <row r="131">
      <c r="A131" s="35"/>
      <c r="B131" s="97">
        <v>4.0</v>
      </c>
      <c r="C131" s="97" t="s">
        <v>66</v>
      </c>
      <c r="D131" s="98">
        <v>180.0</v>
      </c>
      <c r="E131" s="97" t="s">
        <v>61</v>
      </c>
      <c r="F131" s="36"/>
      <c r="G131" s="101">
        <f>D131*F128</f>
        <v>720</v>
      </c>
      <c r="H131" s="75"/>
      <c r="I131" s="105"/>
      <c r="J131" s="106"/>
      <c r="K131" s="78"/>
      <c r="L131" s="76"/>
    </row>
    <row r="132">
      <c r="A132" s="35"/>
      <c r="B132" s="97">
        <v>5.0</v>
      </c>
      <c r="C132" s="97" t="s">
        <v>20</v>
      </c>
      <c r="D132" s="98">
        <v>1.0</v>
      </c>
      <c r="E132" s="97" t="s">
        <v>63</v>
      </c>
      <c r="F132" s="36"/>
      <c r="G132" s="101">
        <f>D132*F128</f>
        <v>4</v>
      </c>
      <c r="H132" s="75"/>
      <c r="I132" s="105"/>
      <c r="J132" s="106"/>
      <c r="K132" s="78"/>
      <c r="L132" s="76"/>
    </row>
    <row r="133">
      <c r="A133" s="35"/>
      <c r="B133" s="97">
        <v>6.0</v>
      </c>
      <c r="C133" s="97" t="s">
        <v>72</v>
      </c>
      <c r="D133" s="98">
        <v>3.0</v>
      </c>
      <c r="E133" s="97" t="s">
        <v>61</v>
      </c>
      <c r="F133" s="36"/>
      <c r="G133" s="101">
        <f>D133*F128</f>
        <v>12</v>
      </c>
      <c r="H133" s="75"/>
      <c r="I133" s="76"/>
      <c r="J133" s="77"/>
      <c r="K133" s="78"/>
      <c r="L133" s="76"/>
    </row>
    <row r="134">
      <c r="A134" s="35"/>
      <c r="B134" s="97">
        <v>7.0</v>
      </c>
      <c r="C134" s="97" t="s">
        <v>73</v>
      </c>
      <c r="D134" s="98">
        <v>3.0</v>
      </c>
      <c r="E134" s="97" t="s">
        <v>61</v>
      </c>
      <c r="F134" s="36"/>
      <c r="G134" s="101">
        <f>D134*F128</f>
        <v>12</v>
      </c>
      <c r="H134" s="75"/>
      <c r="I134" s="76"/>
      <c r="J134" s="77"/>
      <c r="K134" s="78"/>
      <c r="L134" s="76"/>
    </row>
    <row r="135">
      <c r="A135" s="90"/>
      <c r="B135" s="97">
        <v>8.0</v>
      </c>
      <c r="C135" s="97" t="s">
        <v>74</v>
      </c>
      <c r="D135" s="98">
        <v>5.0</v>
      </c>
      <c r="E135" s="97" t="s">
        <v>61</v>
      </c>
      <c r="F135" s="91"/>
      <c r="G135" s="101">
        <f>D135*F128</f>
        <v>20</v>
      </c>
      <c r="H135" s="75"/>
      <c r="I135" s="76"/>
      <c r="J135" s="77"/>
      <c r="K135" s="78"/>
      <c r="L135" s="76"/>
    </row>
    <row r="136">
      <c r="A136" s="96" t="s">
        <v>19</v>
      </c>
      <c r="B136" s="97">
        <v>1.0</v>
      </c>
      <c r="C136" s="97" t="s">
        <v>75</v>
      </c>
      <c r="D136" s="98">
        <v>1.0</v>
      </c>
      <c r="E136" s="97" t="s">
        <v>70</v>
      </c>
      <c r="F136" s="99">
        <f>VLOOKUP(A136, '26052026'!$I$99:$J$127, 2, )</f>
        <v>5</v>
      </c>
      <c r="G136" s="101">
        <f>D136*F136</f>
        <v>5</v>
      </c>
      <c r="H136" s="75"/>
      <c r="I136" s="76"/>
      <c r="J136" s="77"/>
      <c r="K136" s="78"/>
      <c r="L136" s="76"/>
    </row>
    <row r="137">
      <c r="A137" s="35"/>
      <c r="B137" s="97">
        <v>2.0</v>
      </c>
      <c r="C137" s="97" t="s">
        <v>76</v>
      </c>
      <c r="D137" s="98">
        <v>1.0</v>
      </c>
      <c r="E137" s="97" t="s">
        <v>77</v>
      </c>
      <c r="F137" s="36"/>
      <c r="G137" s="101">
        <f>D137*F136</f>
        <v>5</v>
      </c>
      <c r="H137" s="75"/>
      <c r="I137" s="76"/>
      <c r="J137" s="77"/>
      <c r="K137" s="78"/>
      <c r="L137" s="76"/>
    </row>
    <row r="138">
      <c r="A138" s="35"/>
      <c r="B138" s="97">
        <v>3.0</v>
      </c>
      <c r="C138" s="97" t="s">
        <v>78</v>
      </c>
      <c r="D138" s="98">
        <v>0.5</v>
      </c>
      <c r="E138" s="97" t="s">
        <v>61</v>
      </c>
      <c r="F138" s="36"/>
      <c r="G138" s="101">
        <f>D138*F136</f>
        <v>2.5</v>
      </c>
      <c r="H138" s="75"/>
      <c r="I138" s="76"/>
      <c r="J138" s="77"/>
      <c r="K138" s="78"/>
      <c r="L138" s="76"/>
    </row>
    <row r="139">
      <c r="A139" s="90"/>
      <c r="B139" s="97">
        <v>4.0</v>
      </c>
      <c r="C139" s="97" t="s">
        <v>79</v>
      </c>
      <c r="D139" s="98">
        <v>1.0</v>
      </c>
      <c r="E139" s="97" t="s">
        <v>70</v>
      </c>
      <c r="F139" s="91"/>
      <c r="G139" s="101">
        <f>D139*F136</f>
        <v>5</v>
      </c>
      <c r="H139" s="75"/>
      <c r="I139" s="76"/>
      <c r="J139" s="77"/>
      <c r="K139" s="78"/>
      <c r="L139" s="76"/>
    </row>
    <row r="140">
      <c r="A140" s="96" t="s">
        <v>23</v>
      </c>
      <c r="B140" s="97">
        <v>1.0</v>
      </c>
      <c r="C140" s="97" t="s">
        <v>66</v>
      </c>
      <c r="D140" s="98">
        <v>180.0</v>
      </c>
      <c r="E140" s="97" t="s">
        <v>61</v>
      </c>
      <c r="F140" s="99">
        <f>VLOOKUP(A140, '26052026'!$I$99:$J$127, 2, )</f>
        <v>0</v>
      </c>
      <c r="G140" s="101">
        <f>D140*F140</f>
        <v>0</v>
      </c>
      <c r="H140" s="75"/>
      <c r="I140" s="76"/>
      <c r="J140" s="77"/>
      <c r="K140" s="78"/>
      <c r="L140" s="76"/>
    </row>
    <row r="141">
      <c r="A141" s="90"/>
      <c r="B141" s="97">
        <v>2.0</v>
      </c>
      <c r="C141" s="97" t="s">
        <v>79</v>
      </c>
      <c r="D141" s="98">
        <v>1.0</v>
      </c>
      <c r="E141" s="97" t="s">
        <v>63</v>
      </c>
      <c r="F141" s="91"/>
      <c r="G141" s="101">
        <f>D141*F140</f>
        <v>0</v>
      </c>
      <c r="H141" s="75"/>
      <c r="I141" s="76"/>
      <c r="J141" s="77"/>
      <c r="K141" s="78"/>
      <c r="L141" s="76"/>
    </row>
    <row r="142">
      <c r="A142" s="107" t="s">
        <v>20</v>
      </c>
      <c r="B142" s="97">
        <v>1.0</v>
      </c>
      <c r="C142" s="97" t="s">
        <v>20</v>
      </c>
      <c r="D142" s="98">
        <v>1.0</v>
      </c>
      <c r="E142" s="97" t="s">
        <v>70</v>
      </c>
      <c r="F142" s="98">
        <f>VLOOKUP(A142, $I$99:$J$127, 2, FALSE)</f>
        <v>2</v>
      </c>
      <c r="G142" s="101">
        <f t="shared" ref="G142:G146" si="7">D142*F142</f>
        <v>2</v>
      </c>
      <c r="H142" s="75"/>
      <c r="I142" s="76"/>
      <c r="J142" s="77"/>
      <c r="K142" s="78"/>
      <c r="L142" s="76"/>
    </row>
    <row r="143">
      <c r="A143" s="107" t="s">
        <v>21</v>
      </c>
      <c r="B143" s="97">
        <v>1.0</v>
      </c>
      <c r="C143" s="97" t="s">
        <v>80</v>
      </c>
      <c r="D143" s="98">
        <v>1.0</v>
      </c>
      <c r="E143" s="97" t="s">
        <v>58</v>
      </c>
      <c r="F143" s="98">
        <f>VLOOKUP(A143, $I$99:$J$129, 2, FALSE)</f>
        <v>1</v>
      </c>
      <c r="G143" s="101">
        <f t="shared" si="7"/>
        <v>1</v>
      </c>
      <c r="H143" s="75"/>
      <c r="I143" s="76"/>
      <c r="J143" s="77"/>
      <c r="K143" s="78"/>
      <c r="L143" s="76"/>
    </row>
    <row r="144">
      <c r="A144" s="94" t="s">
        <v>28</v>
      </c>
      <c r="B144" s="97">
        <v>1.0</v>
      </c>
      <c r="C144" s="97" t="s">
        <v>67</v>
      </c>
      <c r="D144" s="98">
        <v>65.0</v>
      </c>
      <c r="E144" s="97" t="s">
        <v>61</v>
      </c>
      <c r="F144" s="98">
        <f>VLOOKUP(A144, '26052026'!$I$99:$J$127, 2, )</f>
        <v>1</v>
      </c>
      <c r="G144" s="101">
        <f t="shared" si="7"/>
        <v>65</v>
      </c>
      <c r="H144" s="75"/>
      <c r="I144" s="76"/>
      <c r="J144" s="77"/>
      <c r="K144" s="78"/>
      <c r="L144" s="76"/>
    </row>
    <row r="145">
      <c r="A145" s="94" t="s">
        <v>29</v>
      </c>
      <c r="B145" s="97">
        <v>1.0</v>
      </c>
      <c r="C145" s="97" t="s">
        <v>60</v>
      </c>
      <c r="D145" s="98">
        <v>35.0</v>
      </c>
      <c r="E145" s="97" t="s">
        <v>61</v>
      </c>
      <c r="F145" s="98">
        <f>VLOOKUP(A145, '26052026'!$I$99:$J$127, 2, )</f>
        <v>0</v>
      </c>
      <c r="G145" s="101">
        <f t="shared" si="7"/>
        <v>0</v>
      </c>
      <c r="H145" s="75"/>
      <c r="I145" s="76"/>
      <c r="J145" s="77"/>
      <c r="K145" s="78"/>
      <c r="L145" s="76"/>
    </row>
    <row r="146">
      <c r="A146" s="96" t="s">
        <v>12</v>
      </c>
      <c r="B146" s="97">
        <v>1.0</v>
      </c>
      <c r="C146" s="97" t="s">
        <v>81</v>
      </c>
      <c r="D146" s="98">
        <v>1.0</v>
      </c>
      <c r="E146" s="97" t="s">
        <v>58</v>
      </c>
      <c r="F146" s="108">
        <f>VLOOKUP(A146, '26052026'!$I$99:$J$127, 2, )</f>
        <v>22</v>
      </c>
      <c r="G146" s="101">
        <f t="shared" si="7"/>
        <v>22</v>
      </c>
      <c r="H146" s="75"/>
      <c r="I146" s="76"/>
      <c r="J146" s="77"/>
      <c r="K146" s="78"/>
      <c r="L146" s="76"/>
    </row>
    <row r="147">
      <c r="A147" s="35"/>
      <c r="B147" s="97">
        <v>2.0</v>
      </c>
      <c r="C147" s="97" t="s">
        <v>82</v>
      </c>
      <c r="D147" s="98">
        <v>10.0</v>
      </c>
      <c r="E147" s="97" t="s">
        <v>61</v>
      </c>
      <c r="F147" s="36"/>
      <c r="G147" s="101">
        <f>D147*F146</f>
        <v>220</v>
      </c>
      <c r="H147" s="75"/>
      <c r="I147" s="76"/>
      <c r="J147" s="77"/>
      <c r="K147" s="78"/>
      <c r="L147" s="76"/>
    </row>
    <row r="148">
      <c r="A148" s="35"/>
      <c r="B148" s="97">
        <v>3.0</v>
      </c>
      <c r="C148" s="97" t="s">
        <v>62</v>
      </c>
      <c r="D148" s="98">
        <v>1.0</v>
      </c>
      <c r="E148" s="97" t="s">
        <v>63</v>
      </c>
      <c r="F148" s="36"/>
      <c r="G148" s="101">
        <f>D148*F146</f>
        <v>22</v>
      </c>
      <c r="H148" s="75"/>
      <c r="I148" s="76"/>
      <c r="J148" s="77"/>
      <c r="K148" s="78"/>
      <c r="L148" s="76"/>
    </row>
    <row r="149">
      <c r="A149" s="35"/>
      <c r="B149" s="97">
        <v>4.0</v>
      </c>
      <c r="C149" s="97" t="s">
        <v>64</v>
      </c>
      <c r="D149" s="98">
        <v>1.0</v>
      </c>
      <c r="E149" s="97" t="s">
        <v>63</v>
      </c>
      <c r="F149" s="36"/>
      <c r="G149" s="101">
        <f>D149*F146</f>
        <v>22</v>
      </c>
      <c r="H149" s="75"/>
      <c r="I149" s="76"/>
      <c r="J149" s="77"/>
      <c r="K149" s="78"/>
      <c r="L149" s="76"/>
    </row>
    <row r="150">
      <c r="A150" s="35"/>
      <c r="B150" s="97">
        <v>5.0</v>
      </c>
      <c r="C150" s="97" t="s">
        <v>66</v>
      </c>
      <c r="D150" s="98">
        <v>180.0</v>
      </c>
      <c r="E150" s="97" t="s">
        <v>61</v>
      </c>
      <c r="F150" s="36"/>
      <c r="G150" s="101">
        <f>D150*F146</f>
        <v>3960</v>
      </c>
      <c r="H150" s="75"/>
      <c r="I150" s="76"/>
      <c r="J150" s="77"/>
      <c r="K150" s="78"/>
      <c r="L150" s="76"/>
    </row>
    <row r="151">
      <c r="A151" s="90"/>
      <c r="B151" s="97">
        <v>6.0</v>
      </c>
      <c r="C151" s="97" t="s">
        <v>76</v>
      </c>
      <c r="D151" s="98">
        <v>1.0</v>
      </c>
      <c r="E151" s="97" t="s">
        <v>61</v>
      </c>
      <c r="F151" s="91"/>
      <c r="G151" s="101">
        <f>D151*F146</f>
        <v>22</v>
      </c>
      <c r="H151" s="75"/>
      <c r="I151" s="76"/>
      <c r="J151" s="77"/>
      <c r="K151" s="78"/>
      <c r="L151" s="76"/>
    </row>
    <row r="152">
      <c r="A152" s="96" t="s">
        <v>18</v>
      </c>
      <c r="B152" s="97">
        <v>1.0</v>
      </c>
      <c r="C152" s="97" t="s">
        <v>81</v>
      </c>
      <c r="D152" s="98">
        <v>1.0</v>
      </c>
      <c r="E152" s="97" t="s">
        <v>58</v>
      </c>
      <c r="F152" s="108">
        <f>VLOOKUP(A152, '26052026'!$I$99:$J$127, 2, )</f>
        <v>2</v>
      </c>
      <c r="G152" s="101">
        <f>D152*F152</f>
        <v>2</v>
      </c>
      <c r="H152" s="75"/>
      <c r="I152" s="76"/>
      <c r="J152" s="77"/>
      <c r="K152" s="78"/>
      <c r="L152" s="76"/>
    </row>
    <row r="153">
      <c r="A153" s="35"/>
      <c r="B153" s="97">
        <v>2.0</v>
      </c>
      <c r="C153" s="97" t="s">
        <v>20</v>
      </c>
      <c r="D153" s="98">
        <v>1.0</v>
      </c>
      <c r="E153" s="97" t="s">
        <v>63</v>
      </c>
      <c r="F153" s="36"/>
      <c r="G153" s="101">
        <f>D153*F152</f>
        <v>2</v>
      </c>
      <c r="H153" s="75"/>
      <c r="I153" s="76"/>
      <c r="J153" s="77"/>
      <c r="K153" s="78"/>
      <c r="L153" s="76"/>
    </row>
    <row r="154">
      <c r="A154" s="35"/>
      <c r="B154" s="97">
        <v>3.0</v>
      </c>
      <c r="C154" s="97" t="s">
        <v>62</v>
      </c>
      <c r="D154" s="98">
        <v>1.0</v>
      </c>
      <c r="E154" s="97" t="s">
        <v>63</v>
      </c>
      <c r="F154" s="36"/>
      <c r="G154" s="101">
        <f>D154*F152</f>
        <v>2</v>
      </c>
      <c r="H154" s="75"/>
      <c r="I154" s="76"/>
      <c r="J154" s="77"/>
      <c r="K154" s="78"/>
      <c r="L154" s="76"/>
    </row>
    <row r="155">
      <c r="A155" s="35"/>
      <c r="B155" s="97">
        <v>4.0</v>
      </c>
      <c r="C155" s="97" t="s">
        <v>64</v>
      </c>
      <c r="D155" s="98">
        <v>1.0</v>
      </c>
      <c r="E155" s="97" t="s">
        <v>63</v>
      </c>
      <c r="F155" s="36"/>
      <c r="G155" s="101">
        <f>D155*F152</f>
        <v>2</v>
      </c>
      <c r="H155" s="75"/>
      <c r="I155" s="76"/>
      <c r="J155" s="77"/>
      <c r="K155" s="78"/>
      <c r="L155" s="76"/>
    </row>
    <row r="156">
      <c r="A156" s="35"/>
      <c r="B156" s="97">
        <v>5.0</v>
      </c>
      <c r="C156" s="97" t="s">
        <v>66</v>
      </c>
      <c r="D156" s="98">
        <v>180.0</v>
      </c>
      <c r="E156" s="97" t="s">
        <v>61</v>
      </c>
      <c r="F156" s="36"/>
      <c r="G156" s="101">
        <f>D156*F152</f>
        <v>360</v>
      </c>
      <c r="H156" s="75"/>
      <c r="I156" s="76"/>
      <c r="J156" s="77"/>
      <c r="K156" s="78"/>
      <c r="L156" s="76"/>
    </row>
    <row r="157">
      <c r="A157" s="90"/>
      <c r="B157" s="97">
        <v>6.0</v>
      </c>
      <c r="C157" s="97" t="s">
        <v>76</v>
      </c>
      <c r="D157" s="98">
        <v>1.0</v>
      </c>
      <c r="E157" s="97" t="s">
        <v>61</v>
      </c>
      <c r="F157" s="91"/>
      <c r="G157" s="101">
        <f>D157*F152</f>
        <v>2</v>
      </c>
      <c r="H157" s="75"/>
      <c r="I157" s="76"/>
      <c r="J157" s="77"/>
      <c r="K157" s="78"/>
      <c r="L157" s="76"/>
    </row>
    <row r="158">
      <c r="A158" s="96" t="s">
        <v>4</v>
      </c>
      <c r="B158" s="97">
        <v>1.0</v>
      </c>
      <c r="C158" s="97" t="s">
        <v>83</v>
      </c>
      <c r="D158" s="98">
        <v>4.0</v>
      </c>
      <c r="E158" s="97" t="s">
        <v>61</v>
      </c>
      <c r="F158" s="108">
        <f>VLOOKUP(A158, '26052026'!$I$99:$J$127, 2, )</f>
        <v>2</v>
      </c>
      <c r="G158" s="101">
        <f>D158*F158</f>
        <v>8</v>
      </c>
      <c r="H158" s="75"/>
      <c r="I158" s="76"/>
      <c r="J158" s="77"/>
      <c r="K158" s="78"/>
      <c r="L158" s="76"/>
    </row>
    <row r="159">
      <c r="A159" s="35"/>
      <c r="B159" s="97">
        <v>2.0</v>
      </c>
      <c r="C159" s="97" t="s">
        <v>84</v>
      </c>
      <c r="D159" s="98">
        <v>15.0</v>
      </c>
      <c r="E159" s="97" t="s">
        <v>61</v>
      </c>
      <c r="F159" s="36"/>
      <c r="G159" s="101">
        <f>D159*F158</f>
        <v>30</v>
      </c>
      <c r="H159" s="75"/>
      <c r="I159" s="76"/>
      <c r="J159" s="77"/>
      <c r="K159" s="78"/>
      <c r="L159" s="76"/>
    </row>
    <row r="160">
      <c r="A160" s="35"/>
      <c r="B160" s="97">
        <v>3.0</v>
      </c>
      <c r="C160" s="97" t="s">
        <v>85</v>
      </c>
      <c r="D160" s="98">
        <v>50.0</v>
      </c>
      <c r="E160" s="97" t="s">
        <v>86</v>
      </c>
      <c r="F160" s="36"/>
      <c r="G160" s="100">
        <f>D160*F158</f>
        <v>100</v>
      </c>
      <c r="H160" s="75"/>
      <c r="I160" s="76"/>
      <c r="J160" s="77"/>
      <c r="K160" s="78"/>
      <c r="L160" s="76"/>
    </row>
    <row r="161">
      <c r="A161" s="35"/>
      <c r="B161" s="97">
        <v>4.0</v>
      </c>
      <c r="C161" s="97" t="s">
        <v>87</v>
      </c>
      <c r="D161" s="98">
        <v>180.0</v>
      </c>
      <c r="E161" s="97" t="s">
        <v>61</v>
      </c>
      <c r="F161" s="36"/>
      <c r="G161" s="100">
        <f>D161*F158</f>
        <v>360</v>
      </c>
      <c r="H161" s="75"/>
      <c r="I161" s="76"/>
      <c r="J161" s="77"/>
      <c r="K161" s="78"/>
      <c r="L161" s="76"/>
    </row>
    <row r="162">
      <c r="A162" s="35"/>
      <c r="B162" s="97">
        <v>5.0</v>
      </c>
      <c r="C162" s="97" t="s">
        <v>88</v>
      </c>
      <c r="D162" s="98">
        <v>125.0</v>
      </c>
      <c r="E162" s="97" t="s">
        <v>86</v>
      </c>
      <c r="F162" s="36"/>
      <c r="G162" s="100">
        <f>D162*F158</f>
        <v>250</v>
      </c>
      <c r="H162" s="75"/>
      <c r="I162" s="76"/>
      <c r="J162" s="77"/>
      <c r="K162" s="78"/>
      <c r="L162" s="76"/>
    </row>
    <row r="163">
      <c r="A163" s="35"/>
      <c r="B163" s="97">
        <v>6.0</v>
      </c>
      <c r="C163" s="97" t="s">
        <v>89</v>
      </c>
      <c r="D163" s="98">
        <v>1.0</v>
      </c>
      <c r="E163" s="97" t="s">
        <v>63</v>
      </c>
      <c r="F163" s="36"/>
      <c r="G163" s="100">
        <f>D163*F158</f>
        <v>2</v>
      </c>
      <c r="H163" s="75"/>
      <c r="I163" s="76"/>
      <c r="J163" s="77"/>
      <c r="K163" s="78"/>
      <c r="L163" s="76"/>
    </row>
    <row r="164">
      <c r="A164" s="90"/>
      <c r="B164" s="97">
        <v>7.0</v>
      </c>
      <c r="C164" s="97" t="s">
        <v>90</v>
      </c>
      <c r="D164" s="98">
        <v>1.0</v>
      </c>
      <c r="E164" s="97" t="s">
        <v>63</v>
      </c>
      <c r="F164" s="91"/>
      <c r="G164" s="100">
        <f>D164*F158</f>
        <v>2</v>
      </c>
      <c r="H164" s="75"/>
      <c r="I164" s="76"/>
      <c r="J164" s="77"/>
      <c r="K164" s="78"/>
      <c r="L164" s="76"/>
    </row>
    <row r="165">
      <c r="A165" s="96" t="s">
        <v>5</v>
      </c>
      <c r="B165" s="97">
        <v>1.0</v>
      </c>
      <c r="C165" s="97" t="s">
        <v>91</v>
      </c>
      <c r="D165" s="98">
        <v>5.0</v>
      </c>
      <c r="E165" s="97" t="s">
        <v>61</v>
      </c>
      <c r="F165" s="108">
        <f>VLOOKUP(A165, '26052026'!$I$99:$J$127, 2, )</f>
        <v>1</v>
      </c>
      <c r="G165" s="100">
        <f>D165*F165</f>
        <v>5</v>
      </c>
      <c r="H165" s="75"/>
      <c r="I165" s="76"/>
      <c r="J165" s="77"/>
      <c r="K165" s="78"/>
      <c r="L165" s="76"/>
    </row>
    <row r="166">
      <c r="A166" s="35"/>
      <c r="B166" s="97">
        <v>2.0</v>
      </c>
      <c r="C166" s="97" t="s">
        <v>84</v>
      </c>
      <c r="D166" s="98">
        <v>15.0</v>
      </c>
      <c r="E166" s="97" t="s">
        <v>61</v>
      </c>
      <c r="F166" s="36"/>
      <c r="G166" s="100">
        <f>D166*F165</f>
        <v>15</v>
      </c>
      <c r="H166" s="75"/>
      <c r="I166" s="76"/>
      <c r="J166" s="77"/>
      <c r="K166" s="78"/>
      <c r="L166" s="76"/>
    </row>
    <row r="167">
      <c r="A167" s="35"/>
      <c r="B167" s="97">
        <v>3.0</v>
      </c>
      <c r="C167" s="97" t="s">
        <v>85</v>
      </c>
      <c r="D167" s="98">
        <v>50.0</v>
      </c>
      <c r="E167" s="97" t="s">
        <v>86</v>
      </c>
      <c r="F167" s="36"/>
      <c r="G167" s="100">
        <f>D167*F165</f>
        <v>50</v>
      </c>
      <c r="H167" s="75"/>
      <c r="I167" s="76"/>
      <c r="J167" s="77"/>
      <c r="K167" s="78"/>
      <c r="L167" s="76"/>
    </row>
    <row r="168">
      <c r="A168" s="35"/>
      <c r="B168" s="97">
        <v>4.0</v>
      </c>
      <c r="C168" s="97" t="s">
        <v>87</v>
      </c>
      <c r="D168" s="98">
        <v>180.0</v>
      </c>
      <c r="E168" s="97" t="s">
        <v>61</v>
      </c>
      <c r="F168" s="36"/>
      <c r="G168" s="100">
        <f>D168*F165</f>
        <v>180</v>
      </c>
      <c r="H168" s="75"/>
      <c r="I168" s="76"/>
      <c r="J168" s="77"/>
      <c r="K168" s="78"/>
      <c r="L168" s="76"/>
    </row>
    <row r="169">
      <c r="A169" s="35"/>
      <c r="B169" s="97">
        <v>5.0</v>
      </c>
      <c r="C169" s="97" t="s">
        <v>88</v>
      </c>
      <c r="D169" s="98">
        <v>125.0</v>
      </c>
      <c r="E169" s="97" t="s">
        <v>86</v>
      </c>
      <c r="F169" s="36"/>
      <c r="G169" s="100">
        <f>D169*F165</f>
        <v>125</v>
      </c>
      <c r="H169" s="75"/>
      <c r="I169" s="76"/>
      <c r="J169" s="77"/>
      <c r="K169" s="78"/>
      <c r="L169" s="76"/>
    </row>
    <row r="170">
      <c r="A170" s="35"/>
      <c r="B170" s="97">
        <v>6.0</v>
      </c>
      <c r="C170" s="97" t="s">
        <v>89</v>
      </c>
      <c r="D170" s="98">
        <v>1.0</v>
      </c>
      <c r="E170" s="97" t="s">
        <v>63</v>
      </c>
      <c r="F170" s="36"/>
      <c r="G170" s="100">
        <f>D170*F165</f>
        <v>1</v>
      </c>
      <c r="H170" s="75"/>
      <c r="I170" s="76"/>
      <c r="J170" s="77"/>
      <c r="K170" s="78"/>
      <c r="L170" s="76"/>
    </row>
    <row r="171">
      <c r="A171" s="90"/>
      <c r="B171" s="97">
        <v>7.0</v>
      </c>
      <c r="C171" s="97" t="s">
        <v>90</v>
      </c>
      <c r="D171" s="98">
        <v>1.0</v>
      </c>
      <c r="E171" s="97" t="s">
        <v>63</v>
      </c>
      <c r="F171" s="91"/>
      <c r="G171" s="100">
        <f>D171*F165</f>
        <v>1</v>
      </c>
      <c r="H171" s="75"/>
      <c r="I171" s="76"/>
      <c r="J171" s="77"/>
      <c r="K171" s="78"/>
      <c r="L171" s="76"/>
    </row>
    <row r="172">
      <c r="A172" s="96" t="s">
        <v>6</v>
      </c>
      <c r="B172" s="97">
        <v>1.0</v>
      </c>
      <c r="C172" s="97" t="s">
        <v>6</v>
      </c>
      <c r="D172" s="98">
        <v>16.0</v>
      </c>
      <c r="E172" s="97" t="s">
        <v>61</v>
      </c>
      <c r="F172" s="108">
        <f>VLOOKUP(A172, '26052026'!$I$99:$J$127, 2, )</f>
        <v>2</v>
      </c>
      <c r="G172" s="100">
        <f>D172*F172</f>
        <v>32</v>
      </c>
      <c r="H172" s="75"/>
      <c r="I172" s="76"/>
      <c r="J172" s="77"/>
      <c r="K172" s="78"/>
      <c r="L172" s="76"/>
    </row>
    <row r="173">
      <c r="A173" s="35"/>
      <c r="B173" s="97">
        <v>2.0</v>
      </c>
      <c r="C173" s="97" t="s">
        <v>92</v>
      </c>
      <c r="D173" s="98">
        <v>15.0</v>
      </c>
      <c r="E173" s="97" t="s">
        <v>61</v>
      </c>
      <c r="F173" s="36"/>
      <c r="G173" s="100">
        <f>D173*F172</f>
        <v>30</v>
      </c>
      <c r="H173" s="75"/>
      <c r="I173" s="76"/>
      <c r="J173" s="77"/>
      <c r="K173" s="78"/>
      <c r="L173" s="76"/>
    </row>
    <row r="174">
      <c r="A174" s="35"/>
      <c r="B174" s="97">
        <v>3.0</v>
      </c>
      <c r="C174" s="97" t="s">
        <v>84</v>
      </c>
      <c r="D174" s="98">
        <v>8.0</v>
      </c>
      <c r="E174" s="97" t="s">
        <v>61</v>
      </c>
      <c r="F174" s="36"/>
      <c r="G174" s="100">
        <f>D174*F172</f>
        <v>16</v>
      </c>
      <c r="H174" s="75"/>
      <c r="I174" s="76"/>
      <c r="J174" s="77"/>
      <c r="K174" s="78"/>
      <c r="L174" s="76"/>
    </row>
    <row r="175">
      <c r="A175" s="35"/>
      <c r="B175" s="97">
        <v>4.0</v>
      </c>
      <c r="C175" s="97" t="s">
        <v>85</v>
      </c>
      <c r="D175" s="98">
        <v>50.0</v>
      </c>
      <c r="E175" s="97" t="s">
        <v>86</v>
      </c>
      <c r="F175" s="36"/>
      <c r="G175" s="100">
        <f>D175*F172</f>
        <v>100</v>
      </c>
      <c r="H175" s="75"/>
      <c r="I175" s="76"/>
      <c r="J175" s="77"/>
      <c r="K175" s="78"/>
      <c r="L175" s="76"/>
    </row>
    <row r="176">
      <c r="A176" s="35"/>
      <c r="B176" s="97">
        <v>5.0</v>
      </c>
      <c r="C176" s="97" t="s">
        <v>88</v>
      </c>
      <c r="D176" s="98">
        <v>125.0</v>
      </c>
      <c r="E176" s="97" t="s">
        <v>86</v>
      </c>
      <c r="F176" s="36"/>
      <c r="G176" s="100">
        <f>D176*F172</f>
        <v>250</v>
      </c>
      <c r="H176" s="75"/>
      <c r="I176" s="76"/>
      <c r="J176" s="77"/>
      <c r="K176" s="78"/>
      <c r="L176" s="76"/>
    </row>
    <row r="177">
      <c r="A177" s="35"/>
      <c r="B177" s="97">
        <v>6.0</v>
      </c>
      <c r="C177" s="97" t="s">
        <v>87</v>
      </c>
      <c r="D177" s="98">
        <v>180.0</v>
      </c>
      <c r="E177" s="97" t="s">
        <v>61</v>
      </c>
      <c r="F177" s="36"/>
      <c r="G177" s="100">
        <f>D177*F172</f>
        <v>360</v>
      </c>
      <c r="H177" s="75"/>
      <c r="I177" s="76"/>
      <c r="J177" s="77"/>
      <c r="K177" s="78"/>
      <c r="L177" s="76"/>
    </row>
    <row r="178">
      <c r="A178" s="35"/>
      <c r="B178" s="97">
        <v>7.0</v>
      </c>
      <c r="C178" s="97" t="s">
        <v>89</v>
      </c>
      <c r="D178" s="98">
        <v>1.0</v>
      </c>
      <c r="E178" s="97" t="s">
        <v>63</v>
      </c>
      <c r="F178" s="36"/>
      <c r="G178" s="100">
        <f>D178*F172</f>
        <v>2</v>
      </c>
      <c r="H178" s="75"/>
      <c r="I178" s="76"/>
      <c r="J178" s="77"/>
      <c r="K178" s="78"/>
      <c r="L178" s="76"/>
    </row>
    <row r="179">
      <c r="A179" s="90"/>
      <c r="B179" s="97">
        <v>8.0</v>
      </c>
      <c r="C179" s="97" t="s">
        <v>90</v>
      </c>
      <c r="D179" s="98">
        <v>1.0</v>
      </c>
      <c r="E179" s="97" t="s">
        <v>63</v>
      </c>
      <c r="F179" s="91"/>
      <c r="G179" s="100">
        <f>D179*F172</f>
        <v>2</v>
      </c>
      <c r="H179" s="75"/>
      <c r="I179" s="76"/>
      <c r="J179" s="77"/>
      <c r="K179" s="78"/>
      <c r="L179" s="76"/>
    </row>
    <row r="180">
      <c r="A180" s="96" t="s">
        <v>7</v>
      </c>
      <c r="B180" s="97">
        <v>1.0</v>
      </c>
      <c r="C180" s="97" t="s">
        <v>83</v>
      </c>
      <c r="D180" s="98">
        <v>1.5</v>
      </c>
      <c r="E180" s="97" t="s">
        <v>61</v>
      </c>
      <c r="F180" s="108">
        <f>VLOOKUP(A180, '26052026'!$I$99:$J$127, 2, )</f>
        <v>3</v>
      </c>
      <c r="G180" s="100">
        <f>D180*F180</f>
        <v>4.5</v>
      </c>
      <c r="H180" s="75"/>
      <c r="I180" s="76"/>
      <c r="J180" s="77"/>
      <c r="K180" s="78"/>
      <c r="L180" s="76"/>
    </row>
    <row r="181">
      <c r="A181" s="35"/>
      <c r="B181" s="97">
        <v>2.0</v>
      </c>
      <c r="C181" s="97" t="s">
        <v>84</v>
      </c>
      <c r="D181" s="98">
        <v>25.0</v>
      </c>
      <c r="E181" s="97" t="s">
        <v>61</v>
      </c>
      <c r="F181" s="36"/>
      <c r="G181" s="100">
        <f>D181*F180</f>
        <v>75</v>
      </c>
      <c r="H181" s="75"/>
      <c r="I181" s="76"/>
      <c r="J181" s="77"/>
      <c r="K181" s="78"/>
      <c r="L181" s="76"/>
    </row>
    <row r="182">
      <c r="A182" s="35"/>
      <c r="B182" s="97">
        <v>3.0</v>
      </c>
      <c r="C182" s="97" t="s">
        <v>85</v>
      </c>
      <c r="D182" s="98">
        <v>50.0</v>
      </c>
      <c r="E182" s="97" t="s">
        <v>86</v>
      </c>
      <c r="F182" s="36"/>
      <c r="G182" s="100">
        <f>D182*F180</f>
        <v>150</v>
      </c>
      <c r="H182" s="75"/>
      <c r="I182" s="76"/>
      <c r="J182" s="77"/>
      <c r="K182" s="78"/>
      <c r="L182" s="76"/>
    </row>
    <row r="183">
      <c r="A183" s="35"/>
      <c r="B183" s="97">
        <v>4.0</v>
      </c>
      <c r="C183" s="97" t="s">
        <v>87</v>
      </c>
      <c r="D183" s="98">
        <v>180.0</v>
      </c>
      <c r="E183" s="97" t="s">
        <v>61</v>
      </c>
      <c r="F183" s="36"/>
      <c r="G183" s="100">
        <f>D183*F180</f>
        <v>540</v>
      </c>
      <c r="H183" s="75"/>
      <c r="I183" s="76"/>
      <c r="J183" s="77"/>
      <c r="K183" s="78"/>
      <c r="L183" s="76"/>
    </row>
    <row r="184">
      <c r="A184" s="35"/>
      <c r="B184" s="97">
        <v>5.0</v>
      </c>
      <c r="C184" s="97" t="s">
        <v>85</v>
      </c>
      <c r="D184" s="98">
        <v>125.0</v>
      </c>
      <c r="E184" s="97" t="s">
        <v>86</v>
      </c>
      <c r="F184" s="36"/>
      <c r="G184" s="100">
        <f>D184*F180</f>
        <v>375</v>
      </c>
      <c r="H184" s="75"/>
      <c r="I184" s="76"/>
      <c r="J184" s="77"/>
      <c r="K184" s="78"/>
      <c r="L184" s="76"/>
    </row>
    <row r="185">
      <c r="A185" s="35"/>
      <c r="B185" s="97">
        <v>6.0</v>
      </c>
      <c r="C185" s="97" t="s">
        <v>89</v>
      </c>
      <c r="D185" s="98">
        <v>1.0</v>
      </c>
      <c r="E185" s="97" t="s">
        <v>63</v>
      </c>
      <c r="F185" s="36"/>
      <c r="G185" s="100">
        <f>D185*F180</f>
        <v>3</v>
      </c>
      <c r="H185" s="75"/>
      <c r="I185" s="76"/>
      <c r="J185" s="77"/>
      <c r="K185" s="78"/>
      <c r="L185" s="76"/>
    </row>
    <row r="186">
      <c r="A186" s="90"/>
      <c r="B186" s="97">
        <v>7.0</v>
      </c>
      <c r="C186" s="97" t="s">
        <v>90</v>
      </c>
      <c r="D186" s="98">
        <v>1.0</v>
      </c>
      <c r="E186" s="97" t="s">
        <v>63</v>
      </c>
      <c r="F186" s="91"/>
      <c r="G186" s="100">
        <f>D186*F180</f>
        <v>3</v>
      </c>
      <c r="H186" s="75"/>
      <c r="I186" s="76"/>
      <c r="J186" s="77"/>
      <c r="K186" s="78"/>
      <c r="L186" s="76"/>
    </row>
    <row r="187">
      <c r="A187" s="96" t="s">
        <v>22</v>
      </c>
      <c r="B187" s="97">
        <v>1.0</v>
      </c>
      <c r="C187" s="97" t="s">
        <v>6</v>
      </c>
      <c r="D187" s="98">
        <v>16.0</v>
      </c>
      <c r="E187" s="97" t="s">
        <v>61</v>
      </c>
      <c r="F187" s="108">
        <f>VLOOKUP(A187, '26052026'!$I$99:$J$127, 2, )</f>
        <v>2</v>
      </c>
      <c r="G187" s="100">
        <f>D187*F187</f>
        <v>32</v>
      </c>
      <c r="H187" s="75"/>
      <c r="I187" s="76"/>
      <c r="J187" s="77"/>
      <c r="K187" s="78"/>
      <c r="L187" s="76"/>
    </row>
    <row r="188">
      <c r="A188" s="35"/>
      <c r="B188" s="97">
        <v>2.0</v>
      </c>
      <c r="C188" s="97" t="s">
        <v>92</v>
      </c>
      <c r="D188" s="98">
        <v>15.0</v>
      </c>
      <c r="E188" s="97" t="s">
        <v>61</v>
      </c>
      <c r="F188" s="36"/>
      <c r="G188" s="100">
        <f>D188*F187</f>
        <v>30</v>
      </c>
      <c r="H188" s="75"/>
      <c r="I188" s="76"/>
      <c r="J188" s="77"/>
      <c r="K188" s="78"/>
      <c r="L188" s="76"/>
    </row>
    <row r="189">
      <c r="A189" s="35"/>
      <c r="B189" s="97">
        <v>3.0</v>
      </c>
      <c r="C189" s="97" t="s">
        <v>84</v>
      </c>
      <c r="D189" s="98">
        <v>8.0</v>
      </c>
      <c r="E189" s="97" t="s">
        <v>61</v>
      </c>
      <c r="F189" s="36"/>
      <c r="G189" s="100">
        <f>D189*F187</f>
        <v>16</v>
      </c>
      <c r="H189" s="75"/>
      <c r="I189" s="76"/>
      <c r="J189" s="77"/>
      <c r="K189" s="78"/>
      <c r="L189" s="76"/>
    </row>
    <row r="190">
      <c r="A190" s="35"/>
      <c r="B190" s="97">
        <v>4.0</v>
      </c>
      <c r="C190" s="97" t="s">
        <v>93</v>
      </c>
      <c r="D190" s="98">
        <v>20.0</v>
      </c>
      <c r="E190" s="97" t="s">
        <v>61</v>
      </c>
      <c r="F190" s="36"/>
      <c r="G190" s="100">
        <f>D190*F187</f>
        <v>40</v>
      </c>
      <c r="H190" s="75"/>
      <c r="I190" s="76"/>
      <c r="J190" s="77"/>
      <c r="K190" s="78"/>
      <c r="L190" s="76"/>
    </row>
    <row r="191">
      <c r="A191" s="35"/>
      <c r="B191" s="97">
        <v>5.0</v>
      </c>
      <c r="C191" s="97" t="s">
        <v>85</v>
      </c>
      <c r="D191" s="98">
        <v>50.0</v>
      </c>
      <c r="E191" s="97" t="s">
        <v>86</v>
      </c>
      <c r="F191" s="36"/>
      <c r="G191" s="100">
        <f>D191*F187</f>
        <v>100</v>
      </c>
      <c r="H191" s="75"/>
      <c r="I191" s="76"/>
      <c r="J191" s="77"/>
      <c r="K191" s="78"/>
      <c r="L191" s="76"/>
    </row>
    <row r="192">
      <c r="A192" s="35"/>
      <c r="B192" s="97">
        <v>6.0</v>
      </c>
      <c r="C192" s="97" t="s">
        <v>88</v>
      </c>
      <c r="D192" s="98">
        <v>125.0</v>
      </c>
      <c r="E192" s="97" t="s">
        <v>86</v>
      </c>
      <c r="F192" s="36"/>
      <c r="G192" s="100">
        <f>D192*F187</f>
        <v>250</v>
      </c>
      <c r="H192" s="75"/>
      <c r="I192" s="76"/>
      <c r="J192" s="77"/>
      <c r="K192" s="78"/>
      <c r="L192" s="76"/>
    </row>
    <row r="193">
      <c r="A193" s="35"/>
      <c r="B193" s="97">
        <v>7.0</v>
      </c>
      <c r="C193" s="97" t="s">
        <v>87</v>
      </c>
      <c r="D193" s="98">
        <v>180.0</v>
      </c>
      <c r="E193" s="97" t="s">
        <v>61</v>
      </c>
      <c r="F193" s="36"/>
      <c r="G193" s="100">
        <f>D193*F187</f>
        <v>360</v>
      </c>
      <c r="H193" s="75"/>
      <c r="I193" s="76"/>
      <c r="J193" s="77"/>
      <c r="K193" s="78"/>
      <c r="L193" s="76"/>
    </row>
    <row r="194">
      <c r="A194" s="35"/>
      <c r="B194" s="97">
        <v>8.0</v>
      </c>
      <c r="C194" s="97" t="s">
        <v>89</v>
      </c>
      <c r="D194" s="98">
        <v>1.0</v>
      </c>
      <c r="E194" s="97" t="s">
        <v>63</v>
      </c>
      <c r="F194" s="36"/>
      <c r="G194" s="100">
        <f>D194*F187</f>
        <v>2</v>
      </c>
      <c r="H194" s="75"/>
      <c r="I194" s="76"/>
      <c r="J194" s="77"/>
      <c r="K194" s="78"/>
      <c r="L194" s="76"/>
    </row>
    <row r="195">
      <c r="A195" s="90"/>
      <c r="B195" s="97">
        <v>9.0</v>
      </c>
      <c r="C195" s="97" t="s">
        <v>90</v>
      </c>
      <c r="D195" s="98">
        <v>1.0</v>
      </c>
      <c r="E195" s="97" t="s">
        <v>63</v>
      </c>
      <c r="F195" s="91"/>
      <c r="G195" s="100">
        <f>D195*F187</f>
        <v>2</v>
      </c>
      <c r="H195" s="75"/>
      <c r="I195" s="76"/>
      <c r="J195" s="77"/>
      <c r="K195" s="78"/>
      <c r="L195" s="76"/>
    </row>
    <row r="196">
      <c r="A196" s="109" t="s">
        <v>8</v>
      </c>
      <c r="B196" s="110">
        <v>1.0</v>
      </c>
      <c r="C196" s="111" t="s">
        <v>94</v>
      </c>
      <c r="D196" s="112">
        <v>0.067</v>
      </c>
      <c r="E196" s="113" t="s">
        <v>63</v>
      </c>
      <c r="F196" s="114">
        <f>VLOOKUP(A196, '26052026'!$I$99:$J$127, 2, )</f>
        <v>28</v>
      </c>
      <c r="G196" s="115">
        <f>D196*F196</f>
        <v>1.876</v>
      </c>
      <c r="H196" s="75"/>
      <c r="I196" s="76"/>
      <c r="J196" s="77"/>
      <c r="K196" s="78"/>
      <c r="L196" s="76"/>
    </row>
    <row r="197">
      <c r="A197" s="35"/>
      <c r="B197" s="116">
        <v>2.0</v>
      </c>
      <c r="C197" s="117" t="s">
        <v>84</v>
      </c>
      <c r="D197" s="118">
        <v>20.0</v>
      </c>
      <c r="E197" s="119" t="s">
        <v>61</v>
      </c>
      <c r="F197" s="36"/>
      <c r="G197" s="115">
        <f>D197*F196</f>
        <v>560</v>
      </c>
      <c r="H197" s="75"/>
      <c r="I197" s="76"/>
      <c r="J197" s="77"/>
      <c r="K197" s="78"/>
      <c r="L197" s="76"/>
    </row>
    <row r="198">
      <c r="A198" s="35"/>
      <c r="B198" s="116">
        <v>3.0</v>
      </c>
      <c r="C198" s="117" t="s">
        <v>85</v>
      </c>
      <c r="D198" s="118">
        <v>50.0</v>
      </c>
      <c r="E198" s="119" t="s">
        <v>86</v>
      </c>
      <c r="F198" s="36"/>
      <c r="G198" s="115">
        <f>D198*F196</f>
        <v>1400</v>
      </c>
      <c r="H198" s="75"/>
      <c r="I198" s="76"/>
      <c r="J198" s="77"/>
      <c r="K198" s="78"/>
      <c r="L198" s="76"/>
    </row>
    <row r="199">
      <c r="A199" s="35"/>
      <c r="B199" s="116">
        <v>4.0</v>
      </c>
      <c r="C199" s="117" t="s">
        <v>87</v>
      </c>
      <c r="D199" s="118">
        <v>180.0</v>
      </c>
      <c r="E199" s="119" t="s">
        <v>61</v>
      </c>
      <c r="F199" s="36"/>
      <c r="G199" s="115">
        <f>D199*F196</f>
        <v>5040</v>
      </c>
      <c r="H199" s="75"/>
      <c r="I199" s="76"/>
      <c r="J199" s="77"/>
      <c r="K199" s="78"/>
      <c r="L199" s="76"/>
    </row>
    <row r="200">
      <c r="A200" s="35"/>
      <c r="B200" s="116">
        <v>6.0</v>
      </c>
      <c r="C200" s="117" t="s">
        <v>89</v>
      </c>
      <c r="D200" s="118">
        <v>1.0</v>
      </c>
      <c r="E200" s="119" t="s">
        <v>63</v>
      </c>
      <c r="F200" s="36"/>
      <c r="G200" s="115">
        <f>D200*F196</f>
        <v>28</v>
      </c>
      <c r="H200" s="75"/>
      <c r="I200" s="76"/>
      <c r="J200" s="77"/>
      <c r="K200" s="78"/>
      <c r="L200" s="76"/>
    </row>
    <row r="201">
      <c r="A201" s="90"/>
      <c r="B201" s="116">
        <v>7.0</v>
      </c>
      <c r="C201" s="117" t="s">
        <v>90</v>
      </c>
      <c r="D201" s="118">
        <v>1.0</v>
      </c>
      <c r="E201" s="119" t="s">
        <v>63</v>
      </c>
      <c r="F201" s="91"/>
      <c r="G201" s="115">
        <f>D201*F196</f>
        <v>28</v>
      </c>
      <c r="H201" s="75"/>
      <c r="I201" s="76"/>
      <c r="J201" s="77"/>
      <c r="K201" s="78"/>
      <c r="L201" s="76"/>
    </row>
    <row r="202">
      <c r="A202" s="120" t="s">
        <v>31</v>
      </c>
      <c r="B202" s="121">
        <v>1.0</v>
      </c>
      <c r="C202" s="121" t="s">
        <v>60</v>
      </c>
      <c r="D202" s="122">
        <v>70.0</v>
      </c>
      <c r="E202" s="121" t="s">
        <v>61</v>
      </c>
      <c r="F202" s="114">
        <f>VLOOKUP(A202, '26052026'!$I$99:$J$127, 2, )</f>
        <v>1</v>
      </c>
      <c r="G202" s="123">
        <f>D202*F202</f>
        <v>70</v>
      </c>
      <c r="H202" s="75"/>
      <c r="I202" s="76"/>
      <c r="J202" s="77"/>
      <c r="K202" s="78"/>
      <c r="L202" s="76"/>
    </row>
    <row r="203">
      <c r="A203" s="35"/>
      <c r="B203" s="121">
        <v>2.0</v>
      </c>
      <c r="C203" s="121" t="s">
        <v>20</v>
      </c>
      <c r="D203" s="122">
        <v>1.0</v>
      </c>
      <c r="E203" s="121" t="s">
        <v>63</v>
      </c>
      <c r="F203" s="36"/>
      <c r="G203" s="123">
        <f>D203*F202</f>
        <v>1</v>
      </c>
      <c r="H203" s="75"/>
      <c r="I203" s="76"/>
      <c r="J203" s="77"/>
      <c r="K203" s="78"/>
      <c r="L203" s="76"/>
    </row>
    <row r="204">
      <c r="A204" s="35"/>
      <c r="B204" s="121">
        <v>3.0</v>
      </c>
      <c r="C204" s="97" t="s">
        <v>62</v>
      </c>
      <c r="D204" s="98">
        <v>1.0</v>
      </c>
      <c r="E204" s="97" t="s">
        <v>63</v>
      </c>
      <c r="F204" s="36"/>
      <c r="G204" s="123">
        <f>D204*F202</f>
        <v>1</v>
      </c>
      <c r="H204" s="75"/>
      <c r="I204" s="76"/>
      <c r="J204" s="77"/>
      <c r="K204" s="78"/>
      <c r="L204" s="76"/>
    </row>
    <row r="205">
      <c r="A205" s="35"/>
      <c r="B205" s="121">
        <v>4.0</v>
      </c>
      <c r="C205" s="97" t="s">
        <v>64</v>
      </c>
      <c r="D205" s="98">
        <v>1.0</v>
      </c>
      <c r="E205" s="97" t="s">
        <v>63</v>
      </c>
      <c r="F205" s="36"/>
      <c r="G205" s="123">
        <f>D205*F202</f>
        <v>1</v>
      </c>
      <c r="H205" s="75"/>
      <c r="I205" s="76"/>
      <c r="J205" s="77"/>
      <c r="K205" s="78"/>
      <c r="L205" s="76"/>
    </row>
    <row r="206">
      <c r="A206" s="35"/>
      <c r="B206" s="121">
        <v>5.0</v>
      </c>
      <c r="C206" s="121" t="s">
        <v>66</v>
      </c>
      <c r="D206" s="122">
        <v>180.0</v>
      </c>
      <c r="E206" s="121" t="s">
        <v>61</v>
      </c>
      <c r="F206" s="36"/>
      <c r="G206" s="123">
        <f>D206*F202</f>
        <v>180</v>
      </c>
      <c r="H206" s="75"/>
      <c r="I206" s="76"/>
      <c r="J206" s="77"/>
      <c r="K206" s="78"/>
      <c r="L206" s="76"/>
    </row>
    <row r="207">
      <c r="A207" s="90"/>
      <c r="B207" s="121">
        <v>6.0</v>
      </c>
      <c r="C207" s="121" t="s">
        <v>65</v>
      </c>
      <c r="D207" s="122">
        <v>1.0</v>
      </c>
      <c r="E207" s="121" t="s">
        <v>63</v>
      </c>
      <c r="F207" s="91"/>
      <c r="G207" s="123">
        <f>D207*F202</f>
        <v>1</v>
      </c>
      <c r="H207" s="75"/>
      <c r="I207" s="76"/>
      <c r="J207" s="77"/>
      <c r="K207" s="78"/>
      <c r="L207" s="76"/>
    </row>
    <row r="208">
      <c r="A208" s="120" t="s">
        <v>30</v>
      </c>
      <c r="B208" s="124">
        <v>1.0</v>
      </c>
      <c r="C208" s="125" t="s">
        <v>30</v>
      </c>
      <c r="D208" s="126">
        <v>1.0</v>
      </c>
      <c r="E208" s="124" t="s">
        <v>63</v>
      </c>
      <c r="F208" s="114">
        <f>VLOOKUP(A208, '26052026'!$I$99:$J$127, 2, )</f>
        <v>1</v>
      </c>
      <c r="G208" s="127">
        <f t="shared" ref="G208:G209" si="8">D208*F208</f>
        <v>1</v>
      </c>
      <c r="H208" s="75"/>
      <c r="I208" s="76"/>
      <c r="J208" s="77"/>
      <c r="K208" s="78"/>
      <c r="L208" s="76"/>
    </row>
    <row r="209">
      <c r="A209" s="128" t="s">
        <v>33</v>
      </c>
      <c r="B209" s="129">
        <v>1.0</v>
      </c>
      <c r="C209" s="130" t="s">
        <v>95</v>
      </c>
      <c r="D209" s="131">
        <v>67.5</v>
      </c>
      <c r="E209" s="132" t="s">
        <v>61</v>
      </c>
      <c r="F209" s="133">
        <f>VLOOKUP(A209, '26052026'!$I$99:$J$127, 2, )</f>
        <v>1</v>
      </c>
      <c r="G209" s="134">
        <f t="shared" si="8"/>
        <v>67.5</v>
      </c>
      <c r="H209" s="75"/>
      <c r="I209" s="76"/>
      <c r="J209" s="77"/>
      <c r="K209" s="78"/>
      <c r="L209" s="76"/>
    </row>
    <row r="210">
      <c r="A210" s="35"/>
      <c r="B210" s="129">
        <v>2.0</v>
      </c>
      <c r="C210" s="130" t="s">
        <v>96</v>
      </c>
      <c r="D210" s="131">
        <v>7.5</v>
      </c>
      <c r="E210" s="132" t="s">
        <v>61</v>
      </c>
      <c r="F210" s="36"/>
      <c r="G210" s="134">
        <f>D210*F209</f>
        <v>7.5</v>
      </c>
      <c r="H210" s="75"/>
      <c r="I210" s="76"/>
      <c r="J210" s="77"/>
      <c r="K210" s="78"/>
      <c r="L210" s="76"/>
    </row>
    <row r="211">
      <c r="A211" s="35"/>
      <c r="B211" s="129">
        <v>3.0</v>
      </c>
      <c r="C211" s="130" t="s">
        <v>85</v>
      </c>
      <c r="D211" s="131">
        <v>117.0</v>
      </c>
      <c r="E211" s="132" t="s">
        <v>61</v>
      </c>
      <c r="F211" s="36"/>
      <c r="G211" s="134">
        <f>D211*F209</f>
        <v>117</v>
      </c>
      <c r="H211" s="75"/>
      <c r="I211" s="76"/>
      <c r="J211" s="77"/>
      <c r="K211" s="78"/>
      <c r="L211" s="76"/>
    </row>
    <row r="212">
      <c r="A212" s="35"/>
      <c r="B212" s="129">
        <v>4.0</v>
      </c>
      <c r="C212" s="135" t="s">
        <v>97</v>
      </c>
      <c r="D212" s="131">
        <v>1.25</v>
      </c>
      <c r="E212" s="132" t="s">
        <v>61</v>
      </c>
      <c r="F212" s="36"/>
      <c r="G212" s="134">
        <f>D212*F209</f>
        <v>1.25</v>
      </c>
      <c r="H212" s="75"/>
      <c r="I212" s="76"/>
      <c r="J212" s="77"/>
      <c r="K212" s="78"/>
      <c r="L212" s="76"/>
    </row>
    <row r="213">
      <c r="A213" s="35"/>
      <c r="B213" s="129">
        <v>5.0</v>
      </c>
      <c r="C213" s="135" t="s">
        <v>67</v>
      </c>
      <c r="D213" s="136">
        <v>130.0</v>
      </c>
      <c r="E213" s="129" t="s">
        <v>61</v>
      </c>
      <c r="F213" s="36"/>
      <c r="G213" s="134">
        <f>D213*F209</f>
        <v>130</v>
      </c>
      <c r="H213" s="75"/>
      <c r="I213" s="76"/>
      <c r="J213" s="77"/>
      <c r="K213" s="78"/>
      <c r="L213" s="76"/>
    </row>
    <row r="214">
      <c r="A214" s="35"/>
      <c r="B214" s="129">
        <v>6.0</v>
      </c>
      <c r="C214" s="135" t="s">
        <v>98</v>
      </c>
      <c r="D214" s="136">
        <v>2.0</v>
      </c>
      <c r="E214" s="129" t="s">
        <v>77</v>
      </c>
      <c r="F214" s="36"/>
      <c r="G214" s="134">
        <f>D214*F209</f>
        <v>2</v>
      </c>
      <c r="H214" s="75"/>
      <c r="I214" s="76"/>
      <c r="J214" s="77"/>
      <c r="K214" s="78"/>
      <c r="L214" s="76"/>
    </row>
    <row r="215">
      <c r="A215" s="35"/>
      <c r="B215" s="129">
        <v>7.0</v>
      </c>
      <c r="C215" s="135" t="s">
        <v>99</v>
      </c>
      <c r="D215" s="136">
        <v>1.0</v>
      </c>
      <c r="E215" s="129" t="s">
        <v>77</v>
      </c>
      <c r="F215" s="36"/>
      <c r="G215" s="134">
        <f>D215*F209</f>
        <v>1</v>
      </c>
      <c r="H215" s="75"/>
      <c r="I215" s="76"/>
      <c r="J215" s="77"/>
      <c r="K215" s="78"/>
      <c r="L215" s="76"/>
    </row>
    <row r="216">
      <c r="A216" s="35"/>
      <c r="B216" s="129">
        <v>8.0</v>
      </c>
      <c r="C216" s="135" t="s">
        <v>100</v>
      </c>
      <c r="D216" s="136">
        <v>10.0</v>
      </c>
      <c r="E216" s="129" t="s">
        <v>101</v>
      </c>
      <c r="F216" s="36"/>
      <c r="G216" s="134">
        <f>D216*F209</f>
        <v>10</v>
      </c>
      <c r="H216" s="75"/>
      <c r="I216" s="76"/>
      <c r="J216" s="77"/>
      <c r="K216" s="78"/>
      <c r="L216" s="76"/>
    </row>
    <row r="217">
      <c r="A217" s="35"/>
      <c r="B217" s="129">
        <v>9.0</v>
      </c>
      <c r="C217" s="135" t="s">
        <v>102</v>
      </c>
      <c r="D217" s="136">
        <v>5.0</v>
      </c>
      <c r="E217" s="129" t="s">
        <v>101</v>
      </c>
      <c r="F217" s="36"/>
      <c r="G217" s="134">
        <f>D217*F209</f>
        <v>5</v>
      </c>
      <c r="H217" s="75"/>
      <c r="I217" s="76"/>
      <c r="J217" s="77"/>
      <c r="K217" s="78"/>
      <c r="L217" s="76"/>
    </row>
    <row r="218">
      <c r="A218" s="35"/>
      <c r="B218" s="129">
        <v>10.0</v>
      </c>
      <c r="C218" s="137" t="s">
        <v>85</v>
      </c>
      <c r="D218" s="136">
        <v>100.0</v>
      </c>
      <c r="E218" s="129" t="s">
        <v>103</v>
      </c>
      <c r="F218" s="36"/>
      <c r="G218" s="134">
        <f>D218*F209</f>
        <v>100</v>
      </c>
      <c r="H218" s="75"/>
      <c r="I218" s="76"/>
      <c r="J218" s="77"/>
      <c r="K218" s="78"/>
      <c r="L218" s="76"/>
    </row>
    <row r="219">
      <c r="A219" s="35"/>
      <c r="B219" s="129">
        <v>11.0</v>
      </c>
      <c r="C219" s="135" t="s">
        <v>104</v>
      </c>
      <c r="D219" s="136">
        <v>15.0</v>
      </c>
      <c r="E219" s="129" t="s">
        <v>61</v>
      </c>
      <c r="F219" s="36"/>
      <c r="G219" s="134">
        <f>D219*F209</f>
        <v>15</v>
      </c>
      <c r="H219" s="75"/>
      <c r="I219" s="76"/>
      <c r="J219" s="77"/>
      <c r="K219" s="78"/>
      <c r="L219" s="76"/>
    </row>
    <row r="220">
      <c r="A220" s="35"/>
      <c r="B220" s="129">
        <v>12.0</v>
      </c>
      <c r="C220" s="135" t="s">
        <v>105</v>
      </c>
      <c r="D220" s="136">
        <v>15.0</v>
      </c>
      <c r="E220" s="129" t="s">
        <v>61</v>
      </c>
      <c r="F220" s="36"/>
      <c r="G220" s="134">
        <f>D220*F209</f>
        <v>15</v>
      </c>
      <c r="H220" s="75"/>
      <c r="I220" s="76"/>
      <c r="J220" s="77"/>
      <c r="K220" s="78"/>
      <c r="L220" s="76"/>
    </row>
    <row r="221">
      <c r="A221" s="35"/>
      <c r="B221" s="129">
        <v>13.0</v>
      </c>
      <c r="C221" s="137" t="s">
        <v>85</v>
      </c>
      <c r="D221" s="136">
        <v>10.0</v>
      </c>
      <c r="E221" s="129" t="s">
        <v>86</v>
      </c>
      <c r="F221" s="36"/>
      <c r="G221" s="134">
        <f>D221*F209</f>
        <v>10</v>
      </c>
      <c r="H221" s="75"/>
      <c r="I221" s="76"/>
      <c r="J221" s="77"/>
      <c r="K221" s="78"/>
      <c r="L221" s="76"/>
    </row>
    <row r="222">
      <c r="A222" s="35"/>
      <c r="B222" s="129">
        <v>14.0</v>
      </c>
      <c r="C222" s="135" t="s">
        <v>97</v>
      </c>
      <c r="D222" s="136">
        <v>5.0</v>
      </c>
      <c r="E222" s="129" t="s">
        <v>61</v>
      </c>
      <c r="F222" s="36"/>
      <c r="G222" s="134">
        <f>D222*F209</f>
        <v>5</v>
      </c>
      <c r="H222" s="75"/>
      <c r="I222" s="76"/>
      <c r="J222" s="77"/>
      <c r="K222" s="78"/>
      <c r="L222" s="76"/>
    </row>
    <row r="223">
      <c r="A223" s="90"/>
      <c r="B223" s="129">
        <v>16.0</v>
      </c>
      <c r="C223" s="135" t="s">
        <v>106</v>
      </c>
      <c r="D223" s="136">
        <v>10.0</v>
      </c>
      <c r="E223" s="129" t="s">
        <v>61</v>
      </c>
      <c r="F223" s="91"/>
      <c r="G223" s="134">
        <f>D223*F209</f>
        <v>10</v>
      </c>
      <c r="H223" s="75"/>
      <c r="I223" s="76"/>
      <c r="J223" s="77"/>
      <c r="K223" s="78"/>
      <c r="L223" s="76"/>
    </row>
    <row r="224">
      <c r="A224" s="138" t="s">
        <v>34</v>
      </c>
      <c r="B224" s="139">
        <v>1.0</v>
      </c>
      <c r="C224" s="140" t="s">
        <v>95</v>
      </c>
      <c r="D224" s="141">
        <v>67.5</v>
      </c>
      <c r="E224" s="142" t="s">
        <v>61</v>
      </c>
      <c r="F224" s="143">
        <f>VLOOKUP(A224, '26052026'!$I$99:$J$127, 2, )</f>
        <v>3</v>
      </c>
      <c r="G224" s="144">
        <f>D224*F224</f>
        <v>202.5</v>
      </c>
      <c r="H224" s="75"/>
      <c r="I224" s="76"/>
      <c r="J224" s="77"/>
      <c r="K224" s="78"/>
      <c r="L224" s="76"/>
    </row>
    <row r="225">
      <c r="A225" s="35"/>
      <c r="B225" s="129">
        <v>2.0</v>
      </c>
      <c r="C225" s="130" t="s">
        <v>96</v>
      </c>
      <c r="D225" s="131">
        <v>7.5</v>
      </c>
      <c r="E225" s="132" t="s">
        <v>61</v>
      </c>
      <c r="F225" s="36"/>
      <c r="G225" s="134">
        <f>D225*F224</f>
        <v>22.5</v>
      </c>
      <c r="H225" s="75"/>
      <c r="I225" s="76"/>
      <c r="J225" s="77"/>
      <c r="K225" s="78"/>
      <c r="L225" s="76"/>
    </row>
    <row r="226">
      <c r="A226" s="35"/>
      <c r="B226" s="129">
        <v>3.0</v>
      </c>
      <c r="C226" s="130" t="s">
        <v>85</v>
      </c>
      <c r="D226" s="131">
        <v>117.0</v>
      </c>
      <c r="E226" s="132" t="s">
        <v>61</v>
      </c>
      <c r="F226" s="36"/>
      <c r="G226" s="134">
        <f>D226*F224</f>
        <v>351</v>
      </c>
      <c r="H226" s="75"/>
      <c r="I226" s="76"/>
      <c r="J226" s="77"/>
      <c r="K226" s="78"/>
      <c r="L226" s="76"/>
    </row>
    <row r="227">
      <c r="A227" s="35"/>
      <c r="B227" s="129">
        <v>4.0</v>
      </c>
      <c r="C227" s="135" t="s">
        <v>97</v>
      </c>
      <c r="D227" s="131">
        <v>1.25</v>
      </c>
      <c r="E227" s="132" t="s">
        <v>61</v>
      </c>
      <c r="F227" s="36"/>
      <c r="G227" s="134">
        <f>D227*F224</f>
        <v>3.75</v>
      </c>
      <c r="H227" s="75"/>
      <c r="I227" s="76"/>
      <c r="J227" s="77"/>
      <c r="K227" s="78"/>
      <c r="L227" s="76"/>
    </row>
    <row r="228">
      <c r="A228" s="35"/>
      <c r="B228" s="129">
        <v>5.0</v>
      </c>
      <c r="C228" s="135" t="s">
        <v>60</v>
      </c>
      <c r="D228" s="136">
        <v>70.0</v>
      </c>
      <c r="E228" s="129" t="s">
        <v>61</v>
      </c>
      <c r="F228" s="36"/>
      <c r="G228" s="134">
        <f>D228*F224</f>
        <v>210</v>
      </c>
      <c r="H228" s="75"/>
      <c r="I228" s="76"/>
      <c r="J228" s="77"/>
      <c r="K228" s="78"/>
      <c r="L228" s="76"/>
    </row>
    <row r="229">
      <c r="A229" s="35"/>
      <c r="B229" s="129">
        <v>6.0</v>
      </c>
      <c r="C229" s="135" t="s">
        <v>98</v>
      </c>
      <c r="D229" s="136">
        <v>2.0</v>
      </c>
      <c r="E229" s="129" t="s">
        <v>63</v>
      </c>
      <c r="F229" s="36"/>
      <c r="G229" s="134">
        <f>D229*F224</f>
        <v>6</v>
      </c>
      <c r="H229" s="75"/>
      <c r="I229" s="76"/>
      <c r="J229" s="77"/>
      <c r="K229" s="78"/>
      <c r="L229" s="76"/>
    </row>
    <row r="230">
      <c r="A230" s="35"/>
      <c r="B230" s="129">
        <v>7.0</v>
      </c>
      <c r="C230" s="135" t="s">
        <v>99</v>
      </c>
      <c r="D230" s="136">
        <v>1.0</v>
      </c>
      <c r="E230" s="129" t="s">
        <v>77</v>
      </c>
      <c r="F230" s="36"/>
      <c r="G230" s="134">
        <f>D230*F224</f>
        <v>3</v>
      </c>
      <c r="H230" s="75"/>
      <c r="I230" s="76"/>
      <c r="J230" s="77"/>
      <c r="K230" s="78"/>
      <c r="L230" s="76"/>
    </row>
    <row r="231">
      <c r="A231" s="35"/>
      <c r="B231" s="129">
        <v>8.0</v>
      </c>
      <c r="C231" s="135" t="s">
        <v>100</v>
      </c>
      <c r="D231" s="136">
        <v>10.0</v>
      </c>
      <c r="E231" s="129" t="s">
        <v>101</v>
      </c>
      <c r="F231" s="36"/>
      <c r="G231" s="134">
        <f>D231*F224</f>
        <v>30</v>
      </c>
      <c r="H231" s="75"/>
      <c r="I231" s="76"/>
      <c r="J231" s="77"/>
      <c r="K231" s="78"/>
      <c r="L231" s="76"/>
    </row>
    <row r="232">
      <c r="A232" s="35"/>
      <c r="B232" s="129">
        <v>9.0</v>
      </c>
      <c r="C232" s="135" t="s">
        <v>102</v>
      </c>
      <c r="D232" s="136">
        <v>5.0</v>
      </c>
      <c r="E232" s="129" t="s">
        <v>101</v>
      </c>
      <c r="F232" s="36"/>
      <c r="G232" s="134">
        <f>D232*F224</f>
        <v>15</v>
      </c>
      <c r="H232" s="75"/>
      <c r="I232" s="76"/>
      <c r="J232" s="77"/>
      <c r="K232" s="78"/>
      <c r="L232" s="76"/>
    </row>
    <row r="233">
      <c r="A233" s="35"/>
      <c r="B233" s="129">
        <v>10.0</v>
      </c>
      <c r="C233" s="137" t="s">
        <v>85</v>
      </c>
      <c r="D233" s="136">
        <v>100.0</v>
      </c>
      <c r="E233" s="129" t="s">
        <v>103</v>
      </c>
      <c r="F233" s="36"/>
      <c r="G233" s="134">
        <f>D233*F224</f>
        <v>300</v>
      </c>
      <c r="H233" s="75"/>
      <c r="I233" s="76"/>
      <c r="J233" s="77"/>
      <c r="K233" s="78"/>
      <c r="L233" s="76"/>
    </row>
    <row r="234">
      <c r="A234" s="35"/>
      <c r="B234" s="129">
        <v>11.0</v>
      </c>
      <c r="C234" s="135" t="s">
        <v>104</v>
      </c>
      <c r="D234" s="136">
        <v>15.0</v>
      </c>
      <c r="E234" s="129" t="s">
        <v>61</v>
      </c>
      <c r="F234" s="36"/>
      <c r="G234" s="134">
        <f>D234*F224</f>
        <v>45</v>
      </c>
      <c r="H234" s="75"/>
      <c r="I234" s="76"/>
      <c r="J234" s="77"/>
      <c r="K234" s="78"/>
      <c r="L234" s="76"/>
    </row>
    <row r="235">
      <c r="A235" s="35"/>
      <c r="B235" s="129">
        <v>12.0</v>
      </c>
      <c r="C235" s="135" t="s">
        <v>105</v>
      </c>
      <c r="D235" s="136">
        <v>15.0</v>
      </c>
      <c r="E235" s="129" t="s">
        <v>61</v>
      </c>
      <c r="F235" s="36"/>
      <c r="G235" s="134">
        <f>D235*F224</f>
        <v>45</v>
      </c>
      <c r="H235" s="75"/>
      <c r="I235" s="76"/>
      <c r="J235" s="77"/>
      <c r="K235" s="78"/>
      <c r="L235" s="76"/>
    </row>
    <row r="236">
      <c r="A236" s="35"/>
      <c r="B236" s="129">
        <v>13.0</v>
      </c>
      <c r="C236" s="137" t="s">
        <v>85</v>
      </c>
      <c r="D236" s="136">
        <v>10.0</v>
      </c>
      <c r="E236" s="129" t="s">
        <v>86</v>
      </c>
      <c r="F236" s="36"/>
      <c r="G236" s="134">
        <f>D236*F224</f>
        <v>30</v>
      </c>
      <c r="H236" s="75"/>
      <c r="I236" s="76"/>
      <c r="J236" s="77"/>
      <c r="K236" s="78"/>
      <c r="L236" s="76"/>
    </row>
    <row r="237">
      <c r="A237" s="35"/>
      <c r="B237" s="129">
        <v>14.0</v>
      </c>
      <c r="C237" s="135" t="s">
        <v>87</v>
      </c>
      <c r="D237" s="136">
        <v>5.0</v>
      </c>
      <c r="E237" s="129" t="s">
        <v>61</v>
      </c>
      <c r="F237" s="36"/>
      <c r="G237" s="134">
        <f>D237*F224</f>
        <v>15</v>
      </c>
      <c r="H237" s="75"/>
      <c r="I237" s="76"/>
      <c r="J237" s="77"/>
      <c r="K237" s="78"/>
      <c r="L237" s="76"/>
    </row>
    <row r="238">
      <c r="A238" s="35"/>
      <c r="B238" s="129">
        <v>15.0</v>
      </c>
      <c r="C238" s="135" t="s">
        <v>97</v>
      </c>
      <c r="D238" s="136">
        <v>1.0</v>
      </c>
      <c r="E238" s="129" t="s">
        <v>61</v>
      </c>
      <c r="F238" s="36"/>
      <c r="G238" s="134">
        <f>D238*F224</f>
        <v>3</v>
      </c>
      <c r="H238" s="75"/>
      <c r="I238" s="76"/>
      <c r="J238" s="77"/>
      <c r="K238" s="78"/>
      <c r="L238" s="76"/>
    </row>
    <row r="239">
      <c r="A239" s="90"/>
      <c r="B239" s="129">
        <v>16.0</v>
      </c>
      <c r="C239" s="135" t="s">
        <v>106</v>
      </c>
      <c r="D239" s="136">
        <v>10.0</v>
      </c>
      <c r="E239" s="129" t="s">
        <v>61</v>
      </c>
      <c r="F239" s="91"/>
      <c r="G239" s="134">
        <f>D239*F224</f>
        <v>30</v>
      </c>
      <c r="H239" s="75"/>
      <c r="I239" s="76"/>
      <c r="J239" s="77"/>
      <c r="K239" s="78"/>
      <c r="L239" s="76"/>
    </row>
    <row r="240">
      <c r="A240" s="128" t="s">
        <v>32</v>
      </c>
      <c r="B240" s="129">
        <v>1.0</v>
      </c>
      <c r="C240" s="130" t="s">
        <v>95</v>
      </c>
      <c r="D240" s="131">
        <v>67.5</v>
      </c>
      <c r="E240" s="132" t="s">
        <v>61</v>
      </c>
      <c r="F240" s="133">
        <f>VLOOKUP(A240, '26052026'!$I$99:$J$127, 2, )</f>
        <v>3</v>
      </c>
      <c r="G240" s="134">
        <f>D240*F240</f>
        <v>202.5</v>
      </c>
      <c r="H240" s="75"/>
      <c r="I240" s="76"/>
      <c r="J240" s="77"/>
      <c r="K240" s="78"/>
      <c r="L240" s="76"/>
    </row>
    <row r="241">
      <c r="A241" s="35"/>
      <c r="B241" s="129">
        <v>2.0</v>
      </c>
      <c r="C241" s="130" t="s">
        <v>96</v>
      </c>
      <c r="D241" s="131">
        <v>7.5</v>
      </c>
      <c r="E241" s="132" t="s">
        <v>61</v>
      </c>
      <c r="F241" s="36"/>
      <c r="G241" s="134">
        <f>D241*F240</f>
        <v>22.5</v>
      </c>
      <c r="H241" s="75"/>
      <c r="I241" s="76"/>
      <c r="J241" s="77"/>
      <c r="K241" s="78"/>
      <c r="L241" s="76"/>
    </row>
    <row r="242">
      <c r="A242" s="35"/>
      <c r="B242" s="129">
        <v>3.0</v>
      </c>
      <c r="C242" s="130" t="s">
        <v>85</v>
      </c>
      <c r="D242" s="131">
        <v>117.0</v>
      </c>
      <c r="E242" s="132" t="s">
        <v>61</v>
      </c>
      <c r="F242" s="36"/>
      <c r="G242" s="134">
        <f>D242*F240</f>
        <v>351</v>
      </c>
      <c r="H242" s="75"/>
      <c r="I242" s="76"/>
      <c r="J242" s="77"/>
      <c r="K242" s="78"/>
      <c r="L242" s="76"/>
    </row>
    <row r="243">
      <c r="A243" s="35"/>
      <c r="B243" s="129">
        <v>4.0</v>
      </c>
      <c r="C243" s="135" t="s">
        <v>97</v>
      </c>
      <c r="D243" s="131">
        <v>1.25</v>
      </c>
      <c r="E243" s="132" t="s">
        <v>61</v>
      </c>
      <c r="F243" s="36"/>
      <c r="G243" s="134">
        <f>D243*F240</f>
        <v>3.75</v>
      </c>
      <c r="H243" s="75"/>
      <c r="I243" s="76"/>
      <c r="J243" s="77"/>
      <c r="K243" s="78"/>
      <c r="L243" s="76"/>
    </row>
    <row r="244">
      <c r="A244" s="35"/>
      <c r="B244" s="129">
        <v>5.0</v>
      </c>
      <c r="C244" s="135" t="s">
        <v>81</v>
      </c>
      <c r="D244" s="136">
        <v>1.0</v>
      </c>
      <c r="E244" s="129" t="s">
        <v>58</v>
      </c>
      <c r="F244" s="36"/>
      <c r="G244" s="134">
        <f>D244*F240</f>
        <v>3</v>
      </c>
      <c r="H244" s="75"/>
      <c r="I244" s="76"/>
      <c r="J244" s="77"/>
      <c r="K244" s="78"/>
      <c r="L244" s="76"/>
    </row>
    <row r="245">
      <c r="A245" s="35"/>
      <c r="B245" s="129">
        <v>6.0</v>
      </c>
      <c r="C245" s="135" t="s">
        <v>98</v>
      </c>
      <c r="D245" s="136">
        <v>2.0</v>
      </c>
      <c r="E245" s="129" t="s">
        <v>77</v>
      </c>
      <c r="F245" s="36"/>
      <c r="G245" s="134">
        <f>D245*F240</f>
        <v>6</v>
      </c>
      <c r="H245" s="75"/>
      <c r="I245" s="76"/>
      <c r="J245" s="77"/>
      <c r="K245" s="78"/>
      <c r="L245" s="76"/>
    </row>
    <row r="246">
      <c r="A246" s="35"/>
      <c r="B246" s="129">
        <v>7.0</v>
      </c>
      <c r="C246" s="135" t="s">
        <v>99</v>
      </c>
      <c r="D246" s="136">
        <v>1.0</v>
      </c>
      <c r="E246" s="129" t="s">
        <v>77</v>
      </c>
      <c r="F246" s="36"/>
      <c r="G246" s="134">
        <f>D246*F240</f>
        <v>3</v>
      </c>
      <c r="H246" s="75"/>
      <c r="I246" s="76"/>
      <c r="J246" s="77"/>
      <c r="K246" s="78"/>
      <c r="L246" s="76"/>
    </row>
    <row r="247">
      <c r="A247" s="35"/>
      <c r="B247" s="129">
        <v>8.0</v>
      </c>
      <c r="C247" s="135" t="s">
        <v>100</v>
      </c>
      <c r="D247" s="136">
        <v>10.0</v>
      </c>
      <c r="E247" s="129" t="s">
        <v>101</v>
      </c>
      <c r="F247" s="36"/>
      <c r="G247" s="134">
        <f>D247*F240</f>
        <v>30</v>
      </c>
      <c r="H247" s="75"/>
      <c r="I247" s="76"/>
      <c r="J247" s="77"/>
      <c r="K247" s="78"/>
      <c r="L247" s="76"/>
    </row>
    <row r="248">
      <c r="A248" s="35"/>
      <c r="B248" s="129">
        <v>9.0</v>
      </c>
      <c r="C248" s="135" t="s">
        <v>102</v>
      </c>
      <c r="D248" s="136">
        <v>5.0</v>
      </c>
      <c r="E248" s="129" t="s">
        <v>101</v>
      </c>
      <c r="F248" s="36"/>
      <c r="G248" s="134">
        <f>D248*F240</f>
        <v>15</v>
      </c>
      <c r="H248" s="75"/>
      <c r="I248" s="76"/>
      <c r="J248" s="77"/>
      <c r="K248" s="78"/>
      <c r="L248" s="76"/>
    </row>
    <row r="249">
      <c r="A249" s="35"/>
      <c r="B249" s="129">
        <v>10.0</v>
      </c>
      <c r="C249" s="137" t="s">
        <v>85</v>
      </c>
      <c r="D249" s="136">
        <v>100.0</v>
      </c>
      <c r="E249" s="129" t="s">
        <v>103</v>
      </c>
      <c r="F249" s="36"/>
      <c r="G249" s="134">
        <f>D249*F240</f>
        <v>300</v>
      </c>
      <c r="H249" s="75"/>
      <c r="I249" s="76"/>
      <c r="J249" s="77"/>
      <c r="K249" s="78"/>
      <c r="L249" s="76"/>
    </row>
    <row r="250">
      <c r="A250" s="35"/>
      <c r="B250" s="129">
        <v>11.0</v>
      </c>
      <c r="C250" s="135" t="s">
        <v>104</v>
      </c>
      <c r="D250" s="136">
        <v>15.0</v>
      </c>
      <c r="E250" s="129" t="s">
        <v>61</v>
      </c>
      <c r="F250" s="36"/>
      <c r="G250" s="134">
        <f>D250*F240</f>
        <v>45</v>
      </c>
      <c r="H250" s="75"/>
      <c r="I250" s="76"/>
      <c r="J250" s="77"/>
      <c r="K250" s="78"/>
      <c r="L250" s="76"/>
    </row>
    <row r="251">
      <c r="A251" s="35"/>
      <c r="B251" s="129">
        <v>12.0</v>
      </c>
      <c r="C251" s="135" t="s">
        <v>105</v>
      </c>
      <c r="D251" s="136">
        <v>15.0</v>
      </c>
      <c r="E251" s="129" t="s">
        <v>61</v>
      </c>
      <c r="F251" s="36"/>
      <c r="G251" s="134">
        <f>D251*F240</f>
        <v>45</v>
      </c>
      <c r="H251" s="75"/>
      <c r="I251" s="76"/>
      <c r="J251" s="77"/>
      <c r="K251" s="78"/>
      <c r="L251" s="76"/>
    </row>
    <row r="252">
      <c r="A252" s="35"/>
      <c r="B252" s="129">
        <v>13.0</v>
      </c>
      <c r="C252" s="137" t="s">
        <v>85</v>
      </c>
      <c r="D252" s="136">
        <v>10.0</v>
      </c>
      <c r="E252" s="129" t="s">
        <v>86</v>
      </c>
      <c r="F252" s="36"/>
      <c r="G252" s="134">
        <f>D252*F240</f>
        <v>30</v>
      </c>
      <c r="H252" s="75"/>
      <c r="I252" s="76"/>
      <c r="J252" s="77"/>
      <c r="K252" s="78"/>
      <c r="L252" s="76"/>
    </row>
    <row r="253">
      <c r="A253" s="35"/>
      <c r="B253" s="129">
        <v>14.0</v>
      </c>
      <c r="C253" s="135" t="s">
        <v>87</v>
      </c>
      <c r="D253" s="136">
        <v>5.0</v>
      </c>
      <c r="E253" s="129" t="s">
        <v>61</v>
      </c>
      <c r="F253" s="36"/>
      <c r="G253" s="134">
        <f>D253*F240</f>
        <v>15</v>
      </c>
      <c r="H253" s="75"/>
      <c r="I253" s="76"/>
      <c r="J253" s="77"/>
      <c r="K253" s="78"/>
      <c r="L253" s="76"/>
    </row>
    <row r="254">
      <c r="A254" s="35"/>
      <c r="B254" s="129">
        <v>15.0</v>
      </c>
      <c r="C254" s="135" t="s">
        <v>97</v>
      </c>
      <c r="D254" s="136">
        <v>1.0</v>
      </c>
      <c r="E254" s="129" t="s">
        <v>61</v>
      </c>
      <c r="F254" s="36"/>
      <c r="G254" s="134">
        <f>D254*F240</f>
        <v>3</v>
      </c>
      <c r="H254" s="75"/>
      <c r="I254" s="76"/>
      <c r="J254" s="77"/>
      <c r="K254" s="78"/>
      <c r="L254" s="76"/>
    </row>
    <row r="255">
      <c r="A255" s="49"/>
      <c r="B255" s="145">
        <v>16.0</v>
      </c>
      <c r="C255" s="146" t="s">
        <v>106</v>
      </c>
      <c r="D255" s="147">
        <v>10.0</v>
      </c>
      <c r="E255" s="145" t="s">
        <v>61</v>
      </c>
      <c r="F255" s="50"/>
      <c r="G255" s="148">
        <f>D255*F240</f>
        <v>30</v>
      </c>
      <c r="H255" s="75"/>
      <c r="I255" s="76"/>
      <c r="J255" s="77"/>
      <c r="K255" s="78"/>
      <c r="L255" s="76"/>
    </row>
  </sheetData>
  <mergeCells count="66">
    <mergeCell ref="A172:A179"/>
    <mergeCell ref="A180:A186"/>
    <mergeCell ref="A187:A195"/>
    <mergeCell ref="A196:A201"/>
    <mergeCell ref="A202:A207"/>
    <mergeCell ref="A209:A223"/>
    <mergeCell ref="A224:A239"/>
    <mergeCell ref="A240:A255"/>
    <mergeCell ref="A128:A135"/>
    <mergeCell ref="A136:A139"/>
    <mergeCell ref="A140:A141"/>
    <mergeCell ref="A146:A151"/>
    <mergeCell ref="A152:A157"/>
    <mergeCell ref="A158:A164"/>
    <mergeCell ref="A165:A171"/>
    <mergeCell ref="I2:I32"/>
    <mergeCell ref="I33:I63"/>
    <mergeCell ref="I64:I94"/>
    <mergeCell ref="J33:J63"/>
    <mergeCell ref="K33:K63"/>
    <mergeCell ref="J64:J94"/>
    <mergeCell ref="K64:K94"/>
    <mergeCell ref="L64:L94"/>
    <mergeCell ref="I97:J97"/>
    <mergeCell ref="A2:A32"/>
    <mergeCell ref="B2:B32"/>
    <mergeCell ref="J2:J32"/>
    <mergeCell ref="K2:K32"/>
    <mergeCell ref="L2:L32"/>
    <mergeCell ref="B33:B63"/>
    <mergeCell ref="L33:L63"/>
    <mergeCell ref="A33:A63"/>
    <mergeCell ref="A64:A94"/>
    <mergeCell ref="B64:B94"/>
    <mergeCell ref="A97:G97"/>
    <mergeCell ref="A98:A99"/>
    <mergeCell ref="B98:B99"/>
    <mergeCell ref="F100:F104"/>
    <mergeCell ref="A100:A104"/>
    <mergeCell ref="A105:A108"/>
    <mergeCell ref="A109:A113"/>
    <mergeCell ref="A114:A115"/>
    <mergeCell ref="A116:A118"/>
    <mergeCell ref="A119:A122"/>
    <mergeCell ref="A123:A127"/>
    <mergeCell ref="F105:F108"/>
    <mergeCell ref="F109:F113"/>
    <mergeCell ref="F114:F115"/>
    <mergeCell ref="F116:F118"/>
    <mergeCell ref="F119:F122"/>
    <mergeCell ref="F123:F127"/>
    <mergeCell ref="F128:F135"/>
    <mergeCell ref="F180:F186"/>
    <mergeCell ref="F187:F195"/>
    <mergeCell ref="F196:F201"/>
    <mergeCell ref="F202:F207"/>
    <mergeCell ref="F209:F223"/>
    <mergeCell ref="F224:F239"/>
    <mergeCell ref="F240:F255"/>
    <mergeCell ref="F136:F139"/>
    <mergeCell ref="F140:F141"/>
    <mergeCell ref="F146:F151"/>
    <mergeCell ref="F152:F157"/>
    <mergeCell ref="F158:F164"/>
    <mergeCell ref="F165:F171"/>
    <mergeCell ref="F172:F179"/>
  </mergeCell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25"/>
    <col customWidth="1" min="4" max="4" width="15.63"/>
    <col customWidth="1" min="6" max="6" width="28.63"/>
    <col customWidth="1" min="7" max="7" width="19.0"/>
  </cols>
  <sheetData>
    <row r="1">
      <c r="A1" s="149" t="s">
        <v>36</v>
      </c>
      <c r="B1" s="150" t="s">
        <v>37</v>
      </c>
      <c r="C1" s="151" t="s">
        <v>38</v>
      </c>
      <c r="D1" s="151" t="s">
        <v>109</v>
      </c>
      <c r="E1" s="151" t="s">
        <v>40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</row>
    <row r="2">
      <c r="A2" s="155">
        <v>46168.0</v>
      </c>
      <c r="B2" s="156" t="s">
        <v>4</v>
      </c>
      <c r="C2" s="157">
        <v>0.0</v>
      </c>
      <c r="D2" s="158"/>
      <c r="E2" s="159">
        <f t="shared" ref="E2:E962" si="1">sum(C2:D2)</f>
        <v>0</v>
      </c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</row>
    <row r="3">
      <c r="A3" s="36"/>
      <c r="B3" s="156" t="s">
        <v>5</v>
      </c>
      <c r="C3" s="157">
        <v>0.0</v>
      </c>
      <c r="D3" s="158"/>
      <c r="E3" s="159">
        <f t="shared" si="1"/>
        <v>0</v>
      </c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</row>
    <row r="4">
      <c r="A4" s="36"/>
      <c r="B4" s="156" t="s">
        <v>6</v>
      </c>
      <c r="C4" s="157">
        <v>1.0</v>
      </c>
      <c r="D4" s="158"/>
      <c r="E4" s="159">
        <f t="shared" si="1"/>
        <v>1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</row>
    <row r="5">
      <c r="A5" s="36"/>
      <c r="B5" s="156" t="s">
        <v>22</v>
      </c>
      <c r="C5" s="157">
        <v>0.0</v>
      </c>
      <c r="D5" s="158"/>
      <c r="E5" s="159">
        <f t="shared" si="1"/>
        <v>0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</row>
    <row r="6">
      <c r="A6" s="36"/>
      <c r="B6" s="156" t="s">
        <v>7</v>
      </c>
      <c r="C6" s="157">
        <v>1.0</v>
      </c>
      <c r="D6" s="158"/>
      <c r="E6" s="159">
        <f t="shared" si="1"/>
        <v>1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</row>
    <row r="7">
      <c r="A7" s="36"/>
      <c r="B7" s="162" t="s">
        <v>8</v>
      </c>
      <c r="C7" s="157">
        <v>14.0</v>
      </c>
      <c r="D7" s="158"/>
      <c r="E7" s="159">
        <f t="shared" si="1"/>
        <v>14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</row>
    <row r="8">
      <c r="A8" s="36"/>
      <c r="B8" s="156" t="s">
        <v>9</v>
      </c>
      <c r="C8" s="157">
        <v>1.0</v>
      </c>
      <c r="D8" s="158"/>
      <c r="E8" s="159">
        <f t="shared" si="1"/>
        <v>1</v>
      </c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</row>
    <row r="9">
      <c r="A9" s="36"/>
      <c r="B9" s="156" t="s">
        <v>10</v>
      </c>
      <c r="C9" s="157">
        <v>4.0</v>
      </c>
      <c r="D9" s="158"/>
      <c r="E9" s="159">
        <f t="shared" si="1"/>
        <v>4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</row>
    <row r="10">
      <c r="A10" s="36"/>
      <c r="B10" s="156" t="s">
        <v>11</v>
      </c>
      <c r="C10" s="157">
        <v>1.0</v>
      </c>
      <c r="D10" s="158"/>
      <c r="E10" s="159">
        <f t="shared" si="1"/>
        <v>1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</row>
    <row r="11">
      <c r="A11" s="36"/>
      <c r="B11" s="162" t="s">
        <v>12</v>
      </c>
      <c r="C11" s="157">
        <v>12.0</v>
      </c>
      <c r="D11" s="158"/>
      <c r="E11" s="159">
        <f t="shared" si="1"/>
        <v>12</v>
      </c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</row>
    <row r="12">
      <c r="A12" s="36"/>
      <c r="B12" s="162" t="s">
        <v>13</v>
      </c>
      <c r="C12" s="157">
        <v>0.0</v>
      </c>
      <c r="D12" s="158"/>
      <c r="E12" s="159">
        <f t="shared" si="1"/>
        <v>0</v>
      </c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</row>
    <row r="13">
      <c r="A13" s="36"/>
      <c r="B13" s="162" t="s">
        <v>14</v>
      </c>
      <c r="C13" s="157">
        <v>0.0</v>
      </c>
      <c r="D13" s="158"/>
      <c r="E13" s="159">
        <f t="shared" si="1"/>
        <v>0</v>
      </c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</row>
    <row r="14">
      <c r="A14" s="36"/>
      <c r="B14" s="162" t="s">
        <v>15</v>
      </c>
      <c r="C14" s="157">
        <v>0.0</v>
      </c>
      <c r="D14" s="158"/>
      <c r="E14" s="159">
        <f t="shared" si="1"/>
        <v>0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</row>
    <row r="15">
      <c r="A15" s="36"/>
      <c r="B15" s="162" t="s">
        <v>16</v>
      </c>
      <c r="C15" s="157">
        <v>1.0</v>
      </c>
      <c r="D15" s="158"/>
      <c r="E15" s="159">
        <f t="shared" si="1"/>
        <v>1</v>
      </c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</row>
    <row r="16">
      <c r="A16" s="36"/>
      <c r="B16" s="162" t="s">
        <v>17</v>
      </c>
      <c r="C16" s="157">
        <v>0.0</v>
      </c>
      <c r="D16" s="158"/>
      <c r="E16" s="159">
        <f t="shared" si="1"/>
        <v>0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</row>
    <row r="17">
      <c r="A17" s="36"/>
      <c r="B17" s="156" t="s">
        <v>18</v>
      </c>
      <c r="C17" s="157">
        <v>2.0</v>
      </c>
      <c r="D17" s="158"/>
      <c r="E17" s="159">
        <f t="shared" si="1"/>
        <v>2</v>
      </c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</row>
    <row r="18">
      <c r="A18" s="36"/>
      <c r="B18" s="156" t="s">
        <v>19</v>
      </c>
      <c r="C18" s="157">
        <v>2.0</v>
      </c>
      <c r="D18" s="158"/>
      <c r="E18" s="159">
        <f t="shared" si="1"/>
        <v>2</v>
      </c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</row>
    <row r="19">
      <c r="A19" s="36"/>
      <c r="B19" s="156" t="s">
        <v>20</v>
      </c>
      <c r="C19" s="163">
        <v>0.0</v>
      </c>
      <c r="D19" s="158"/>
      <c r="E19" s="159">
        <f t="shared" si="1"/>
        <v>0</v>
      </c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</row>
    <row r="20">
      <c r="A20" s="36"/>
      <c r="B20" s="156" t="s">
        <v>21</v>
      </c>
      <c r="C20" s="163">
        <v>1.0</v>
      </c>
      <c r="D20" s="158"/>
      <c r="E20" s="159">
        <f t="shared" si="1"/>
        <v>1</v>
      </c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</row>
    <row r="21">
      <c r="A21" s="36"/>
      <c r="B21" s="156" t="s">
        <v>23</v>
      </c>
      <c r="C21" s="163">
        <v>0.0</v>
      </c>
      <c r="D21" s="158"/>
      <c r="E21" s="159">
        <f t="shared" si="1"/>
        <v>0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</row>
    <row r="22">
      <c r="A22" s="36"/>
      <c r="B22" s="156" t="s">
        <v>24</v>
      </c>
      <c r="C22" s="163">
        <v>11.0</v>
      </c>
      <c r="D22" s="158"/>
      <c r="E22" s="159">
        <f t="shared" si="1"/>
        <v>11</v>
      </c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</row>
    <row r="23">
      <c r="A23" s="36"/>
      <c r="B23" s="156" t="s">
        <v>25</v>
      </c>
      <c r="C23" s="163">
        <v>13.0</v>
      </c>
      <c r="D23" s="164"/>
      <c r="E23" s="159">
        <f t="shared" si="1"/>
        <v>13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</row>
    <row r="24">
      <c r="A24" s="36"/>
      <c r="B24" s="156" t="s">
        <v>26</v>
      </c>
      <c r="C24" s="163">
        <v>16.0</v>
      </c>
      <c r="D24" s="164"/>
      <c r="E24" s="159">
        <f t="shared" si="1"/>
        <v>16</v>
      </c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</row>
    <row r="25">
      <c r="A25" s="36"/>
      <c r="B25" s="156" t="s">
        <v>27</v>
      </c>
      <c r="C25" s="163">
        <v>25.0</v>
      </c>
      <c r="D25" s="164"/>
      <c r="E25" s="159">
        <f t="shared" si="1"/>
        <v>25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</row>
    <row r="26">
      <c r="A26" s="36"/>
      <c r="B26" s="156" t="s">
        <v>28</v>
      </c>
      <c r="C26" s="163">
        <v>0.0</v>
      </c>
      <c r="D26" s="164"/>
      <c r="E26" s="159">
        <f t="shared" si="1"/>
        <v>0</v>
      </c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</row>
    <row r="27">
      <c r="A27" s="36"/>
      <c r="B27" s="165" t="s">
        <v>29</v>
      </c>
      <c r="C27" s="163">
        <v>0.0</v>
      </c>
      <c r="D27" s="164"/>
      <c r="E27" s="159">
        <f t="shared" si="1"/>
        <v>0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</row>
    <row r="28">
      <c r="A28" s="36"/>
      <c r="B28" s="166" t="s">
        <v>30</v>
      </c>
      <c r="C28" s="163">
        <v>0.0</v>
      </c>
      <c r="D28" s="164"/>
      <c r="E28" s="159">
        <f t="shared" si="1"/>
        <v>0</v>
      </c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</row>
    <row r="29">
      <c r="A29" s="36"/>
      <c r="B29" s="167" t="s">
        <v>31</v>
      </c>
      <c r="C29" s="163">
        <v>0.0</v>
      </c>
      <c r="D29" s="164"/>
      <c r="E29" s="159">
        <f t="shared" si="1"/>
        <v>0</v>
      </c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</row>
    <row r="30">
      <c r="A30" s="36"/>
      <c r="B30" s="167" t="s">
        <v>32</v>
      </c>
      <c r="C30" s="163">
        <v>2.0</v>
      </c>
      <c r="D30" s="164"/>
      <c r="E30" s="159">
        <f t="shared" si="1"/>
        <v>2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</row>
    <row r="31">
      <c r="A31" s="36"/>
      <c r="B31" s="167" t="s">
        <v>33</v>
      </c>
      <c r="C31" s="163">
        <v>0.0</v>
      </c>
      <c r="D31" s="164"/>
      <c r="E31" s="159">
        <f t="shared" si="1"/>
        <v>0</v>
      </c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</row>
    <row r="32">
      <c r="A32" s="91"/>
      <c r="B32" s="167" t="s">
        <v>34</v>
      </c>
      <c r="C32" s="163">
        <v>2.0</v>
      </c>
      <c r="D32" s="164"/>
      <c r="E32" s="159">
        <f t="shared" si="1"/>
        <v>2</v>
      </c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</row>
    <row r="33">
      <c r="A33" s="155">
        <v>46169.0</v>
      </c>
      <c r="B33" s="156" t="s">
        <v>4</v>
      </c>
      <c r="C33" s="168"/>
      <c r="D33" s="158"/>
      <c r="E33" s="159">
        <f t="shared" si="1"/>
        <v>0</v>
      </c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</row>
    <row r="34">
      <c r="A34" s="36"/>
      <c r="B34" s="156" t="s">
        <v>5</v>
      </c>
      <c r="C34" s="168"/>
      <c r="D34" s="158"/>
      <c r="E34" s="159">
        <f t="shared" si="1"/>
        <v>0</v>
      </c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</row>
    <row r="35">
      <c r="A35" s="36"/>
      <c r="B35" s="156" t="s">
        <v>6</v>
      </c>
      <c r="C35" s="168"/>
      <c r="D35" s="158"/>
      <c r="E35" s="159">
        <f t="shared" si="1"/>
        <v>0</v>
      </c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</row>
    <row r="36">
      <c r="A36" s="36"/>
      <c r="B36" s="156" t="s">
        <v>22</v>
      </c>
      <c r="C36" s="168"/>
      <c r="D36" s="158"/>
      <c r="E36" s="159">
        <f t="shared" si="1"/>
        <v>0</v>
      </c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</row>
    <row r="37">
      <c r="A37" s="36"/>
      <c r="B37" s="156" t="s">
        <v>7</v>
      </c>
      <c r="C37" s="168"/>
      <c r="D37" s="158"/>
      <c r="E37" s="159">
        <f t="shared" si="1"/>
        <v>0</v>
      </c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</row>
    <row r="38">
      <c r="A38" s="36"/>
      <c r="B38" s="162" t="s">
        <v>8</v>
      </c>
      <c r="C38" s="168"/>
      <c r="D38" s="158"/>
      <c r="E38" s="159">
        <f t="shared" si="1"/>
        <v>0</v>
      </c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</row>
    <row r="39">
      <c r="A39" s="36"/>
      <c r="B39" s="156" t="s">
        <v>9</v>
      </c>
      <c r="C39" s="168"/>
      <c r="D39" s="158"/>
      <c r="E39" s="159">
        <f t="shared" si="1"/>
        <v>0</v>
      </c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</row>
    <row r="40">
      <c r="A40" s="36"/>
      <c r="B40" s="156" t="s">
        <v>10</v>
      </c>
      <c r="C40" s="168"/>
      <c r="D40" s="158"/>
      <c r="E40" s="159">
        <f t="shared" si="1"/>
        <v>0</v>
      </c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</row>
    <row r="41">
      <c r="A41" s="36"/>
      <c r="B41" s="156" t="s">
        <v>11</v>
      </c>
      <c r="C41" s="168"/>
      <c r="D41" s="158"/>
      <c r="E41" s="159">
        <f t="shared" si="1"/>
        <v>0</v>
      </c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</row>
    <row r="42">
      <c r="A42" s="36"/>
      <c r="B42" s="162" t="s">
        <v>12</v>
      </c>
      <c r="C42" s="168"/>
      <c r="D42" s="158"/>
      <c r="E42" s="159">
        <f t="shared" si="1"/>
        <v>0</v>
      </c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</row>
    <row r="43">
      <c r="A43" s="36"/>
      <c r="B43" s="162" t="s">
        <v>13</v>
      </c>
      <c r="C43" s="168"/>
      <c r="D43" s="158"/>
      <c r="E43" s="159">
        <f t="shared" si="1"/>
        <v>0</v>
      </c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</row>
    <row r="44">
      <c r="A44" s="36"/>
      <c r="B44" s="162" t="s">
        <v>14</v>
      </c>
      <c r="C44" s="168"/>
      <c r="D44" s="158"/>
      <c r="E44" s="159">
        <f t="shared" si="1"/>
        <v>0</v>
      </c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</row>
    <row r="45">
      <c r="A45" s="36"/>
      <c r="B45" s="162" t="s">
        <v>15</v>
      </c>
      <c r="C45" s="168"/>
      <c r="D45" s="158"/>
      <c r="E45" s="159">
        <f t="shared" si="1"/>
        <v>0</v>
      </c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</row>
    <row r="46">
      <c r="A46" s="36"/>
      <c r="B46" s="162" t="s">
        <v>16</v>
      </c>
      <c r="C46" s="168"/>
      <c r="D46" s="158"/>
      <c r="E46" s="159">
        <f t="shared" si="1"/>
        <v>0</v>
      </c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</row>
    <row r="47">
      <c r="A47" s="36"/>
      <c r="B47" s="162" t="s">
        <v>17</v>
      </c>
      <c r="C47" s="168"/>
      <c r="D47" s="158"/>
      <c r="E47" s="159">
        <f t="shared" si="1"/>
        <v>0</v>
      </c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</row>
    <row r="48">
      <c r="A48" s="36"/>
      <c r="B48" s="156" t="s">
        <v>18</v>
      </c>
      <c r="C48" s="168"/>
      <c r="D48" s="158"/>
      <c r="E48" s="159">
        <f t="shared" si="1"/>
        <v>0</v>
      </c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</row>
    <row r="49">
      <c r="A49" s="36"/>
      <c r="B49" s="156" t="s">
        <v>19</v>
      </c>
      <c r="C49" s="168"/>
      <c r="D49" s="158"/>
      <c r="E49" s="159">
        <f t="shared" si="1"/>
        <v>0</v>
      </c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</row>
    <row r="50">
      <c r="A50" s="36"/>
      <c r="B50" s="156" t="s">
        <v>20</v>
      </c>
      <c r="C50" s="169"/>
      <c r="D50" s="158"/>
      <c r="E50" s="159">
        <f t="shared" si="1"/>
        <v>0</v>
      </c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</row>
    <row r="51">
      <c r="A51" s="36"/>
      <c r="B51" s="156" t="s">
        <v>21</v>
      </c>
      <c r="C51" s="169"/>
      <c r="D51" s="158"/>
      <c r="E51" s="159">
        <f t="shared" si="1"/>
        <v>0</v>
      </c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</row>
    <row r="52">
      <c r="A52" s="36"/>
      <c r="B52" s="156" t="s">
        <v>23</v>
      </c>
      <c r="C52" s="169"/>
      <c r="D52" s="158"/>
      <c r="E52" s="159">
        <f t="shared" si="1"/>
        <v>0</v>
      </c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</row>
    <row r="53">
      <c r="A53" s="36"/>
      <c r="B53" s="156" t="s">
        <v>24</v>
      </c>
      <c r="C53" s="169"/>
      <c r="D53" s="158"/>
      <c r="E53" s="159">
        <f t="shared" si="1"/>
        <v>0</v>
      </c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</row>
    <row r="54">
      <c r="A54" s="36"/>
      <c r="B54" s="156" t="s">
        <v>25</v>
      </c>
      <c r="C54" s="169"/>
      <c r="D54" s="164"/>
      <c r="E54" s="159">
        <f t="shared" si="1"/>
        <v>0</v>
      </c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</row>
    <row r="55">
      <c r="A55" s="36"/>
      <c r="B55" s="156" t="s">
        <v>26</v>
      </c>
      <c r="C55" s="169"/>
      <c r="D55" s="164"/>
      <c r="E55" s="159">
        <f t="shared" si="1"/>
        <v>0</v>
      </c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</row>
    <row r="56">
      <c r="A56" s="36"/>
      <c r="B56" s="156" t="s">
        <v>27</v>
      </c>
      <c r="C56" s="169"/>
      <c r="D56" s="164"/>
      <c r="E56" s="159">
        <f t="shared" si="1"/>
        <v>0</v>
      </c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</row>
    <row r="57">
      <c r="A57" s="36"/>
      <c r="B57" s="156" t="s">
        <v>28</v>
      </c>
      <c r="C57" s="169"/>
      <c r="D57" s="164"/>
      <c r="E57" s="159">
        <f t="shared" si="1"/>
        <v>0</v>
      </c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</row>
    <row r="58">
      <c r="A58" s="36"/>
      <c r="B58" s="165" t="s">
        <v>29</v>
      </c>
      <c r="C58" s="169"/>
      <c r="D58" s="164"/>
      <c r="E58" s="159">
        <f t="shared" si="1"/>
        <v>0</v>
      </c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</row>
    <row r="59">
      <c r="A59" s="36"/>
      <c r="B59" s="166" t="s">
        <v>30</v>
      </c>
      <c r="C59" s="169"/>
      <c r="D59" s="164"/>
      <c r="E59" s="159">
        <f t="shared" si="1"/>
        <v>0</v>
      </c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</row>
    <row r="60">
      <c r="A60" s="36"/>
      <c r="B60" s="167" t="s">
        <v>31</v>
      </c>
      <c r="C60" s="169"/>
      <c r="D60" s="164"/>
      <c r="E60" s="159">
        <f t="shared" si="1"/>
        <v>0</v>
      </c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</row>
    <row r="61">
      <c r="A61" s="36"/>
      <c r="B61" s="167" t="s">
        <v>32</v>
      </c>
      <c r="C61" s="169"/>
      <c r="D61" s="164"/>
      <c r="E61" s="159">
        <f t="shared" si="1"/>
        <v>0</v>
      </c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</row>
    <row r="62">
      <c r="A62" s="36"/>
      <c r="B62" s="167" t="s">
        <v>33</v>
      </c>
      <c r="C62" s="169"/>
      <c r="D62" s="164"/>
      <c r="E62" s="159">
        <f t="shared" si="1"/>
        <v>0</v>
      </c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</row>
    <row r="63">
      <c r="A63" s="91"/>
      <c r="B63" s="167" t="s">
        <v>34</v>
      </c>
      <c r="C63" s="169"/>
      <c r="D63" s="164"/>
      <c r="E63" s="159">
        <f t="shared" si="1"/>
        <v>0</v>
      </c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</row>
    <row r="64">
      <c r="A64" s="155">
        <v>46170.0</v>
      </c>
      <c r="B64" s="156" t="s">
        <v>4</v>
      </c>
      <c r="C64" s="157">
        <v>0.0</v>
      </c>
      <c r="D64" s="158"/>
      <c r="E64" s="159">
        <f t="shared" si="1"/>
        <v>0</v>
      </c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</row>
    <row r="65">
      <c r="A65" s="36"/>
      <c r="B65" s="156" t="s">
        <v>5</v>
      </c>
      <c r="C65" s="157">
        <v>1.0</v>
      </c>
      <c r="D65" s="158"/>
      <c r="E65" s="159">
        <f t="shared" si="1"/>
        <v>1</v>
      </c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</row>
    <row r="66">
      <c r="A66" s="36"/>
      <c r="B66" s="156" t="s">
        <v>6</v>
      </c>
      <c r="C66" s="157">
        <v>0.0</v>
      </c>
      <c r="D66" s="158"/>
      <c r="E66" s="159">
        <f t="shared" si="1"/>
        <v>0</v>
      </c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</row>
    <row r="67">
      <c r="A67" s="36"/>
      <c r="B67" s="156" t="s">
        <v>22</v>
      </c>
      <c r="C67" s="157">
        <v>0.0</v>
      </c>
      <c r="D67" s="158"/>
      <c r="E67" s="159">
        <f t="shared" si="1"/>
        <v>0</v>
      </c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</row>
    <row r="68">
      <c r="A68" s="36"/>
      <c r="B68" s="156" t="s">
        <v>7</v>
      </c>
      <c r="C68" s="157">
        <v>1.0</v>
      </c>
      <c r="D68" s="158"/>
      <c r="E68" s="159">
        <f t="shared" si="1"/>
        <v>1</v>
      </c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</row>
    <row r="69">
      <c r="A69" s="36"/>
      <c r="B69" s="162" t="s">
        <v>8</v>
      </c>
      <c r="C69" s="157">
        <v>8.0</v>
      </c>
      <c r="D69" s="158"/>
      <c r="E69" s="159">
        <f t="shared" si="1"/>
        <v>8</v>
      </c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</row>
    <row r="70">
      <c r="A70" s="36"/>
      <c r="B70" s="156" t="s">
        <v>9</v>
      </c>
      <c r="C70" s="157">
        <v>3.0</v>
      </c>
      <c r="D70" s="158"/>
      <c r="E70" s="159">
        <f t="shared" si="1"/>
        <v>3</v>
      </c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</row>
    <row r="71">
      <c r="A71" s="36"/>
      <c r="B71" s="156" t="s">
        <v>10</v>
      </c>
      <c r="C71" s="157">
        <v>3.0</v>
      </c>
      <c r="D71" s="158"/>
      <c r="E71" s="159">
        <f t="shared" si="1"/>
        <v>3</v>
      </c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</row>
    <row r="72">
      <c r="A72" s="36"/>
      <c r="B72" s="156" t="s">
        <v>11</v>
      </c>
      <c r="C72" s="157">
        <v>2.0</v>
      </c>
      <c r="D72" s="158"/>
      <c r="E72" s="159">
        <f t="shared" si="1"/>
        <v>2</v>
      </c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</row>
    <row r="73">
      <c r="A73" s="36"/>
      <c r="B73" s="162" t="s">
        <v>12</v>
      </c>
      <c r="C73" s="157">
        <v>8.0</v>
      </c>
      <c r="D73" s="158"/>
      <c r="E73" s="159">
        <f t="shared" si="1"/>
        <v>8</v>
      </c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</row>
    <row r="74">
      <c r="A74" s="36"/>
      <c r="B74" s="162" t="s">
        <v>13</v>
      </c>
      <c r="C74" s="157">
        <v>0.0</v>
      </c>
      <c r="D74" s="158"/>
      <c r="E74" s="159">
        <f t="shared" si="1"/>
        <v>0</v>
      </c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</row>
    <row r="75">
      <c r="A75" s="36"/>
      <c r="B75" s="162" t="s">
        <v>14</v>
      </c>
      <c r="C75" s="157">
        <v>0.0</v>
      </c>
      <c r="D75" s="158"/>
      <c r="E75" s="159">
        <f t="shared" si="1"/>
        <v>0</v>
      </c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</row>
    <row r="76">
      <c r="A76" s="36"/>
      <c r="B76" s="162" t="s">
        <v>15</v>
      </c>
      <c r="C76" s="157">
        <v>0.0</v>
      </c>
      <c r="D76" s="158"/>
      <c r="E76" s="159">
        <f t="shared" si="1"/>
        <v>0</v>
      </c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</row>
    <row r="77">
      <c r="A77" s="36"/>
      <c r="B77" s="162" t="s">
        <v>16</v>
      </c>
      <c r="C77" s="157">
        <v>0.0</v>
      </c>
      <c r="D77" s="158"/>
      <c r="E77" s="159">
        <f t="shared" si="1"/>
        <v>0</v>
      </c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</row>
    <row r="78">
      <c r="A78" s="36"/>
      <c r="B78" s="162" t="s">
        <v>17</v>
      </c>
      <c r="C78" s="157">
        <v>0.0</v>
      </c>
      <c r="D78" s="158"/>
      <c r="E78" s="159">
        <f t="shared" si="1"/>
        <v>0</v>
      </c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</row>
    <row r="79">
      <c r="A79" s="36"/>
      <c r="B79" s="156" t="s">
        <v>18</v>
      </c>
      <c r="C79" s="157">
        <v>3.0</v>
      </c>
      <c r="D79" s="158"/>
      <c r="E79" s="159">
        <f t="shared" si="1"/>
        <v>3</v>
      </c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</row>
    <row r="80">
      <c r="A80" s="36"/>
      <c r="B80" s="156" t="s">
        <v>19</v>
      </c>
      <c r="C80" s="157">
        <v>7.0</v>
      </c>
      <c r="D80" s="158"/>
      <c r="E80" s="159">
        <f t="shared" si="1"/>
        <v>7</v>
      </c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</row>
    <row r="81">
      <c r="A81" s="36"/>
      <c r="B81" s="156" t="s">
        <v>20</v>
      </c>
      <c r="C81" s="163">
        <v>0.0</v>
      </c>
      <c r="D81" s="158"/>
      <c r="E81" s="159">
        <f t="shared" si="1"/>
        <v>0</v>
      </c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</row>
    <row r="82">
      <c r="A82" s="36"/>
      <c r="B82" s="156" t="s">
        <v>21</v>
      </c>
      <c r="C82" s="163">
        <v>1.0</v>
      </c>
      <c r="D82" s="158"/>
      <c r="E82" s="159">
        <f t="shared" si="1"/>
        <v>1</v>
      </c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</row>
    <row r="83">
      <c r="A83" s="36"/>
      <c r="B83" s="156" t="s">
        <v>23</v>
      </c>
      <c r="C83" s="163">
        <v>0.0</v>
      </c>
      <c r="D83" s="158"/>
      <c r="E83" s="159">
        <f t="shared" si="1"/>
        <v>0</v>
      </c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</row>
    <row r="84">
      <c r="A84" s="36"/>
      <c r="B84" s="156" t="s">
        <v>24</v>
      </c>
      <c r="C84" s="163">
        <v>5.0</v>
      </c>
      <c r="D84" s="158"/>
      <c r="E84" s="159">
        <f t="shared" si="1"/>
        <v>5</v>
      </c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</row>
    <row r="85">
      <c r="A85" s="36"/>
      <c r="B85" s="156" t="s">
        <v>25</v>
      </c>
      <c r="C85" s="163">
        <v>9.0</v>
      </c>
      <c r="D85" s="164"/>
      <c r="E85" s="159">
        <f t="shared" si="1"/>
        <v>9</v>
      </c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</row>
    <row r="86">
      <c r="A86" s="36"/>
      <c r="B86" s="156" t="s">
        <v>26</v>
      </c>
      <c r="C86" s="163">
        <v>15.0</v>
      </c>
      <c r="D86" s="164"/>
      <c r="E86" s="159">
        <f t="shared" si="1"/>
        <v>15</v>
      </c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</row>
    <row r="87">
      <c r="A87" s="36"/>
      <c r="B87" s="156" t="s">
        <v>27</v>
      </c>
      <c r="C87" s="163">
        <v>22.0</v>
      </c>
      <c r="D87" s="164"/>
      <c r="E87" s="159">
        <f t="shared" si="1"/>
        <v>22</v>
      </c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</row>
    <row r="88">
      <c r="A88" s="36"/>
      <c r="B88" s="156" t="s">
        <v>28</v>
      </c>
      <c r="C88" s="163">
        <v>0.0</v>
      </c>
      <c r="D88" s="164"/>
      <c r="E88" s="159">
        <f t="shared" si="1"/>
        <v>0</v>
      </c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</row>
    <row r="89">
      <c r="A89" s="36"/>
      <c r="B89" s="165" t="s">
        <v>29</v>
      </c>
      <c r="C89" s="163">
        <v>0.0</v>
      </c>
      <c r="D89" s="164"/>
      <c r="E89" s="159">
        <f t="shared" si="1"/>
        <v>0</v>
      </c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</row>
    <row r="90">
      <c r="A90" s="36"/>
      <c r="B90" s="166" t="s">
        <v>30</v>
      </c>
      <c r="C90" s="163">
        <v>0.0</v>
      </c>
      <c r="D90" s="164"/>
      <c r="E90" s="159">
        <f t="shared" si="1"/>
        <v>0</v>
      </c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</row>
    <row r="91">
      <c r="A91" s="36"/>
      <c r="B91" s="167" t="s">
        <v>31</v>
      </c>
      <c r="C91" s="163">
        <v>0.0</v>
      </c>
      <c r="D91" s="164"/>
      <c r="E91" s="159">
        <f t="shared" si="1"/>
        <v>0</v>
      </c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</row>
    <row r="92">
      <c r="A92" s="36"/>
      <c r="B92" s="167" t="s">
        <v>32</v>
      </c>
      <c r="C92" s="163">
        <v>2.0</v>
      </c>
      <c r="D92" s="164"/>
      <c r="E92" s="159">
        <f t="shared" si="1"/>
        <v>2</v>
      </c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</row>
    <row r="93">
      <c r="A93" s="36"/>
      <c r="B93" s="167" t="s">
        <v>33</v>
      </c>
      <c r="C93" s="163">
        <v>1.0</v>
      </c>
      <c r="D93" s="164"/>
      <c r="E93" s="159">
        <f t="shared" si="1"/>
        <v>1</v>
      </c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</row>
    <row r="94">
      <c r="A94" s="91"/>
      <c r="B94" s="167" t="s">
        <v>34</v>
      </c>
      <c r="C94" s="163">
        <v>2.0</v>
      </c>
      <c r="D94" s="164"/>
      <c r="E94" s="159">
        <f t="shared" si="1"/>
        <v>2</v>
      </c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</row>
    <row r="95">
      <c r="A95" s="155">
        <v>46171.0</v>
      </c>
      <c r="B95" s="156" t="s">
        <v>4</v>
      </c>
      <c r="C95" s="157">
        <v>0.0</v>
      </c>
      <c r="D95" s="158"/>
      <c r="E95" s="159">
        <f t="shared" si="1"/>
        <v>0</v>
      </c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</row>
    <row r="96">
      <c r="A96" s="36"/>
      <c r="B96" s="156" t="s">
        <v>5</v>
      </c>
      <c r="C96" s="157">
        <v>0.0</v>
      </c>
      <c r="D96" s="158"/>
      <c r="E96" s="159">
        <f t="shared" si="1"/>
        <v>0</v>
      </c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</row>
    <row r="97">
      <c r="A97" s="36"/>
      <c r="B97" s="156" t="s">
        <v>6</v>
      </c>
      <c r="C97" s="157">
        <v>0.0</v>
      </c>
      <c r="D97" s="158"/>
      <c r="E97" s="159">
        <f t="shared" si="1"/>
        <v>0</v>
      </c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</row>
    <row r="98">
      <c r="A98" s="36"/>
      <c r="B98" s="156" t="s">
        <v>22</v>
      </c>
      <c r="C98" s="157">
        <v>0.0</v>
      </c>
      <c r="D98" s="158"/>
      <c r="E98" s="159">
        <f t="shared" si="1"/>
        <v>0</v>
      </c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</row>
    <row r="99">
      <c r="A99" s="36"/>
      <c r="B99" s="156" t="s">
        <v>7</v>
      </c>
      <c r="C99" s="157">
        <v>2.0</v>
      </c>
      <c r="D99" s="158"/>
      <c r="E99" s="159">
        <f t="shared" si="1"/>
        <v>2</v>
      </c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</row>
    <row r="100">
      <c r="A100" s="36"/>
      <c r="B100" s="162" t="s">
        <v>8</v>
      </c>
      <c r="C100" s="157">
        <v>6.0</v>
      </c>
      <c r="D100" s="158"/>
      <c r="E100" s="159">
        <f t="shared" si="1"/>
        <v>6</v>
      </c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</row>
    <row r="101">
      <c r="A101" s="36"/>
      <c r="B101" s="156" t="s">
        <v>9</v>
      </c>
      <c r="C101" s="157">
        <v>1.0</v>
      </c>
      <c r="D101" s="158"/>
      <c r="E101" s="159">
        <f t="shared" si="1"/>
        <v>1</v>
      </c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</row>
    <row r="102">
      <c r="A102" s="36"/>
      <c r="B102" s="156" t="s">
        <v>10</v>
      </c>
      <c r="C102" s="157">
        <v>5.0</v>
      </c>
      <c r="D102" s="158"/>
      <c r="E102" s="159">
        <f t="shared" si="1"/>
        <v>5</v>
      </c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</row>
    <row r="103">
      <c r="A103" s="36"/>
      <c r="B103" s="156" t="s">
        <v>11</v>
      </c>
      <c r="C103" s="157">
        <v>1.0</v>
      </c>
      <c r="D103" s="158"/>
      <c r="E103" s="159">
        <f t="shared" si="1"/>
        <v>1</v>
      </c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</row>
    <row r="104">
      <c r="A104" s="36"/>
      <c r="B104" s="162" t="s">
        <v>12</v>
      </c>
      <c r="C104" s="157">
        <v>2.0</v>
      </c>
      <c r="D104" s="158"/>
      <c r="E104" s="159">
        <f t="shared" si="1"/>
        <v>2</v>
      </c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</row>
    <row r="105">
      <c r="A105" s="36"/>
      <c r="B105" s="162" t="s">
        <v>13</v>
      </c>
      <c r="C105" s="157">
        <v>0.0</v>
      </c>
      <c r="D105" s="158"/>
      <c r="E105" s="159">
        <f t="shared" si="1"/>
        <v>0</v>
      </c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</row>
    <row r="106">
      <c r="A106" s="36"/>
      <c r="B106" s="162" t="s">
        <v>14</v>
      </c>
      <c r="C106" s="157">
        <v>0.0</v>
      </c>
      <c r="D106" s="158"/>
      <c r="E106" s="159">
        <f t="shared" si="1"/>
        <v>0</v>
      </c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</row>
    <row r="107">
      <c r="A107" s="36"/>
      <c r="B107" s="162" t="s">
        <v>15</v>
      </c>
      <c r="C107" s="157">
        <v>0.0</v>
      </c>
      <c r="D107" s="158"/>
      <c r="E107" s="159">
        <f t="shared" si="1"/>
        <v>0</v>
      </c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</row>
    <row r="108">
      <c r="A108" s="36"/>
      <c r="B108" s="162" t="s">
        <v>16</v>
      </c>
      <c r="C108" s="157">
        <v>2.0</v>
      </c>
      <c r="D108" s="158"/>
      <c r="E108" s="159">
        <f t="shared" si="1"/>
        <v>2</v>
      </c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</row>
    <row r="109">
      <c r="A109" s="36"/>
      <c r="B109" s="162" t="s">
        <v>17</v>
      </c>
      <c r="C109" s="157">
        <v>1.0</v>
      </c>
      <c r="D109" s="158"/>
      <c r="E109" s="159">
        <f t="shared" si="1"/>
        <v>1</v>
      </c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</row>
    <row r="110">
      <c r="A110" s="36"/>
      <c r="B110" s="156" t="s">
        <v>18</v>
      </c>
      <c r="C110" s="157">
        <v>1.0</v>
      </c>
      <c r="D110" s="158"/>
      <c r="E110" s="159">
        <f t="shared" si="1"/>
        <v>1</v>
      </c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</row>
    <row r="111">
      <c r="A111" s="36"/>
      <c r="B111" s="156" t="s">
        <v>19</v>
      </c>
      <c r="C111" s="157">
        <v>4.0</v>
      </c>
      <c r="D111" s="158"/>
      <c r="E111" s="159">
        <f t="shared" si="1"/>
        <v>4</v>
      </c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</row>
    <row r="112">
      <c r="A112" s="36"/>
      <c r="B112" s="156" t="s">
        <v>20</v>
      </c>
      <c r="C112" s="163">
        <v>0.0</v>
      </c>
      <c r="D112" s="158"/>
      <c r="E112" s="159">
        <f t="shared" si="1"/>
        <v>0</v>
      </c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</row>
    <row r="113">
      <c r="A113" s="36"/>
      <c r="B113" s="156" t="s">
        <v>21</v>
      </c>
      <c r="C113" s="163">
        <v>1.0</v>
      </c>
      <c r="D113" s="158"/>
      <c r="E113" s="159">
        <f t="shared" si="1"/>
        <v>1</v>
      </c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</row>
    <row r="114">
      <c r="A114" s="36"/>
      <c r="B114" s="156" t="s">
        <v>23</v>
      </c>
      <c r="C114" s="163">
        <v>0.0</v>
      </c>
      <c r="D114" s="158"/>
      <c r="E114" s="159">
        <f t="shared" si="1"/>
        <v>0</v>
      </c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</row>
    <row r="115">
      <c r="A115" s="36"/>
      <c r="B115" s="156" t="s">
        <v>24</v>
      </c>
      <c r="C115" s="163">
        <v>2.0</v>
      </c>
      <c r="D115" s="158"/>
      <c r="E115" s="159">
        <f t="shared" si="1"/>
        <v>2</v>
      </c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</row>
    <row r="116">
      <c r="A116" s="36"/>
      <c r="B116" s="156" t="s">
        <v>25</v>
      </c>
      <c r="C116" s="163">
        <v>5.0</v>
      </c>
      <c r="D116" s="164"/>
      <c r="E116" s="159">
        <f t="shared" si="1"/>
        <v>5</v>
      </c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</row>
    <row r="117">
      <c r="A117" s="36"/>
      <c r="B117" s="156" t="s">
        <v>26</v>
      </c>
      <c r="C117" s="163">
        <v>4.0</v>
      </c>
      <c r="D117" s="164"/>
      <c r="E117" s="159">
        <f t="shared" si="1"/>
        <v>4</v>
      </c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</row>
    <row r="118">
      <c r="A118" s="36"/>
      <c r="B118" s="156" t="s">
        <v>27</v>
      </c>
      <c r="C118" s="163">
        <v>8.0</v>
      </c>
      <c r="D118" s="164"/>
      <c r="E118" s="159">
        <f t="shared" si="1"/>
        <v>8</v>
      </c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</row>
    <row r="119">
      <c r="A119" s="36"/>
      <c r="B119" s="156" t="s">
        <v>28</v>
      </c>
      <c r="C119" s="163">
        <v>0.0</v>
      </c>
      <c r="D119" s="164"/>
      <c r="E119" s="159">
        <f t="shared" si="1"/>
        <v>0</v>
      </c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</row>
    <row r="120">
      <c r="A120" s="36"/>
      <c r="B120" s="165" t="s">
        <v>29</v>
      </c>
      <c r="C120" s="163">
        <v>0.0</v>
      </c>
      <c r="D120" s="164"/>
      <c r="E120" s="159">
        <f t="shared" si="1"/>
        <v>0</v>
      </c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</row>
    <row r="121">
      <c r="A121" s="36"/>
      <c r="B121" s="166" t="s">
        <v>30</v>
      </c>
      <c r="C121" s="163">
        <v>1.0</v>
      </c>
      <c r="D121" s="164"/>
      <c r="E121" s="159">
        <f t="shared" si="1"/>
        <v>1</v>
      </c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</row>
    <row r="122">
      <c r="A122" s="36"/>
      <c r="B122" s="167" t="s">
        <v>31</v>
      </c>
      <c r="C122" s="163">
        <v>0.0</v>
      </c>
      <c r="D122" s="164"/>
      <c r="E122" s="159">
        <f t="shared" si="1"/>
        <v>0</v>
      </c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</row>
    <row r="123">
      <c r="A123" s="36"/>
      <c r="B123" s="167" t="s">
        <v>32</v>
      </c>
      <c r="C123" s="163">
        <v>2.0</v>
      </c>
      <c r="D123" s="164"/>
      <c r="E123" s="159">
        <f t="shared" si="1"/>
        <v>2</v>
      </c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</row>
    <row r="124">
      <c r="A124" s="36"/>
      <c r="B124" s="167" t="s">
        <v>33</v>
      </c>
      <c r="C124" s="163">
        <v>0.0</v>
      </c>
      <c r="D124" s="164"/>
      <c r="E124" s="159">
        <f t="shared" si="1"/>
        <v>0</v>
      </c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</row>
    <row r="125">
      <c r="A125" s="91"/>
      <c r="B125" s="167" t="s">
        <v>34</v>
      </c>
      <c r="C125" s="163">
        <v>0.0</v>
      </c>
      <c r="D125" s="164"/>
      <c r="E125" s="159">
        <f t="shared" si="1"/>
        <v>0</v>
      </c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</row>
    <row r="126">
      <c r="A126" s="155">
        <v>46172.0</v>
      </c>
      <c r="B126" s="156" t="s">
        <v>4</v>
      </c>
      <c r="C126" s="157">
        <v>0.0</v>
      </c>
      <c r="D126" s="158"/>
      <c r="E126" s="159">
        <f t="shared" si="1"/>
        <v>0</v>
      </c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</row>
    <row r="127">
      <c r="A127" s="36"/>
      <c r="B127" s="156" t="s">
        <v>5</v>
      </c>
      <c r="C127" s="157">
        <v>0.0</v>
      </c>
      <c r="D127" s="158"/>
      <c r="E127" s="159">
        <f t="shared" si="1"/>
        <v>0</v>
      </c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</row>
    <row r="128">
      <c r="A128" s="36"/>
      <c r="B128" s="156" t="s">
        <v>6</v>
      </c>
      <c r="C128" s="157">
        <v>0.0</v>
      </c>
      <c r="D128" s="158"/>
      <c r="E128" s="159">
        <f t="shared" si="1"/>
        <v>0</v>
      </c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</row>
    <row r="129">
      <c r="A129" s="36"/>
      <c r="B129" s="156" t="s">
        <v>22</v>
      </c>
      <c r="C129" s="157">
        <v>0.0</v>
      </c>
      <c r="D129" s="158"/>
      <c r="E129" s="159">
        <f t="shared" si="1"/>
        <v>0</v>
      </c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</row>
    <row r="130">
      <c r="A130" s="36"/>
      <c r="B130" s="156" t="s">
        <v>7</v>
      </c>
      <c r="C130" s="157">
        <v>0.0</v>
      </c>
      <c r="D130" s="158"/>
      <c r="E130" s="159">
        <f t="shared" si="1"/>
        <v>0</v>
      </c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</row>
    <row r="131">
      <c r="A131" s="36"/>
      <c r="B131" s="162" t="s">
        <v>8</v>
      </c>
      <c r="C131" s="157">
        <v>4.0</v>
      </c>
      <c r="D131" s="158"/>
      <c r="E131" s="159">
        <f t="shared" si="1"/>
        <v>4</v>
      </c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</row>
    <row r="132">
      <c r="A132" s="36"/>
      <c r="B132" s="156" t="s">
        <v>9</v>
      </c>
      <c r="C132" s="157">
        <v>0.0</v>
      </c>
      <c r="D132" s="158"/>
      <c r="E132" s="159">
        <f t="shared" si="1"/>
        <v>0</v>
      </c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</row>
    <row r="133">
      <c r="A133" s="36"/>
      <c r="B133" s="156" t="s">
        <v>10</v>
      </c>
      <c r="C133" s="157">
        <v>4.0</v>
      </c>
      <c r="D133" s="158"/>
      <c r="E133" s="159">
        <f t="shared" si="1"/>
        <v>4</v>
      </c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</row>
    <row r="134">
      <c r="A134" s="36"/>
      <c r="B134" s="156" t="s">
        <v>11</v>
      </c>
      <c r="C134" s="157">
        <v>1.0</v>
      </c>
      <c r="D134" s="158"/>
      <c r="E134" s="159">
        <f t="shared" si="1"/>
        <v>1</v>
      </c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</row>
    <row r="135">
      <c r="A135" s="36"/>
      <c r="B135" s="162" t="s">
        <v>12</v>
      </c>
      <c r="C135" s="157">
        <v>2.0</v>
      </c>
      <c r="D135" s="158"/>
      <c r="E135" s="159">
        <f t="shared" si="1"/>
        <v>2</v>
      </c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</row>
    <row r="136">
      <c r="A136" s="36"/>
      <c r="B136" s="162" t="s">
        <v>13</v>
      </c>
      <c r="C136" s="157">
        <v>0.0</v>
      </c>
      <c r="D136" s="158"/>
      <c r="E136" s="159">
        <f t="shared" si="1"/>
        <v>0</v>
      </c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</row>
    <row r="137">
      <c r="A137" s="36"/>
      <c r="B137" s="162" t="s">
        <v>14</v>
      </c>
      <c r="C137" s="157">
        <v>0.0</v>
      </c>
      <c r="D137" s="158"/>
      <c r="E137" s="159">
        <f t="shared" si="1"/>
        <v>0</v>
      </c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</row>
    <row r="138">
      <c r="A138" s="36"/>
      <c r="B138" s="162" t="s">
        <v>15</v>
      </c>
      <c r="C138" s="157">
        <v>0.0</v>
      </c>
      <c r="D138" s="158"/>
      <c r="E138" s="159">
        <f t="shared" si="1"/>
        <v>0</v>
      </c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</row>
    <row r="139">
      <c r="A139" s="36"/>
      <c r="B139" s="162" t="s">
        <v>16</v>
      </c>
      <c r="C139" s="157">
        <v>0.0</v>
      </c>
      <c r="D139" s="158"/>
      <c r="E139" s="159">
        <f t="shared" si="1"/>
        <v>0</v>
      </c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</row>
    <row r="140">
      <c r="A140" s="36"/>
      <c r="B140" s="162" t="s">
        <v>17</v>
      </c>
      <c r="C140" s="157">
        <v>0.0</v>
      </c>
      <c r="D140" s="158"/>
      <c r="E140" s="159">
        <f t="shared" si="1"/>
        <v>0</v>
      </c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</row>
    <row r="141">
      <c r="A141" s="36"/>
      <c r="B141" s="156" t="s">
        <v>18</v>
      </c>
      <c r="C141" s="157">
        <v>0.0</v>
      </c>
      <c r="D141" s="158"/>
      <c r="E141" s="159">
        <f t="shared" si="1"/>
        <v>0</v>
      </c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</row>
    <row r="142">
      <c r="A142" s="36"/>
      <c r="B142" s="156" t="s">
        <v>19</v>
      </c>
      <c r="C142" s="157">
        <v>2.0</v>
      </c>
      <c r="D142" s="158"/>
      <c r="E142" s="159">
        <f t="shared" si="1"/>
        <v>2</v>
      </c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</row>
    <row r="143">
      <c r="A143" s="36"/>
      <c r="B143" s="156" t="s">
        <v>20</v>
      </c>
      <c r="C143" s="163">
        <v>0.0</v>
      </c>
      <c r="D143" s="158"/>
      <c r="E143" s="159">
        <f t="shared" si="1"/>
        <v>0</v>
      </c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</row>
    <row r="144">
      <c r="A144" s="36"/>
      <c r="B144" s="156" t="s">
        <v>21</v>
      </c>
      <c r="C144" s="163">
        <v>0.0</v>
      </c>
      <c r="D144" s="158"/>
      <c r="E144" s="159">
        <f t="shared" si="1"/>
        <v>0</v>
      </c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</row>
    <row r="145">
      <c r="A145" s="36"/>
      <c r="B145" s="156" t="s">
        <v>23</v>
      </c>
      <c r="C145" s="163">
        <v>0.0</v>
      </c>
      <c r="D145" s="158"/>
      <c r="E145" s="159">
        <f t="shared" si="1"/>
        <v>0</v>
      </c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</row>
    <row r="146">
      <c r="A146" s="36"/>
      <c r="B146" s="156" t="s">
        <v>24</v>
      </c>
      <c r="C146" s="163">
        <v>3.0</v>
      </c>
      <c r="D146" s="158"/>
      <c r="E146" s="159">
        <f t="shared" si="1"/>
        <v>3</v>
      </c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</row>
    <row r="147">
      <c r="A147" s="36"/>
      <c r="B147" s="156" t="s">
        <v>25</v>
      </c>
      <c r="C147" s="163">
        <v>4.0</v>
      </c>
      <c r="D147" s="164"/>
      <c r="E147" s="159">
        <f t="shared" si="1"/>
        <v>4</v>
      </c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</row>
    <row r="148">
      <c r="A148" s="36"/>
      <c r="B148" s="156" t="s">
        <v>26</v>
      </c>
      <c r="C148" s="163">
        <v>7.0</v>
      </c>
      <c r="D148" s="164"/>
      <c r="E148" s="159">
        <f t="shared" si="1"/>
        <v>7</v>
      </c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</row>
    <row r="149">
      <c r="A149" s="36"/>
      <c r="B149" s="156" t="s">
        <v>27</v>
      </c>
      <c r="C149" s="163">
        <v>6.0</v>
      </c>
      <c r="D149" s="164"/>
      <c r="E149" s="159">
        <f t="shared" si="1"/>
        <v>6</v>
      </c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</row>
    <row r="150">
      <c r="A150" s="36"/>
      <c r="B150" s="156" t="s">
        <v>28</v>
      </c>
      <c r="C150" s="163">
        <v>0.0</v>
      </c>
      <c r="D150" s="164"/>
      <c r="E150" s="159">
        <f t="shared" si="1"/>
        <v>0</v>
      </c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</row>
    <row r="151">
      <c r="A151" s="36"/>
      <c r="B151" s="165" t="s">
        <v>29</v>
      </c>
      <c r="C151" s="163">
        <v>0.0</v>
      </c>
      <c r="D151" s="164"/>
      <c r="E151" s="159">
        <f t="shared" si="1"/>
        <v>0</v>
      </c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</row>
    <row r="152">
      <c r="A152" s="36"/>
      <c r="B152" s="166" t="s">
        <v>30</v>
      </c>
      <c r="C152" s="163">
        <v>3.0</v>
      </c>
      <c r="D152" s="164"/>
      <c r="E152" s="159">
        <f t="shared" si="1"/>
        <v>3</v>
      </c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</row>
    <row r="153">
      <c r="A153" s="36"/>
      <c r="B153" s="167" t="s">
        <v>31</v>
      </c>
      <c r="C153" s="163">
        <v>1.0</v>
      </c>
      <c r="D153" s="164"/>
      <c r="E153" s="159">
        <f t="shared" si="1"/>
        <v>1</v>
      </c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</row>
    <row r="154">
      <c r="A154" s="36"/>
      <c r="B154" s="167" t="s">
        <v>32</v>
      </c>
      <c r="C154" s="163">
        <v>0.0</v>
      </c>
      <c r="D154" s="164"/>
      <c r="E154" s="159">
        <f t="shared" si="1"/>
        <v>0</v>
      </c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</row>
    <row r="155">
      <c r="A155" s="36"/>
      <c r="B155" s="167" t="s">
        <v>33</v>
      </c>
      <c r="C155" s="163">
        <v>0.0</v>
      </c>
      <c r="D155" s="164"/>
      <c r="E155" s="159">
        <f t="shared" si="1"/>
        <v>0</v>
      </c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</row>
    <row r="156">
      <c r="A156" s="91"/>
      <c r="B156" s="167" t="s">
        <v>34</v>
      </c>
      <c r="C156" s="163">
        <v>0.0</v>
      </c>
      <c r="D156" s="164"/>
      <c r="E156" s="159">
        <f t="shared" si="1"/>
        <v>0</v>
      </c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</row>
    <row r="157">
      <c r="A157" s="155">
        <v>46173.0</v>
      </c>
      <c r="B157" s="156" t="s">
        <v>4</v>
      </c>
      <c r="C157" s="157">
        <v>1.0</v>
      </c>
      <c r="D157" s="158"/>
      <c r="E157" s="159">
        <f t="shared" si="1"/>
        <v>1</v>
      </c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</row>
    <row r="158">
      <c r="A158" s="36"/>
      <c r="B158" s="156" t="s">
        <v>5</v>
      </c>
      <c r="C158" s="157">
        <v>0.0</v>
      </c>
      <c r="D158" s="158"/>
      <c r="E158" s="159">
        <f t="shared" si="1"/>
        <v>0</v>
      </c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</row>
    <row r="159">
      <c r="A159" s="36"/>
      <c r="B159" s="156" t="s">
        <v>6</v>
      </c>
      <c r="C159" s="157">
        <v>0.0</v>
      </c>
      <c r="D159" s="158"/>
      <c r="E159" s="159">
        <f t="shared" si="1"/>
        <v>0</v>
      </c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</row>
    <row r="160">
      <c r="A160" s="36"/>
      <c r="B160" s="156" t="s">
        <v>22</v>
      </c>
      <c r="C160" s="157">
        <v>0.0</v>
      </c>
      <c r="D160" s="158"/>
      <c r="E160" s="159">
        <f t="shared" si="1"/>
        <v>0</v>
      </c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</row>
    <row r="161">
      <c r="A161" s="36"/>
      <c r="B161" s="156" t="s">
        <v>7</v>
      </c>
      <c r="C161" s="157">
        <v>1.0</v>
      </c>
      <c r="D161" s="158"/>
      <c r="E161" s="159">
        <f t="shared" si="1"/>
        <v>1</v>
      </c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</row>
    <row r="162">
      <c r="A162" s="36"/>
      <c r="B162" s="162" t="s">
        <v>8</v>
      </c>
      <c r="C162" s="157">
        <v>16.0</v>
      </c>
      <c r="D162" s="158"/>
      <c r="E162" s="159">
        <f t="shared" si="1"/>
        <v>16</v>
      </c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</row>
    <row r="163">
      <c r="A163" s="36"/>
      <c r="B163" s="156" t="s">
        <v>9</v>
      </c>
      <c r="C163" s="157">
        <v>3.0</v>
      </c>
      <c r="D163" s="158"/>
      <c r="E163" s="159">
        <f t="shared" si="1"/>
        <v>3</v>
      </c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</row>
    <row r="164">
      <c r="A164" s="36"/>
      <c r="B164" s="156" t="s">
        <v>10</v>
      </c>
      <c r="C164" s="157">
        <v>8.0</v>
      </c>
      <c r="D164" s="158"/>
      <c r="E164" s="159">
        <f t="shared" si="1"/>
        <v>8</v>
      </c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</row>
    <row r="165">
      <c r="A165" s="36"/>
      <c r="B165" s="156" t="s">
        <v>11</v>
      </c>
      <c r="C165" s="157">
        <v>0.0</v>
      </c>
      <c r="D165" s="158"/>
      <c r="E165" s="159">
        <f t="shared" si="1"/>
        <v>0</v>
      </c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</row>
    <row r="166">
      <c r="A166" s="36"/>
      <c r="B166" s="162" t="s">
        <v>12</v>
      </c>
      <c r="C166" s="157">
        <v>10.0</v>
      </c>
      <c r="D166" s="158"/>
      <c r="E166" s="159">
        <f t="shared" si="1"/>
        <v>10</v>
      </c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</row>
    <row r="167">
      <c r="A167" s="36"/>
      <c r="B167" s="162" t="s">
        <v>13</v>
      </c>
      <c r="C167" s="157">
        <v>0.0</v>
      </c>
      <c r="D167" s="158"/>
      <c r="E167" s="159">
        <f t="shared" si="1"/>
        <v>0</v>
      </c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</row>
    <row r="168">
      <c r="A168" s="36"/>
      <c r="B168" s="162" t="s">
        <v>14</v>
      </c>
      <c r="C168" s="157">
        <v>1.0</v>
      </c>
      <c r="D168" s="158"/>
      <c r="E168" s="159">
        <f t="shared" si="1"/>
        <v>1</v>
      </c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</row>
    <row r="169">
      <c r="A169" s="36"/>
      <c r="B169" s="162" t="s">
        <v>15</v>
      </c>
      <c r="C169" s="157">
        <v>0.0</v>
      </c>
      <c r="D169" s="158"/>
      <c r="E169" s="159">
        <f t="shared" si="1"/>
        <v>0</v>
      </c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</row>
    <row r="170">
      <c r="A170" s="36"/>
      <c r="B170" s="162" t="s">
        <v>16</v>
      </c>
      <c r="C170" s="157">
        <v>1.0</v>
      </c>
      <c r="D170" s="158"/>
      <c r="E170" s="159">
        <f t="shared" si="1"/>
        <v>1</v>
      </c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</row>
    <row r="171">
      <c r="A171" s="36"/>
      <c r="B171" s="162" t="s">
        <v>17</v>
      </c>
      <c r="C171" s="157">
        <v>1.0</v>
      </c>
      <c r="D171" s="158"/>
      <c r="E171" s="159">
        <f t="shared" si="1"/>
        <v>1</v>
      </c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</row>
    <row r="172">
      <c r="A172" s="36"/>
      <c r="B172" s="156" t="s">
        <v>18</v>
      </c>
      <c r="C172" s="157">
        <v>1.0</v>
      </c>
      <c r="D172" s="158"/>
      <c r="E172" s="159">
        <f t="shared" si="1"/>
        <v>1</v>
      </c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</row>
    <row r="173">
      <c r="A173" s="36"/>
      <c r="B173" s="156" t="s">
        <v>19</v>
      </c>
      <c r="C173" s="157">
        <v>4.0</v>
      </c>
      <c r="D173" s="158"/>
      <c r="E173" s="159">
        <f t="shared" si="1"/>
        <v>4</v>
      </c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</row>
    <row r="174">
      <c r="A174" s="36"/>
      <c r="B174" s="156" t="s">
        <v>20</v>
      </c>
      <c r="C174" s="163">
        <v>0.0</v>
      </c>
      <c r="D174" s="158"/>
      <c r="E174" s="159">
        <f t="shared" si="1"/>
        <v>0</v>
      </c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</row>
    <row r="175">
      <c r="A175" s="36"/>
      <c r="B175" s="156" t="s">
        <v>21</v>
      </c>
      <c r="C175" s="163">
        <v>0.0</v>
      </c>
      <c r="D175" s="158"/>
      <c r="E175" s="159">
        <f t="shared" si="1"/>
        <v>0</v>
      </c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</row>
    <row r="176">
      <c r="A176" s="36"/>
      <c r="B176" s="156" t="s">
        <v>23</v>
      </c>
      <c r="C176" s="163">
        <v>0.0</v>
      </c>
      <c r="D176" s="158"/>
      <c r="E176" s="159">
        <f t="shared" si="1"/>
        <v>0</v>
      </c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</row>
    <row r="177">
      <c r="A177" s="36"/>
      <c r="B177" s="156" t="s">
        <v>24</v>
      </c>
      <c r="C177" s="163">
        <v>9.0</v>
      </c>
      <c r="D177" s="158"/>
      <c r="E177" s="159">
        <f t="shared" si="1"/>
        <v>9</v>
      </c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</row>
    <row r="178">
      <c r="A178" s="36"/>
      <c r="B178" s="156" t="s">
        <v>25</v>
      </c>
      <c r="C178" s="163">
        <v>13.0</v>
      </c>
      <c r="D178" s="164"/>
      <c r="E178" s="159">
        <f t="shared" si="1"/>
        <v>13</v>
      </c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</row>
    <row r="179">
      <c r="A179" s="36"/>
      <c r="B179" s="156" t="s">
        <v>26</v>
      </c>
      <c r="C179" s="163">
        <v>13.0</v>
      </c>
      <c r="D179" s="164"/>
      <c r="E179" s="159">
        <f t="shared" si="1"/>
        <v>13</v>
      </c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</row>
    <row r="180">
      <c r="A180" s="36"/>
      <c r="B180" s="156" t="s">
        <v>27</v>
      </c>
      <c r="C180" s="163">
        <v>25.0</v>
      </c>
      <c r="D180" s="164"/>
      <c r="E180" s="159">
        <f t="shared" si="1"/>
        <v>25</v>
      </c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</row>
    <row r="181">
      <c r="A181" s="36"/>
      <c r="B181" s="156" t="s">
        <v>28</v>
      </c>
      <c r="C181" s="163">
        <v>0.0</v>
      </c>
      <c r="D181" s="164"/>
      <c r="E181" s="159">
        <f t="shared" si="1"/>
        <v>0</v>
      </c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</row>
    <row r="182">
      <c r="A182" s="36"/>
      <c r="B182" s="165" t="s">
        <v>29</v>
      </c>
      <c r="C182" s="163">
        <v>0.0</v>
      </c>
      <c r="D182" s="164"/>
      <c r="E182" s="159">
        <f t="shared" si="1"/>
        <v>0</v>
      </c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</row>
    <row r="183">
      <c r="A183" s="36"/>
      <c r="B183" s="166" t="s">
        <v>30</v>
      </c>
      <c r="C183" s="163">
        <v>3.0</v>
      </c>
      <c r="D183" s="164"/>
      <c r="E183" s="159">
        <f t="shared" si="1"/>
        <v>3</v>
      </c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</row>
    <row r="184">
      <c r="A184" s="36"/>
      <c r="B184" s="167" t="s">
        <v>31</v>
      </c>
      <c r="C184" s="163">
        <v>0.0</v>
      </c>
      <c r="D184" s="164"/>
      <c r="E184" s="159">
        <f t="shared" si="1"/>
        <v>0</v>
      </c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</row>
    <row r="185">
      <c r="A185" s="36"/>
      <c r="B185" s="167" t="s">
        <v>32</v>
      </c>
      <c r="C185" s="163">
        <v>2.0</v>
      </c>
      <c r="D185" s="164"/>
      <c r="E185" s="159">
        <f t="shared" si="1"/>
        <v>2</v>
      </c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</row>
    <row r="186">
      <c r="A186" s="36"/>
      <c r="B186" s="167" t="s">
        <v>33</v>
      </c>
      <c r="C186" s="163">
        <v>0.0</v>
      </c>
      <c r="D186" s="164"/>
      <c r="E186" s="159">
        <f t="shared" si="1"/>
        <v>0</v>
      </c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</row>
    <row r="187">
      <c r="A187" s="91"/>
      <c r="B187" s="167" t="s">
        <v>34</v>
      </c>
      <c r="C187" s="163">
        <v>1.0</v>
      </c>
      <c r="D187" s="164"/>
      <c r="E187" s="159">
        <f t="shared" si="1"/>
        <v>1</v>
      </c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</row>
    <row r="188">
      <c r="A188" s="155">
        <v>46174.0</v>
      </c>
      <c r="B188" s="156" t="s">
        <v>4</v>
      </c>
      <c r="C188" s="157">
        <v>1.0</v>
      </c>
      <c r="D188" s="158"/>
      <c r="E188" s="159">
        <f t="shared" si="1"/>
        <v>1</v>
      </c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</row>
    <row r="189">
      <c r="A189" s="36"/>
      <c r="B189" s="156" t="s">
        <v>5</v>
      </c>
      <c r="C189" s="157">
        <v>0.0</v>
      </c>
      <c r="D189" s="158"/>
      <c r="E189" s="159">
        <f t="shared" si="1"/>
        <v>0</v>
      </c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</row>
    <row r="190">
      <c r="A190" s="36"/>
      <c r="B190" s="156" t="s">
        <v>6</v>
      </c>
      <c r="C190" s="157">
        <v>1.0</v>
      </c>
      <c r="D190" s="158"/>
      <c r="E190" s="159">
        <f t="shared" si="1"/>
        <v>1</v>
      </c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</row>
    <row r="191">
      <c r="A191" s="36"/>
      <c r="B191" s="156" t="s">
        <v>22</v>
      </c>
      <c r="C191" s="157">
        <v>0.0</v>
      </c>
      <c r="D191" s="158"/>
      <c r="E191" s="159">
        <f t="shared" si="1"/>
        <v>0</v>
      </c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</row>
    <row r="192">
      <c r="A192" s="36"/>
      <c r="B192" s="156" t="s">
        <v>7</v>
      </c>
      <c r="C192" s="157">
        <v>1.0</v>
      </c>
      <c r="D192" s="158"/>
      <c r="E192" s="159">
        <f t="shared" si="1"/>
        <v>1</v>
      </c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</row>
    <row r="193">
      <c r="A193" s="36"/>
      <c r="B193" s="162" t="s">
        <v>8</v>
      </c>
      <c r="C193" s="157">
        <v>11.0</v>
      </c>
      <c r="D193" s="158"/>
      <c r="E193" s="159">
        <f t="shared" si="1"/>
        <v>11</v>
      </c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</row>
    <row r="194">
      <c r="A194" s="36"/>
      <c r="B194" s="156" t="s">
        <v>9</v>
      </c>
      <c r="C194" s="157">
        <v>4.0</v>
      </c>
      <c r="D194" s="158"/>
      <c r="E194" s="159">
        <f t="shared" si="1"/>
        <v>4</v>
      </c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</row>
    <row r="195">
      <c r="A195" s="36"/>
      <c r="B195" s="156" t="s">
        <v>10</v>
      </c>
      <c r="C195" s="157">
        <v>1.0</v>
      </c>
      <c r="D195" s="158"/>
      <c r="E195" s="159">
        <f t="shared" si="1"/>
        <v>1</v>
      </c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</row>
    <row r="196">
      <c r="A196" s="36"/>
      <c r="B196" s="156" t="s">
        <v>11</v>
      </c>
      <c r="C196" s="157">
        <v>4.0</v>
      </c>
      <c r="D196" s="158"/>
      <c r="E196" s="159">
        <f t="shared" si="1"/>
        <v>4</v>
      </c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</row>
    <row r="197">
      <c r="A197" s="36"/>
      <c r="B197" s="162" t="s">
        <v>12</v>
      </c>
      <c r="C197" s="157">
        <v>18.0</v>
      </c>
      <c r="D197" s="158"/>
      <c r="E197" s="159">
        <f t="shared" si="1"/>
        <v>18</v>
      </c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</row>
    <row r="198">
      <c r="A198" s="36"/>
      <c r="B198" s="162" t="s">
        <v>13</v>
      </c>
      <c r="C198" s="157">
        <v>0.0</v>
      </c>
      <c r="D198" s="158"/>
      <c r="E198" s="159">
        <f t="shared" si="1"/>
        <v>0</v>
      </c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</row>
    <row r="199">
      <c r="A199" s="36"/>
      <c r="B199" s="162" t="s">
        <v>14</v>
      </c>
      <c r="C199" s="157">
        <v>0.0</v>
      </c>
      <c r="D199" s="158"/>
      <c r="E199" s="159">
        <f t="shared" si="1"/>
        <v>0</v>
      </c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</row>
    <row r="200">
      <c r="A200" s="36"/>
      <c r="B200" s="162" t="s">
        <v>15</v>
      </c>
      <c r="C200" s="157">
        <v>0.0</v>
      </c>
      <c r="D200" s="158"/>
      <c r="E200" s="159">
        <f t="shared" si="1"/>
        <v>0</v>
      </c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</row>
    <row r="201">
      <c r="A201" s="36"/>
      <c r="B201" s="162" t="s">
        <v>16</v>
      </c>
      <c r="C201" s="157">
        <v>4.0</v>
      </c>
      <c r="D201" s="158"/>
      <c r="E201" s="159">
        <f t="shared" si="1"/>
        <v>4</v>
      </c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</row>
    <row r="202">
      <c r="A202" s="36"/>
      <c r="B202" s="162" t="s">
        <v>17</v>
      </c>
      <c r="C202" s="157">
        <v>0.0</v>
      </c>
      <c r="D202" s="158"/>
      <c r="E202" s="159">
        <f t="shared" si="1"/>
        <v>0</v>
      </c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</row>
    <row r="203">
      <c r="A203" s="36"/>
      <c r="B203" s="156" t="s">
        <v>18</v>
      </c>
      <c r="C203" s="157">
        <v>3.0</v>
      </c>
      <c r="D203" s="158"/>
      <c r="E203" s="159">
        <f t="shared" si="1"/>
        <v>3</v>
      </c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</row>
    <row r="204">
      <c r="A204" s="36"/>
      <c r="B204" s="156" t="s">
        <v>19</v>
      </c>
      <c r="C204" s="157">
        <v>5.0</v>
      </c>
      <c r="D204" s="158"/>
      <c r="E204" s="159">
        <f t="shared" si="1"/>
        <v>5</v>
      </c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</row>
    <row r="205">
      <c r="A205" s="36"/>
      <c r="B205" s="156" t="s">
        <v>20</v>
      </c>
      <c r="C205" s="163">
        <v>0.0</v>
      </c>
      <c r="D205" s="158"/>
      <c r="E205" s="159">
        <f t="shared" si="1"/>
        <v>0</v>
      </c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</row>
    <row r="206">
      <c r="A206" s="36"/>
      <c r="B206" s="156" t="s">
        <v>21</v>
      </c>
      <c r="C206" s="163">
        <v>1.0</v>
      </c>
      <c r="D206" s="158"/>
      <c r="E206" s="159">
        <f t="shared" si="1"/>
        <v>1</v>
      </c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</row>
    <row r="207">
      <c r="A207" s="36"/>
      <c r="B207" s="156" t="s">
        <v>23</v>
      </c>
      <c r="C207" s="163">
        <v>0.0</v>
      </c>
      <c r="D207" s="158"/>
      <c r="E207" s="159">
        <f t="shared" si="1"/>
        <v>0</v>
      </c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</row>
    <row r="208">
      <c r="A208" s="36"/>
      <c r="B208" s="156" t="s">
        <v>24</v>
      </c>
      <c r="C208" s="163">
        <v>20.0</v>
      </c>
      <c r="D208" s="158"/>
      <c r="E208" s="159">
        <f t="shared" si="1"/>
        <v>20</v>
      </c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</row>
    <row r="209">
      <c r="A209" s="36"/>
      <c r="B209" s="156" t="s">
        <v>25</v>
      </c>
      <c r="C209" s="163">
        <v>23.0</v>
      </c>
      <c r="D209" s="164"/>
      <c r="E209" s="159">
        <f t="shared" si="1"/>
        <v>23</v>
      </c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</row>
    <row r="210">
      <c r="A210" s="36"/>
      <c r="B210" s="156" t="s">
        <v>26</v>
      </c>
      <c r="C210" s="163">
        <v>22.0</v>
      </c>
      <c r="D210" s="164"/>
      <c r="E210" s="159">
        <f t="shared" si="1"/>
        <v>22</v>
      </c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</row>
    <row r="211">
      <c r="A211" s="36"/>
      <c r="B211" s="156" t="s">
        <v>27</v>
      </c>
      <c r="C211" s="163">
        <v>27.0</v>
      </c>
      <c r="D211" s="164"/>
      <c r="E211" s="159">
        <f t="shared" si="1"/>
        <v>27</v>
      </c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</row>
    <row r="212">
      <c r="A212" s="36"/>
      <c r="B212" s="156" t="s">
        <v>28</v>
      </c>
      <c r="C212" s="163">
        <v>1.0</v>
      </c>
      <c r="D212" s="164"/>
      <c r="E212" s="159">
        <f t="shared" si="1"/>
        <v>1</v>
      </c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</row>
    <row r="213">
      <c r="A213" s="36"/>
      <c r="B213" s="165" t="s">
        <v>29</v>
      </c>
      <c r="C213" s="163">
        <v>0.0</v>
      </c>
      <c r="D213" s="164"/>
      <c r="E213" s="159">
        <f t="shared" si="1"/>
        <v>0</v>
      </c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</row>
    <row r="214">
      <c r="A214" s="36"/>
      <c r="B214" s="166" t="s">
        <v>30</v>
      </c>
      <c r="C214" s="163">
        <v>1.0</v>
      </c>
      <c r="D214" s="164"/>
      <c r="E214" s="159">
        <f t="shared" si="1"/>
        <v>1</v>
      </c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</row>
    <row r="215">
      <c r="A215" s="36"/>
      <c r="B215" s="167" t="s">
        <v>31</v>
      </c>
      <c r="C215" s="163">
        <v>0.0</v>
      </c>
      <c r="D215" s="164"/>
      <c r="E215" s="159">
        <f t="shared" si="1"/>
        <v>0</v>
      </c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</row>
    <row r="216">
      <c r="A216" s="36"/>
      <c r="B216" s="167" t="s">
        <v>32</v>
      </c>
      <c r="C216" s="163">
        <v>4.0</v>
      </c>
      <c r="D216" s="164"/>
      <c r="E216" s="159">
        <f t="shared" si="1"/>
        <v>4</v>
      </c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</row>
    <row r="217">
      <c r="A217" s="36"/>
      <c r="B217" s="167" t="s">
        <v>33</v>
      </c>
      <c r="C217" s="163">
        <v>1.0</v>
      </c>
      <c r="D217" s="164"/>
      <c r="E217" s="159">
        <f t="shared" si="1"/>
        <v>1</v>
      </c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</row>
    <row r="218">
      <c r="A218" s="91"/>
      <c r="B218" s="167" t="s">
        <v>34</v>
      </c>
      <c r="C218" s="163">
        <v>1.0</v>
      </c>
      <c r="D218" s="164"/>
      <c r="E218" s="159">
        <f t="shared" si="1"/>
        <v>1</v>
      </c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</row>
    <row r="219">
      <c r="A219" s="155">
        <v>46175.0</v>
      </c>
      <c r="B219" s="156" t="s">
        <v>4</v>
      </c>
      <c r="C219" s="157">
        <v>0.0</v>
      </c>
      <c r="D219" s="158"/>
      <c r="E219" s="159">
        <f t="shared" si="1"/>
        <v>0</v>
      </c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</row>
    <row r="220">
      <c r="A220" s="36"/>
      <c r="B220" s="156" t="s">
        <v>5</v>
      </c>
      <c r="C220" s="157">
        <v>0.0</v>
      </c>
      <c r="D220" s="158"/>
      <c r="E220" s="159">
        <f t="shared" si="1"/>
        <v>0</v>
      </c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</row>
    <row r="221">
      <c r="A221" s="36"/>
      <c r="B221" s="156" t="s">
        <v>6</v>
      </c>
      <c r="C221" s="157">
        <v>0.0</v>
      </c>
      <c r="D221" s="158"/>
      <c r="E221" s="159">
        <f t="shared" si="1"/>
        <v>0</v>
      </c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</row>
    <row r="222">
      <c r="A222" s="36"/>
      <c r="B222" s="156" t="s">
        <v>22</v>
      </c>
      <c r="C222" s="157">
        <v>1.0</v>
      </c>
      <c r="D222" s="158"/>
      <c r="E222" s="159">
        <f t="shared" si="1"/>
        <v>1</v>
      </c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</row>
    <row r="223">
      <c r="A223" s="36"/>
      <c r="B223" s="156" t="s">
        <v>7</v>
      </c>
      <c r="C223" s="157">
        <v>0.0</v>
      </c>
      <c r="D223" s="158"/>
      <c r="E223" s="159">
        <f t="shared" si="1"/>
        <v>0</v>
      </c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</row>
    <row r="224">
      <c r="A224" s="36"/>
      <c r="B224" s="162" t="s">
        <v>8</v>
      </c>
      <c r="C224" s="157">
        <v>9.0</v>
      </c>
      <c r="D224" s="158"/>
      <c r="E224" s="159">
        <f t="shared" si="1"/>
        <v>9</v>
      </c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</row>
    <row r="225">
      <c r="A225" s="36"/>
      <c r="B225" s="156" t="s">
        <v>9</v>
      </c>
      <c r="C225" s="157">
        <v>2.0</v>
      </c>
      <c r="D225" s="158"/>
      <c r="E225" s="159">
        <f t="shared" si="1"/>
        <v>2</v>
      </c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</row>
    <row r="226">
      <c r="A226" s="36"/>
      <c r="B226" s="156" t="s">
        <v>10</v>
      </c>
      <c r="C226" s="157">
        <v>2.0</v>
      </c>
      <c r="D226" s="158"/>
      <c r="E226" s="159">
        <f t="shared" si="1"/>
        <v>2</v>
      </c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</row>
    <row r="227">
      <c r="A227" s="36"/>
      <c r="B227" s="156" t="s">
        <v>11</v>
      </c>
      <c r="C227" s="157">
        <v>0.0</v>
      </c>
      <c r="D227" s="158"/>
      <c r="E227" s="159">
        <f t="shared" si="1"/>
        <v>0</v>
      </c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</row>
    <row r="228">
      <c r="A228" s="36"/>
      <c r="B228" s="162" t="s">
        <v>12</v>
      </c>
      <c r="C228" s="157">
        <v>11.0</v>
      </c>
      <c r="D228" s="158"/>
      <c r="E228" s="159">
        <f t="shared" si="1"/>
        <v>11</v>
      </c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</row>
    <row r="229">
      <c r="A229" s="36"/>
      <c r="B229" s="162" t="s">
        <v>13</v>
      </c>
      <c r="C229" s="157">
        <v>0.0</v>
      </c>
      <c r="D229" s="158"/>
      <c r="E229" s="159">
        <f t="shared" si="1"/>
        <v>0</v>
      </c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</row>
    <row r="230">
      <c r="A230" s="36"/>
      <c r="B230" s="162" t="s">
        <v>14</v>
      </c>
      <c r="C230" s="157">
        <v>1.0</v>
      </c>
      <c r="D230" s="158"/>
      <c r="E230" s="159">
        <f t="shared" si="1"/>
        <v>1</v>
      </c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</row>
    <row r="231">
      <c r="A231" s="36"/>
      <c r="B231" s="162" t="s">
        <v>15</v>
      </c>
      <c r="C231" s="157">
        <v>0.0</v>
      </c>
      <c r="D231" s="158"/>
      <c r="E231" s="159">
        <f t="shared" si="1"/>
        <v>0</v>
      </c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</row>
    <row r="232">
      <c r="A232" s="36"/>
      <c r="B232" s="162" t="s">
        <v>16</v>
      </c>
      <c r="C232" s="157">
        <v>0.0</v>
      </c>
      <c r="D232" s="158"/>
      <c r="E232" s="159">
        <f t="shared" si="1"/>
        <v>0</v>
      </c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</row>
    <row r="233">
      <c r="A233" s="36"/>
      <c r="B233" s="162" t="s">
        <v>17</v>
      </c>
      <c r="C233" s="157">
        <v>1.0</v>
      </c>
      <c r="D233" s="158"/>
      <c r="E233" s="159">
        <f t="shared" si="1"/>
        <v>1</v>
      </c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</row>
    <row r="234">
      <c r="A234" s="36"/>
      <c r="B234" s="156" t="s">
        <v>18</v>
      </c>
      <c r="C234" s="157">
        <v>0.0</v>
      </c>
      <c r="D234" s="158"/>
      <c r="E234" s="159">
        <f t="shared" si="1"/>
        <v>0</v>
      </c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</row>
    <row r="235">
      <c r="A235" s="36"/>
      <c r="B235" s="156" t="s">
        <v>19</v>
      </c>
      <c r="C235" s="157">
        <v>0.0</v>
      </c>
      <c r="D235" s="158"/>
      <c r="E235" s="159">
        <f t="shared" si="1"/>
        <v>0</v>
      </c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</row>
    <row r="236">
      <c r="A236" s="36"/>
      <c r="B236" s="156" t="s">
        <v>20</v>
      </c>
      <c r="C236" s="157">
        <v>0.0</v>
      </c>
      <c r="D236" s="158"/>
      <c r="E236" s="159">
        <f t="shared" si="1"/>
        <v>0</v>
      </c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</row>
    <row r="237">
      <c r="A237" s="36"/>
      <c r="B237" s="156" t="s">
        <v>21</v>
      </c>
      <c r="C237" s="157">
        <v>2.0</v>
      </c>
      <c r="D237" s="158"/>
      <c r="E237" s="159">
        <f t="shared" si="1"/>
        <v>2</v>
      </c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</row>
    <row r="238">
      <c r="A238" s="36"/>
      <c r="B238" s="156" t="s">
        <v>23</v>
      </c>
      <c r="C238" s="157">
        <v>0.0</v>
      </c>
      <c r="D238" s="158"/>
      <c r="E238" s="159">
        <f t="shared" si="1"/>
        <v>0</v>
      </c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</row>
    <row r="239">
      <c r="A239" s="36"/>
      <c r="B239" s="156" t="s">
        <v>24</v>
      </c>
      <c r="C239" s="157">
        <v>6.0</v>
      </c>
      <c r="D239" s="158"/>
      <c r="E239" s="159">
        <f t="shared" si="1"/>
        <v>6</v>
      </c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</row>
    <row r="240">
      <c r="A240" s="36"/>
      <c r="B240" s="156" t="s">
        <v>25</v>
      </c>
      <c r="C240" s="163">
        <v>11.0</v>
      </c>
      <c r="D240" s="164"/>
      <c r="E240" s="159">
        <f t="shared" si="1"/>
        <v>11</v>
      </c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</row>
    <row r="241">
      <c r="A241" s="36"/>
      <c r="B241" s="156" t="s">
        <v>26</v>
      </c>
      <c r="C241" s="163">
        <v>7.0</v>
      </c>
      <c r="D241" s="164"/>
      <c r="E241" s="159">
        <f t="shared" si="1"/>
        <v>7</v>
      </c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</row>
    <row r="242">
      <c r="A242" s="36"/>
      <c r="B242" s="156" t="s">
        <v>27</v>
      </c>
      <c r="C242" s="163">
        <v>14.0</v>
      </c>
      <c r="D242" s="164"/>
      <c r="E242" s="159">
        <f t="shared" si="1"/>
        <v>14</v>
      </c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</row>
    <row r="243">
      <c r="A243" s="36"/>
      <c r="B243" s="156" t="s">
        <v>28</v>
      </c>
      <c r="C243" s="163">
        <v>0.0</v>
      </c>
      <c r="D243" s="164"/>
      <c r="E243" s="159">
        <f t="shared" si="1"/>
        <v>0</v>
      </c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</row>
    <row r="244">
      <c r="A244" s="36"/>
      <c r="B244" s="165" t="s">
        <v>29</v>
      </c>
      <c r="C244" s="163">
        <v>0.0</v>
      </c>
      <c r="D244" s="164"/>
      <c r="E244" s="159">
        <f t="shared" si="1"/>
        <v>0</v>
      </c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</row>
    <row r="245">
      <c r="A245" s="36"/>
      <c r="B245" s="166" t="s">
        <v>30</v>
      </c>
      <c r="C245" s="163">
        <v>1.0</v>
      </c>
      <c r="D245" s="164"/>
      <c r="E245" s="159">
        <f t="shared" si="1"/>
        <v>1</v>
      </c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</row>
    <row r="246">
      <c r="A246" s="36"/>
      <c r="B246" s="167" t="s">
        <v>31</v>
      </c>
      <c r="C246" s="163">
        <v>1.0</v>
      </c>
      <c r="D246" s="164"/>
      <c r="E246" s="159">
        <f t="shared" si="1"/>
        <v>1</v>
      </c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</row>
    <row r="247">
      <c r="A247" s="36"/>
      <c r="B247" s="167" t="s">
        <v>32</v>
      </c>
      <c r="C247" s="163">
        <v>2.0</v>
      </c>
      <c r="D247" s="164"/>
      <c r="E247" s="159">
        <f t="shared" si="1"/>
        <v>2</v>
      </c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</row>
    <row r="248">
      <c r="A248" s="36"/>
      <c r="B248" s="167" t="s">
        <v>33</v>
      </c>
      <c r="C248" s="163">
        <v>0.0</v>
      </c>
      <c r="D248" s="164"/>
      <c r="E248" s="159">
        <f t="shared" si="1"/>
        <v>0</v>
      </c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</row>
    <row r="249">
      <c r="A249" s="91"/>
      <c r="B249" s="167" t="s">
        <v>34</v>
      </c>
      <c r="C249" s="163">
        <v>0.0</v>
      </c>
      <c r="D249" s="164"/>
      <c r="E249" s="159">
        <f t="shared" si="1"/>
        <v>0</v>
      </c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</row>
    <row r="250">
      <c r="A250" s="155">
        <v>46176.0</v>
      </c>
      <c r="B250" s="156" t="s">
        <v>4</v>
      </c>
      <c r="C250" s="157">
        <v>0.0</v>
      </c>
      <c r="D250" s="158"/>
      <c r="E250" s="159">
        <f t="shared" si="1"/>
        <v>0</v>
      </c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</row>
    <row r="251">
      <c r="A251" s="36"/>
      <c r="B251" s="156" t="s">
        <v>5</v>
      </c>
      <c r="C251" s="157">
        <v>0.0</v>
      </c>
      <c r="D251" s="158"/>
      <c r="E251" s="159">
        <f t="shared" si="1"/>
        <v>0</v>
      </c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</row>
    <row r="252">
      <c r="A252" s="36"/>
      <c r="B252" s="156" t="s">
        <v>6</v>
      </c>
      <c r="C252" s="157">
        <v>1.0</v>
      </c>
      <c r="D252" s="158"/>
      <c r="E252" s="159">
        <f t="shared" si="1"/>
        <v>1</v>
      </c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</row>
    <row r="253">
      <c r="A253" s="36"/>
      <c r="B253" s="156" t="s">
        <v>22</v>
      </c>
      <c r="C253" s="157">
        <v>0.0</v>
      </c>
      <c r="D253" s="158"/>
      <c r="E253" s="159">
        <f t="shared" si="1"/>
        <v>0</v>
      </c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</row>
    <row r="254">
      <c r="A254" s="36"/>
      <c r="B254" s="156" t="s">
        <v>7</v>
      </c>
      <c r="C254" s="157">
        <v>3.0</v>
      </c>
      <c r="D254" s="158"/>
      <c r="E254" s="159">
        <f t="shared" si="1"/>
        <v>3</v>
      </c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</row>
    <row r="255">
      <c r="A255" s="36"/>
      <c r="B255" s="162" t="s">
        <v>8</v>
      </c>
      <c r="C255" s="157">
        <v>13.0</v>
      </c>
      <c r="D255" s="158"/>
      <c r="E255" s="159">
        <f t="shared" si="1"/>
        <v>13</v>
      </c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</row>
    <row r="256">
      <c r="A256" s="36"/>
      <c r="B256" s="156" t="s">
        <v>9</v>
      </c>
      <c r="C256" s="157">
        <v>8.0</v>
      </c>
      <c r="D256" s="158"/>
      <c r="E256" s="159">
        <f t="shared" si="1"/>
        <v>8</v>
      </c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</row>
    <row r="257">
      <c r="A257" s="36"/>
      <c r="B257" s="156" t="s">
        <v>10</v>
      </c>
      <c r="C257" s="157">
        <v>5.0</v>
      </c>
      <c r="D257" s="158"/>
      <c r="E257" s="159">
        <f t="shared" si="1"/>
        <v>5</v>
      </c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</row>
    <row r="258">
      <c r="A258" s="36"/>
      <c r="B258" s="156" t="s">
        <v>11</v>
      </c>
      <c r="C258" s="157">
        <v>0.0</v>
      </c>
      <c r="D258" s="158"/>
      <c r="E258" s="159">
        <f t="shared" si="1"/>
        <v>0</v>
      </c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</row>
    <row r="259">
      <c r="A259" s="36"/>
      <c r="B259" s="162" t="s">
        <v>12</v>
      </c>
      <c r="C259" s="157">
        <v>16.0</v>
      </c>
      <c r="D259" s="158"/>
      <c r="E259" s="159">
        <f t="shared" si="1"/>
        <v>16</v>
      </c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</row>
    <row r="260">
      <c r="A260" s="36"/>
      <c r="B260" s="162" t="s">
        <v>13</v>
      </c>
      <c r="C260" s="157">
        <v>0.0</v>
      </c>
      <c r="D260" s="158"/>
      <c r="E260" s="159">
        <f t="shared" si="1"/>
        <v>0</v>
      </c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</row>
    <row r="261">
      <c r="A261" s="36"/>
      <c r="B261" s="162" t="s">
        <v>14</v>
      </c>
      <c r="C261" s="157">
        <v>1.0</v>
      </c>
      <c r="D261" s="158"/>
      <c r="E261" s="159">
        <f t="shared" si="1"/>
        <v>1</v>
      </c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</row>
    <row r="262">
      <c r="A262" s="36"/>
      <c r="B262" s="162" t="s">
        <v>15</v>
      </c>
      <c r="C262" s="157">
        <v>1.0</v>
      </c>
      <c r="D262" s="158"/>
      <c r="E262" s="159">
        <f t="shared" si="1"/>
        <v>1</v>
      </c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</row>
    <row r="263">
      <c r="A263" s="36"/>
      <c r="B263" s="162" t="s">
        <v>16</v>
      </c>
      <c r="C263" s="157">
        <v>0.0</v>
      </c>
      <c r="D263" s="158"/>
      <c r="E263" s="159">
        <f t="shared" si="1"/>
        <v>0</v>
      </c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</row>
    <row r="264">
      <c r="A264" s="36"/>
      <c r="B264" s="162" t="s">
        <v>17</v>
      </c>
      <c r="C264" s="157">
        <v>0.0</v>
      </c>
      <c r="D264" s="158"/>
      <c r="E264" s="159">
        <f t="shared" si="1"/>
        <v>0</v>
      </c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</row>
    <row r="265">
      <c r="A265" s="36"/>
      <c r="B265" s="156" t="s">
        <v>18</v>
      </c>
      <c r="C265" s="157">
        <v>1.0</v>
      </c>
      <c r="D265" s="158"/>
      <c r="E265" s="159">
        <f t="shared" si="1"/>
        <v>1</v>
      </c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</row>
    <row r="266">
      <c r="A266" s="36"/>
      <c r="B266" s="156" t="s">
        <v>19</v>
      </c>
      <c r="C266" s="157">
        <v>8.0</v>
      </c>
      <c r="D266" s="158"/>
      <c r="E266" s="159">
        <f t="shared" si="1"/>
        <v>8</v>
      </c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</row>
    <row r="267">
      <c r="A267" s="36"/>
      <c r="B267" s="156" t="s">
        <v>20</v>
      </c>
      <c r="C267" s="157">
        <v>0.0</v>
      </c>
      <c r="D267" s="158"/>
      <c r="E267" s="159">
        <f t="shared" si="1"/>
        <v>0</v>
      </c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</row>
    <row r="268">
      <c r="A268" s="36"/>
      <c r="B268" s="156" t="s">
        <v>21</v>
      </c>
      <c r="C268" s="157">
        <v>1.0</v>
      </c>
      <c r="D268" s="158"/>
      <c r="E268" s="159">
        <f t="shared" si="1"/>
        <v>1</v>
      </c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</row>
    <row r="269">
      <c r="A269" s="36"/>
      <c r="B269" s="156" t="s">
        <v>23</v>
      </c>
      <c r="C269" s="157">
        <v>0.0</v>
      </c>
      <c r="D269" s="158"/>
      <c r="E269" s="159">
        <f t="shared" si="1"/>
        <v>0</v>
      </c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</row>
    <row r="270">
      <c r="A270" s="36"/>
      <c r="B270" s="156" t="s">
        <v>24</v>
      </c>
      <c r="C270" s="157">
        <v>10.0</v>
      </c>
      <c r="D270" s="158"/>
      <c r="E270" s="159">
        <f t="shared" si="1"/>
        <v>10</v>
      </c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</row>
    <row r="271">
      <c r="A271" s="36"/>
      <c r="B271" s="156" t="s">
        <v>25</v>
      </c>
      <c r="C271" s="163">
        <v>19.0</v>
      </c>
      <c r="D271" s="164"/>
      <c r="E271" s="159">
        <f t="shared" si="1"/>
        <v>19</v>
      </c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</row>
    <row r="272">
      <c r="A272" s="36"/>
      <c r="B272" s="156" t="s">
        <v>26</v>
      </c>
      <c r="C272" s="163">
        <v>22.0</v>
      </c>
      <c r="D272" s="164"/>
      <c r="E272" s="159">
        <f t="shared" si="1"/>
        <v>22</v>
      </c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</row>
    <row r="273">
      <c r="A273" s="36"/>
      <c r="B273" s="156" t="s">
        <v>27</v>
      </c>
      <c r="C273" s="163">
        <v>30.0</v>
      </c>
      <c r="D273" s="164"/>
      <c r="E273" s="159">
        <f t="shared" si="1"/>
        <v>30</v>
      </c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</row>
    <row r="274">
      <c r="A274" s="36"/>
      <c r="B274" s="156" t="s">
        <v>28</v>
      </c>
      <c r="C274" s="163">
        <v>0.0</v>
      </c>
      <c r="D274" s="164"/>
      <c r="E274" s="159">
        <f t="shared" si="1"/>
        <v>0</v>
      </c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</row>
    <row r="275">
      <c r="A275" s="36"/>
      <c r="B275" s="165" t="s">
        <v>29</v>
      </c>
      <c r="C275" s="163">
        <v>0.0</v>
      </c>
      <c r="D275" s="164"/>
      <c r="E275" s="159">
        <f t="shared" si="1"/>
        <v>0</v>
      </c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</row>
    <row r="276">
      <c r="A276" s="36"/>
      <c r="B276" s="166" t="s">
        <v>30</v>
      </c>
      <c r="C276" s="163">
        <v>3.0</v>
      </c>
      <c r="D276" s="164"/>
      <c r="E276" s="159">
        <f t="shared" si="1"/>
        <v>3</v>
      </c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</row>
    <row r="277">
      <c r="A277" s="36"/>
      <c r="B277" s="167" t="s">
        <v>31</v>
      </c>
      <c r="C277" s="163">
        <v>0.0</v>
      </c>
      <c r="D277" s="164"/>
      <c r="E277" s="159">
        <f t="shared" si="1"/>
        <v>0</v>
      </c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</row>
    <row r="278">
      <c r="A278" s="36"/>
      <c r="B278" s="167" t="s">
        <v>32</v>
      </c>
      <c r="C278" s="163">
        <v>1.0</v>
      </c>
      <c r="D278" s="164"/>
      <c r="E278" s="159">
        <f t="shared" si="1"/>
        <v>1</v>
      </c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</row>
    <row r="279">
      <c r="A279" s="36"/>
      <c r="B279" s="167" t="s">
        <v>33</v>
      </c>
      <c r="C279" s="163">
        <v>0.0</v>
      </c>
      <c r="D279" s="164"/>
      <c r="E279" s="159">
        <f t="shared" si="1"/>
        <v>0</v>
      </c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</row>
    <row r="280">
      <c r="A280" s="91"/>
      <c r="B280" s="167" t="s">
        <v>34</v>
      </c>
      <c r="C280" s="163">
        <v>0.0</v>
      </c>
      <c r="D280" s="164"/>
      <c r="E280" s="159">
        <f t="shared" si="1"/>
        <v>0</v>
      </c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</row>
    <row r="281">
      <c r="A281" s="155">
        <v>46177.0</v>
      </c>
      <c r="B281" s="156" t="s">
        <v>4</v>
      </c>
      <c r="C281" s="157">
        <v>0.0</v>
      </c>
      <c r="D281" s="158"/>
      <c r="E281" s="159">
        <f t="shared" si="1"/>
        <v>0</v>
      </c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</row>
    <row r="282">
      <c r="A282" s="36"/>
      <c r="B282" s="156" t="s">
        <v>5</v>
      </c>
      <c r="C282" s="157">
        <v>0.0</v>
      </c>
      <c r="D282" s="158"/>
      <c r="E282" s="159">
        <f t="shared" si="1"/>
        <v>0</v>
      </c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</row>
    <row r="283">
      <c r="A283" s="36"/>
      <c r="B283" s="156" t="s">
        <v>6</v>
      </c>
      <c r="C283" s="157">
        <v>1.0</v>
      </c>
      <c r="D283" s="158"/>
      <c r="E283" s="159">
        <f t="shared" si="1"/>
        <v>1</v>
      </c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</row>
    <row r="284">
      <c r="A284" s="36"/>
      <c r="B284" s="156" t="s">
        <v>22</v>
      </c>
      <c r="C284" s="157">
        <v>0.0</v>
      </c>
      <c r="D284" s="158"/>
      <c r="E284" s="159">
        <f t="shared" si="1"/>
        <v>0</v>
      </c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</row>
    <row r="285">
      <c r="A285" s="36"/>
      <c r="B285" s="156" t="s">
        <v>7</v>
      </c>
      <c r="C285" s="157">
        <v>0.0</v>
      </c>
      <c r="D285" s="158"/>
      <c r="E285" s="159">
        <f t="shared" si="1"/>
        <v>0</v>
      </c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</row>
    <row r="286">
      <c r="A286" s="36"/>
      <c r="B286" s="162" t="s">
        <v>8</v>
      </c>
      <c r="C286" s="157">
        <v>13.0</v>
      </c>
      <c r="D286" s="158"/>
      <c r="E286" s="159">
        <f t="shared" si="1"/>
        <v>13</v>
      </c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</row>
    <row r="287">
      <c r="A287" s="36"/>
      <c r="B287" s="156" t="s">
        <v>9</v>
      </c>
      <c r="C287" s="157">
        <v>3.0</v>
      </c>
      <c r="D287" s="158"/>
      <c r="E287" s="159">
        <f t="shared" si="1"/>
        <v>3</v>
      </c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</row>
    <row r="288">
      <c r="A288" s="36"/>
      <c r="B288" s="156" t="s">
        <v>10</v>
      </c>
      <c r="C288" s="157">
        <v>3.0</v>
      </c>
      <c r="D288" s="158"/>
      <c r="E288" s="159">
        <f t="shared" si="1"/>
        <v>3</v>
      </c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</row>
    <row r="289">
      <c r="A289" s="36"/>
      <c r="B289" s="156" t="s">
        <v>11</v>
      </c>
      <c r="C289" s="157">
        <v>0.0</v>
      </c>
      <c r="D289" s="158"/>
      <c r="E289" s="159">
        <f t="shared" si="1"/>
        <v>0</v>
      </c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</row>
    <row r="290">
      <c r="A290" s="36"/>
      <c r="B290" s="162" t="s">
        <v>12</v>
      </c>
      <c r="C290" s="157">
        <v>11.0</v>
      </c>
      <c r="D290" s="158"/>
      <c r="E290" s="159">
        <f t="shared" si="1"/>
        <v>11</v>
      </c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</row>
    <row r="291">
      <c r="A291" s="36"/>
      <c r="B291" s="162" t="s">
        <v>13</v>
      </c>
      <c r="C291" s="157">
        <v>0.0</v>
      </c>
      <c r="D291" s="158"/>
      <c r="E291" s="159">
        <f t="shared" si="1"/>
        <v>0</v>
      </c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</row>
    <row r="292">
      <c r="A292" s="36"/>
      <c r="B292" s="162" t="s">
        <v>14</v>
      </c>
      <c r="C292" s="157">
        <v>0.0</v>
      </c>
      <c r="D292" s="158"/>
      <c r="E292" s="159">
        <f t="shared" si="1"/>
        <v>0</v>
      </c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</row>
    <row r="293">
      <c r="A293" s="36"/>
      <c r="B293" s="162" t="s">
        <v>15</v>
      </c>
      <c r="C293" s="157">
        <v>0.0</v>
      </c>
      <c r="D293" s="158"/>
      <c r="E293" s="159">
        <f t="shared" si="1"/>
        <v>0</v>
      </c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</row>
    <row r="294">
      <c r="A294" s="36"/>
      <c r="B294" s="162" t="s">
        <v>16</v>
      </c>
      <c r="C294" s="157">
        <v>1.0</v>
      </c>
      <c r="D294" s="158"/>
      <c r="E294" s="159">
        <f t="shared" si="1"/>
        <v>1</v>
      </c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</row>
    <row r="295">
      <c r="A295" s="36"/>
      <c r="B295" s="162" t="s">
        <v>17</v>
      </c>
      <c r="C295" s="157">
        <v>0.0</v>
      </c>
      <c r="D295" s="158"/>
      <c r="E295" s="159">
        <f t="shared" si="1"/>
        <v>0</v>
      </c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</row>
    <row r="296">
      <c r="A296" s="36"/>
      <c r="B296" s="156" t="s">
        <v>18</v>
      </c>
      <c r="C296" s="157">
        <v>2.0</v>
      </c>
      <c r="D296" s="158"/>
      <c r="E296" s="159">
        <f t="shared" si="1"/>
        <v>2</v>
      </c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</row>
    <row r="297">
      <c r="A297" s="36"/>
      <c r="B297" s="156" t="s">
        <v>19</v>
      </c>
      <c r="C297" s="157">
        <v>7.0</v>
      </c>
      <c r="D297" s="158"/>
      <c r="E297" s="159">
        <f t="shared" si="1"/>
        <v>7</v>
      </c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</row>
    <row r="298">
      <c r="A298" s="36"/>
      <c r="B298" s="156" t="s">
        <v>20</v>
      </c>
      <c r="C298" s="157">
        <v>0.0</v>
      </c>
      <c r="D298" s="158"/>
      <c r="E298" s="159">
        <f t="shared" si="1"/>
        <v>0</v>
      </c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</row>
    <row r="299">
      <c r="A299" s="36"/>
      <c r="B299" s="156" t="s">
        <v>21</v>
      </c>
      <c r="C299" s="157">
        <v>1.0</v>
      </c>
      <c r="D299" s="158"/>
      <c r="E299" s="159">
        <f t="shared" si="1"/>
        <v>1</v>
      </c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</row>
    <row r="300">
      <c r="A300" s="36"/>
      <c r="B300" s="156" t="s">
        <v>23</v>
      </c>
      <c r="C300" s="157">
        <v>0.0</v>
      </c>
      <c r="D300" s="158"/>
      <c r="E300" s="159">
        <f t="shared" si="1"/>
        <v>0</v>
      </c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</row>
    <row r="301">
      <c r="A301" s="36"/>
      <c r="B301" s="156" t="s">
        <v>24</v>
      </c>
      <c r="C301" s="157">
        <v>10.0</v>
      </c>
      <c r="D301" s="158"/>
      <c r="E301" s="159">
        <f t="shared" si="1"/>
        <v>10</v>
      </c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</row>
    <row r="302">
      <c r="A302" s="36"/>
      <c r="B302" s="156" t="s">
        <v>25</v>
      </c>
      <c r="C302" s="163">
        <v>14.0</v>
      </c>
      <c r="D302" s="164"/>
      <c r="E302" s="159">
        <f t="shared" si="1"/>
        <v>14</v>
      </c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</row>
    <row r="303">
      <c r="A303" s="36"/>
      <c r="B303" s="156" t="s">
        <v>26</v>
      </c>
      <c r="C303" s="163">
        <v>18.0</v>
      </c>
      <c r="D303" s="164"/>
      <c r="E303" s="159">
        <f t="shared" si="1"/>
        <v>18</v>
      </c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</row>
    <row r="304">
      <c r="A304" s="36"/>
      <c r="B304" s="156" t="s">
        <v>27</v>
      </c>
      <c r="C304" s="163">
        <v>26.0</v>
      </c>
      <c r="D304" s="164"/>
      <c r="E304" s="159">
        <f t="shared" si="1"/>
        <v>26</v>
      </c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</row>
    <row r="305">
      <c r="A305" s="36"/>
      <c r="B305" s="156" t="s">
        <v>28</v>
      </c>
      <c r="C305" s="163">
        <v>0.0</v>
      </c>
      <c r="D305" s="164"/>
      <c r="E305" s="159">
        <f t="shared" si="1"/>
        <v>0</v>
      </c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</row>
    <row r="306">
      <c r="A306" s="36"/>
      <c r="B306" s="165" t="s">
        <v>29</v>
      </c>
      <c r="C306" s="163">
        <v>0.0</v>
      </c>
      <c r="D306" s="164"/>
      <c r="E306" s="159">
        <f t="shared" si="1"/>
        <v>0</v>
      </c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</row>
    <row r="307">
      <c r="A307" s="36"/>
      <c r="B307" s="166" t="s">
        <v>30</v>
      </c>
      <c r="C307" s="163">
        <v>2.0</v>
      </c>
      <c r="D307" s="164"/>
      <c r="E307" s="159">
        <f t="shared" si="1"/>
        <v>2</v>
      </c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</row>
    <row r="308">
      <c r="A308" s="36"/>
      <c r="B308" s="167" t="s">
        <v>31</v>
      </c>
      <c r="C308" s="163">
        <v>0.0</v>
      </c>
      <c r="D308" s="164"/>
      <c r="E308" s="159">
        <f t="shared" si="1"/>
        <v>0</v>
      </c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</row>
    <row r="309">
      <c r="A309" s="36"/>
      <c r="B309" s="167" t="s">
        <v>32</v>
      </c>
      <c r="C309" s="163">
        <v>4.0</v>
      </c>
      <c r="D309" s="164"/>
      <c r="E309" s="159">
        <f t="shared" si="1"/>
        <v>4</v>
      </c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</row>
    <row r="310">
      <c r="A310" s="36"/>
      <c r="B310" s="167" t="s">
        <v>33</v>
      </c>
      <c r="C310" s="163">
        <v>1.0</v>
      </c>
      <c r="D310" s="164"/>
      <c r="E310" s="159">
        <f t="shared" si="1"/>
        <v>1</v>
      </c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</row>
    <row r="311">
      <c r="A311" s="91"/>
      <c r="B311" s="167" t="s">
        <v>34</v>
      </c>
      <c r="C311" s="163">
        <v>1.0</v>
      </c>
      <c r="D311" s="164"/>
      <c r="E311" s="159">
        <f t="shared" si="1"/>
        <v>1</v>
      </c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</row>
    <row r="312">
      <c r="A312" s="155">
        <v>46178.0</v>
      </c>
      <c r="B312" s="156" t="s">
        <v>4</v>
      </c>
      <c r="C312" s="157">
        <v>0.0</v>
      </c>
      <c r="D312" s="158"/>
      <c r="E312" s="159">
        <f t="shared" si="1"/>
        <v>0</v>
      </c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</row>
    <row r="313">
      <c r="A313" s="36"/>
      <c r="B313" s="156" t="s">
        <v>5</v>
      </c>
      <c r="C313" s="157">
        <v>0.0</v>
      </c>
      <c r="D313" s="158"/>
      <c r="E313" s="159">
        <f t="shared" si="1"/>
        <v>0</v>
      </c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</row>
    <row r="314">
      <c r="A314" s="36"/>
      <c r="B314" s="156" t="s">
        <v>6</v>
      </c>
      <c r="C314" s="157">
        <v>0.0</v>
      </c>
      <c r="D314" s="158"/>
      <c r="E314" s="159">
        <f t="shared" si="1"/>
        <v>0</v>
      </c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</row>
    <row r="315">
      <c r="A315" s="36"/>
      <c r="B315" s="156" t="s">
        <v>22</v>
      </c>
      <c r="C315" s="157">
        <v>0.0</v>
      </c>
      <c r="D315" s="158"/>
      <c r="E315" s="159">
        <f t="shared" si="1"/>
        <v>0</v>
      </c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</row>
    <row r="316">
      <c r="A316" s="36"/>
      <c r="B316" s="156" t="s">
        <v>7</v>
      </c>
      <c r="C316" s="157">
        <v>0.0</v>
      </c>
      <c r="D316" s="158"/>
      <c r="E316" s="159">
        <f t="shared" si="1"/>
        <v>0</v>
      </c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</row>
    <row r="317">
      <c r="A317" s="36"/>
      <c r="B317" s="162" t="s">
        <v>8</v>
      </c>
      <c r="C317" s="157">
        <v>17.0</v>
      </c>
      <c r="D317" s="158"/>
      <c r="E317" s="159">
        <f t="shared" si="1"/>
        <v>17</v>
      </c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</row>
    <row r="318">
      <c r="A318" s="36"/>
      <c r="B318" s="156" t="s">
        <v>9</v>
      </c>
      <c r="C318" s="157">
        <v>0.0</v>
      </c>
      <c r="D318" s="158"/>
      <c r="E318" s="159">
        <f t="shared" si="1"/>
        <v>0</v>
      </c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</row>
    <row r="319">
      <c r="A319" s="36"/>
      <c r="B319" s="156" t="s">
        <v>10</v>
      </c>
      <c r="C319" s="157">
        <v>8.0</v>
      </c>
      <c r="D319" s="158"/>
      <c r="E319" s="159">
        <f t="shared" si="1"/>
        <v>8</v>
      </c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</row>
    <row r="320">
      <c r="A320" s="36"/>
      <c r="B320" s="156" t="s">
        <v>11</v>
      </c>
      <c r="C320" s="157">
        <v>0.0</v>
      </c>
      <c r="D320" s="158"/>
      <c r="E320" s="159">
        <f t="shared" si="1"/>
        <v>0</v>
      </c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</row>
    <row r="321">
      <c r="A321" s="36"/>
      <c r="B321" s="162" t="s">
        <v>12</v>
      </c>
      <c r="C321" s="157">
        <v>21.0</v>
      </c>
      <c r="D321" s="158"/>
      <c r="E321" s="159">
        <f t="shared" si="1"/>
        <v>21</v>
      </c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</row>
    <row r="322">
      <c r="A322" s="36"/>
      <c r="B322" s="162" t="s">
        <v>13</v>
      </c>
      <c r="C322" s="157">
        <v>1.0</v>
      </c>
      <c r="D322" s="158"/>
      <c r="E322" s="159">
        <f t="shared" si="1"/>
        <v>1</v>
      </c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</row>
    <row r="323">
      <c r="A323" s="36"/>
      <c r="B323" s="162" t="s">
        <v>14</v>
      </c>
      <c r="C323" s="157">
        <v>0.0</v>
      </c>
      <c r="D323" s="158"/>
      <c r="E323" s="159">
        <f t="shared" si="1"/>
        <v>0</v>
      </c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</row>
    <row r="324">
      <c r="A324" s="36"/>
      <c r="B324" s="162" t="s">
        <v>15</v>
      </c>
      <c r="C324" s="157">
        <v>2.0</v>
      </c>
      <c r="D324" s="158"/>
      <c r="E324" s="159">
        <f t="shared" si="1"/>
        <v>2</v>
      </c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</row>
    <row r="325">
      <c r="A325" s="36"/>
      <c r="B325" s="162" t="s">
        <v>16</v>
      </c>
      <c r="C325" s="157">
        <v>0.0</v>
      </c>
      <c r="D325" s="158"/>
      <c r="E325" s="159">
        <f t="shared" si="1"/>
        <v>0</v>
      </c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</row>
    <row r="326">
      <c r="A326" s="36"/>
      <c r="B326" s="162" t="s">
        <v>17</v>
      </c>
      <c r="C326" s="157">
        <v>0.0</v>
      </c>
      <c r="D326" s="158"/>
      <c r="E326" s="159">
        <f t="shared" si="1"/>
        <v>0</v>
      </c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</row>
    <row r="327">
      <c r="A327" s="36"/>
      <c r="B327" s="156" t="s">
        <v>18</v>
      </c>
      <c r="C327" s="157">
        <v>0.0</v>
      </c>
      <c r="D327" s="158"/>
      <c r="E327" s="159">
        <f t="shared" si="1"/>
        <v>0</v>
      </c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</row>
    <row r="328">
      <c r="A328" s="36"/>
      <c r="B328" s="156" t="s">
        <v>19</v>
      </c>
      <c r="C328" s="157">
        <v>11.0</v>
      </c>
      <c r="D328" s="158"/>
      <c r="E328" s="159">
        <f t="shared" si="1"/>
        <v>11</v>
      </c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</row>
    <row r="329">
      <c r="A329" s="36"/>
      <c r="B329" s="156" t="s">
        <v>20</v>
      </c>
      <c r="C329" s="157">
        <v>0.0</v>
      </c>
      <c r="D329" s="158"/>
      <c r="E329" s="159">
        <f t="shared" si="1"/>
        <v>0</v>
      </c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</row>
    <row r="330">
      <c r="A330" s="36"/>
      <c r="B330" s="156" t="s">
        <v>21</v>
      </c>
      <c r="C330" s="157">
        <v>0.0</v>
      </c>
      <c r="D330" s="158"/>
      <c r="E330" s="159">
        <f t="shared" si="1"/>
        <v>0</v>
      </c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</row>
    <row r="331">
      <c r="A331" s="36"/>
      <c r="B331" s="156" t="s">
        <v>23</v>
      </c>
      <c r="C331" s="157">
        <v>0.0</v>
      </c>
      <c r="D331" s="158"/>
      <c r="E331" s="159">
        <f t="shared" si="1"/>
        <v>0</v>
      </c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</row>
    <row r="332">
      <c r="A332" s="36"/>
      <c r="B332" s="156" t="s">
        <v>24</v>
      </c>
      <c r="C332" s="157">
        <v>17.0</v>
      </c>
      <c r="D332" s="158"/>
      <c r="E332" s="159">
        <f t="shared" si="1"/>
        <v>17</v>
      </c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</row>
    <row r="333">
      <c r="A333" s="36"/>
      <c r="B333" s="156" t="s">
        <v>25</v>
      </c>
      <c r="C333" s="163">
        <v>20.0</v>
      </c>
      <c r="D333" s="164"/>
      <c r="E333" s="159">
        <f t="shared" si="1"/>
        <v>20</v>
      </c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</row>
    <row r="334">
      <c r="A334" s="36"/>
      <c r="B334" s="156" t="s">
        <v>26</v>
      </c>
      <c r="C334" s="163">
        <v>20.0</v>
      </c>
      <c r="D334" s="164"/>
      <c r="E334" s="159">
        <f t="shared" si="1"/>
        <v>20</v>
      </c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</row>
    <row r="335">
      <c r="A335" s="36"/>
      <c r="B335" s="156" t="s">
        <v>27</v>
      </c>
      <c r="C335" s="163">
        <v>30.0</v>
      </c>
      <c r="D335" s="164"/>
      <c r="E335" s="159">
        <f t="shared" si="1"/>
        <v>30</v>
      </c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</row>
    <row r="336">
      <c r="A336" s="36"/>
      <c r="B336" s="156" t="s">
        <v>28</v>
      </c>
      <c r="C336" s="163">
        <v>0.0</v>
      </c>
      <c r="D336" s="164"/>
      <c r="E336" s="159">
        <f t="shared" si="1"/>
        <v>0</v>
      </c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</row>
    <row r="337">
      <c r="A337" s="36"/>
      <c r="B337" s="165" t="s">
        <v>29</v>
      </c>
      <c r="C337" s="163">
        <v>0.0</v>
      </c>
      <c r="D337" s="164"/>
      <c r="E337" s="159">
        <f t="shared" si="1"/>
        <v>0</v>
      </c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</row>
    <row r="338">
      <c r="A338" s="36"/>
      <c r="B338" s="166" t="s">
        <v>30</v>
      </c>
      <c r="C338" s="163">
        <v>0.0</v>
      </c>
      <c r="D338" s="164"/>
      <c r="E338" s="159">
        <f t="shared" si="1"/>
        <v>0</v>
      </c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</row>
    <row r="339">
      <c r="A339" s="36"/>
      <c r="B339" s="167" t="s">
        <v>31</v>
      </c>
      <c r="C339" s="163">
        <v>0.0</v>
      </c>
      <c r="D339" s="164"/>
      <c r="E339" s="159">
        <f t="shared" si="1"/>
        <v>0</v>
      </c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</row>
    <row r="340">
      <c r="A340" s="36"/>
      <c r="B340" s="167" t="s">
        <v>32</v>
      </c>
      <c r="C340" s="163">
        <v>2.0</v>
      </c>
      <c r="D340" s="164"/>
      <c r="E340" s="159">
        <f t="shared" si="1"/>
        <v>2</v>
      </c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</row>
    <row r="341">
      <c r="A341" s="36"/>
      <c r="B341" s="167" t="s">
        <v>33</v>
      </c>
      <c r="C341" s="163">
        <v>1.0</v>
      </c>
      <c r="D341" s="164"/>
      <c r="E341" s="159">
        <f t="shared" si="1"/>
        <v>1</v>
      </c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</row>
    <row r="342">
      <c r="A342" s="91"/>
      <c r="B342" s="167" t="s">
        <v>34</v>
      </c>
      <c r="C342" s="163">
        <v>0.0</v>
      </c>
      <c r="D342" s="164"/>
      <c r="E342" s="159">
        <f t="shared" si="1"/>
        <v>0</v>
      </c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</row>
    <row r="343">
      <c r="A343" s="155">
        <v>46179.0</v>
      </c>
      <c r="B343" s="156" t="s">
        <v>4</v>
      </c>
      <c r="C343" s="157">
        <v>0.0</v>
      </c>
      <c r="D343" s="158"/>
      <c r="E343" s="159">
        <f t="shared" si="1"/>
        <v>0</v>
      </c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</row>
    <row r="344">
      <c r="A344" s="36"/>
      <c r="B344" s="156" t="s">
        <v>5</v>
      </c>
      <c r="C344" s="157">
        <v>0.0</v>
      </c>
      <c r="D344" s="158"/>
      <c r="E344" s="159">
        <f t="shared" si="1"/>
        <v>0</v>
      </c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</row>
    <row r="345">
      <c r="A345" s="36"/>
      <c r="B345" s="156" t="s">
        <v>6</v>
      </c>
      <c r="C345" s="157">
        <v>2.0</v>
      </c>
      <c r="D345" s="158"/>
      <c r="E345" s="159">
        <f t="shared" si="1"/>
        <v>2</v>
      </c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</row>
    <row r="346">
      <c r="A346" s="36"/>
      <c r="B346" s="156" t="s">
        <v>22</v>
      </c>
      <c r="C346" s="157">
        <v>0.0</v>
      </c>
      <c r="D346" s="158"/>
      <c r="E346" s="159">
        <f t="shared" si="1"/>
        <v>0</v>
      </c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</row>
    <row r="347">
      <c r="A347" s="36"/>
      <c r="B347" s="156" t="s">
        <v>7</v>
      </c>
      <c r="C347" s="157">
        <v>0.0</v>
      </c>
      <c r="D347" s="158"/>
      <c r="E347" s="159">
        <f t="shared" si="1"/>
        <v>0</v>
      </c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</row>
    <row r="348">
      <c r="A348" s="36"/>
      <c r="B348" s="162" t="s">
        <v>8</v>
      </c>
      <c r="C348" s="157">
        <v>17.0</v>
      </c>
      <c r="D348" s="158"/>
      <c r="E348" s="159">
        <f t="shared" si="1"/>
        <v>17</v>
      </c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</row>
    <row r="349">
      <c r="A349" s="36"/>
      <c r="B349" s="156" t="s">
        <v>9</v>
      </c>
      <c r="C349" s="157">
        <v>1.0</v>
      </c>
      <c r="D349" s="158"/>
      <c r="E349" s="159">
        <f t="shared" si="1"/>
        <v>1</v>
      </c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</row>
    <row r="350">
      <c r="A350" s="36"/>
      <c r="B350" s="156" t="s">
        <v>10</v>
      </c>
      <c r="C350" s="157">
        <v>3.0</v>
      </c>
      <c r="D350" s="158"/>
      <c r="E350" s="159">
        <f t="shared" si="1"/>
        <v>3</v>
      </c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</row>
    <row r="351">
      <c r="A351" s="36"/>
      <c r="B351" s="156" t="s">
        <v>11</v>
      </c>
      <c r="C351" s="157">
        <v>1.0</v>
      </c>
      <c r="D351" s="158"/>
      <c r="E351" s="159">
        <f t="shared" si="1"/>
        <v>1</v>
      </c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</row>
    <row r="352">
      <c r="A352" s="36"/>
      <c r="B352" s="162" t="s">
        <v>12</v>
      </c>
      <c r="C352" s="157">
        <v>21.0</v>
      </c>
      <c r="D352" s="158"/>
      <c r="E352" s="159">
        <f t="shared" si="1"/>
        <v>21</v>
      </c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</row>
    <row r="353">
      <c r="A353" s="36"/>
      <c r="B353" s="162" t="s">
        <v>13</v>
      </c>
      <c r="C353" s="157">
        <v>0.0</v>
      </c>
      <c r="D353" s="158"/>
      <c r="E353" s="159">
        <f t="shared" si="1"/>
        <v>0</v>
      </c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</row>
    <row r="354">
      <c r="A354" s="36"/>
      <c r="B354" s="162" t="s">
        <v>14</v>
      </c>
      <c r="C354" s="157">
        <v>1.0</v>
      </c>
      <c r="D354" s="158"/>
      <c r="E354" s="159">
        <f t="shared" si="1"/>
        <v>1</v>
      </c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</row>
    <row r="355">
      <c r="A355" s="36"/>
      <c r="B355" s="162" t="s">
        <v>15</v>
      </c>
      <c r="C355" s="157">
        <v>0.0</v>
      </c>
      <c r="D355" s="158"/>
      <c r="E355" s="159">
        <f t="shared" si="1"/>
        <v>0</v>
      </c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</row>
    <row r="356">
      <c r="A356" s="36"/>
      <c r="B356" s="162" t="s">
        <v>16</v>
      </c>
      <c r="C356" s="157">
        <v>3.0</v>
      </c>
      <c r="D356" s="158"/>
      <c r="E356" s="159">
        <f t="shared" si="1"/>
        <v>3</v>
      </c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</row>
    <row r="357">
      <c r="A357" s="36"/>
      <c r="B357" s="162" t="s">
        <v>17</v>
      </c>
      <c r="C357" s="157">
        <v>2.0</v>
      </c>
      <c r="D357" s="158"/>
      <c r="E357" s="159">
        <f t="shared" si="1"/>
        <v>2</v>
      </c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</row>
    <row r="358">
      <c r="A358" s="36"/>
      <c r="B358" s="156" t="s">
        <v>18</v>
      </c>
      <c r="C358" s="157">
        <v>1.0</v>
      </c>
      <c r="D358" s="158"/>
      <c r="E358" s="159">
        <f t="shared" si="1"/>
        <v>1</v>
      </c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</row>
    <row r="359">
      <c r="A359" s="36"/>
      <c r="B359" s="156" t="s">
        <v>19</v>
      </c>
      <c r="C359" s="157">
        <v>10.0</v>
      </c>
      <c r="D359" s="158"/>
      <c r="E359" s="159">
        <f t="shared" si="1"/>
        <v>10</v>
      </c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</row>
    <row r="360">
      <c r="A360" s="36"/>
      <c r="B360" s="156" t="s">
        <v>20</v>
      </c>
      <c r="C360" s="157">
        <v>0.0</v>
      </c>
      <c r="D360" s="158"/>
      <c r="E360" s="159">
        <f t="shared" si="1"/>
        <v>0</v>
      </c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</row>
    <row r="361">
      <c r="A361" s="36"/>
      <c r="B361" s="156" t="s">
        <v>21</v>
      </c>
      <c r="C361" s="157">
        <v>4.0</v>
      </c>
      <c r="D361" s="158"/>
      <c r="E361" s="159">
        <f t="shared" si="1"/>
        <v>4</v>
      </c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</row>
    <row r="362">
      <c r="A362" s="36"/>
      <c r="B362" s="156" t="s">
        <v>23</v>
      </c>
      <c r="C362" s="157">
        <v>0.0</v>
      </c>
      <c r="D362" s="158"/>
      <c r="E362" s="159">
        <f t="shared" si="1"/>
        <v>0</v>
      </c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</row>
    <row r="363">
      <c r="A363" s="36"/>
      <c r="B363" s="156" t="s">
        <v>24</v>
      </c>
      <c r="C363" s="157">
        <v>14.0</v>
      </c>
      <c r="D363" s="158"/>
      <c r="E363" s="159">
        <f t="shared" si="1"/>
        <v>14</v>
      </c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</row>
    <row r="364">
      <c r="A364" s="36"/>
      <c r="B364" s="156" t="s">
        <v>25</v>
      </c>
      <c r="C364" s="163">
        <v>15.0</v>
      </c>
      <c r="D364" s="164"/>
      <c r="E364" s="159">
        <f t="shared" si="1"/>
        <v>15</v>
      </c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</row>
    <row r="365">
      <c r="A365" s="36"/>
      <c r="B365" s="156" t="s">
        <v>26</v>
      </c>
      <c r="C365" s="163">
        <v>14.0</v>
      </c>
      <c r="D365" s="164"/>
      <c r="E365" s="159">
        <f t="shared" si="1"/>
        <v>14</v>
      </c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</row>
    <row r="366">
      <c r="A366" s="36"/>
      <c r="B366" s="156" t="s">
        <v>27</v>
      </c>
      <c r="C366" s="163">
        <v>31.0</v>
      </c>
      <c r="D366" s="164"/>
      <c r="E366" s="159">
        <f t="shared" si="1"/>
        <v>31</v>
      </c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</row>
    <row r="367">
      <c r="A367" s="36"/>
      <c r="B367" s="156" t="s">
        <v>28</v>
      </c>
      <c r="C367" s="163">
        <v>0.0</v>
      </c>
      <c r="D367" s="164"/>
      <c r="E367" s="159">
        <f t="shared" si="1"/>
        <v>0</v>
      </c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</row>
    <row r="368">
      <c r="A368" s="36"/>
      <c r="B368" s="165" t="s">
        <v>29</v>
      </c>
      <c r="C368" s="163">
        <v>0.0</v>
      </c>
      <c r="D368" s="164"/>
      <c r="E368" s="159">
        <f t="shared" si="1"/>
        <v>0</v>
      </c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</row>
    <row r="369">
      <c r="A369" s="36"/>
      <c r="B369" s="166" t="s">
        <v>30</v>
      </c>
      <c r="C369" s="163">
        <v>1.0</v>
      </c>
      <c r="D369" s="164"/>
      <c r="E369" s="159">
        <f t="shared" si="1"/>
        <v>1</v>
      </c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</row>
    <row r="370">
      <c r="A370" s="36"/>
      <c r="B370" s="167" t="s">
        <v>31</v>
      </c>
      <c r="C370" s="163">
        <v>0.0</v>
      </c>
      <c r="D370" s="164"/>
      <c r="E370" s="159">
        <f t="shared" si="1"/>
        <v>0</v>
      </c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</row>
    <row r="371">
      <c r="A371" s="36"/>
      <c r="B371" s="167" t="s">
        <v>32</v>
      </c>
      <c r="C371" s="163">
        <v>2.0</v>
      </c>
      <c r="D371" s="164"/>
      <c r="E371" s="159">
        <f t="shared" si="1"/>
        <v>2</v>
      </c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</row>
    <row r="372">
      <c r="A372" s="36"/>
      <c r="B372" s="167" t="s">
        <v>33</v>
      </c>
      <c r="C372" s="163">
        <v>1.0</v>
      </c>
      <c r="D372" s="164"/>
      <c r="E372" s="159">
        <f t="shared" si="1"/>
        <v>1</v>
      </c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</row>
    <row r="373">
      <c r="A373" s="91"/>
      <c r="B373" s="167" t="s">
        <v>34</v>
      </c>
      <c r="C373" s="163">
        <v>0.0</v>
      </c>
      <c r="D373" s="164"/>
      <c r="E373" s="159">
        <f t="shared" si="1"/>
        <v>0</v>
      </c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</row>
    <row r="374">
      <c r="A374" s="155">
        <v>46180.0</v>
      </c>
      <c r="B374" s="156" t="s">
        <v>4</v>
      </c>
      <c r="C374" s="157">
        <v>0.0</v>
      </c>
      <c r="D374" s="158"/>
      <c r="E374" s="159">
        <f t="shared" si="1"/>
        <v>0</v>
      </c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</row>
    <row r="375">
      <c r="A375" s="36"/>
      <c r="B375" s="156" t="s">
        <v>5</v>
      </c>
      <c r="C375" s="157">
        <v>0.0</v>
      </c>
      <c r="D375" s="158"/>
      <c r="E375" s="159">
        <f t="shared" si="1"/>
        <v>0</v>
      </c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</row>
    <row r="376">
      <c r="A376" s="36"/>
      <c r="B376" s="156" t="s">
        <v>6</v>
      </c>
      <c r="C376" s="157">
        <v>1.0</v>
      </c>
      <c r="D376" s="158"/>
      <c r="E376" s="159">
        <f t="shared" si="1"/>
        <v>1</v>
      </c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</row>
    <row r="377">
      <c r="A377" s="36"/>
      <c r="B377" s="156" t="s">
        <v>22</v>
      </c>
      <c r="C377" s="157">
        <v>0.0</v>
      </c>
      <c r="D377" s="158"/>
      <c r="E377" s="159">
        <f t="shared" si="1"/>
        <v>0</v>
      </c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</row>
    <row r="378">
      <c r="A378" s="36"/>
      <c r="B378" s="156" t="s">
        <v>7</v>
      </c>
      <c r="C378" s="157">
        <v>0.0</v>
      </c>
      <c r="D378" s="158"/>
      <c r="E378" s="159">
        <f t="shared" si="1"/>
        <v>0</v>
      </c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</row>
    <row r="379">
      <c r="A379" s="36"/>
      <c r="B379" s="162" t="s">
        <v>8</v>
      </c>
      <c r="C379" s="157">
        <v>14.0</v>
      </c>
      <c r="D379" s="158"/>
      <c r="E379" s="159">
        <f t="shared" si="1"/>
        <v>14</v>
      </c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</row>
    <row r="380">
      <c r="A380" s="36"/>
      <c r="B380" s="156" t="s">
        <v>9</v>
      </c>
      <c r="C380" s="157">
        <v>5.0</v>
      </c>
      <c r="D380" s="158"/>
      <c r="E380" s="159">
        <f t="shared" si="1"/>
        <v>5</v>
      </c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</row>
    <row r="381">
      <c r="A381" s="36"/>
      <c r="B381" s="156" t="s">
        <v>10</v>
      </c>
      <c r="C381" s="157">
        <v>6.0</v>
      </c>
      <c r="D381" s="158"/>
      <c r="E381" s="159">
        <f t="shared" si="1"/>
        <v>6</v>
      </c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</row>
    <row r="382">
      <c r="A382" s="36"/>
      <c r="B382" s="156" t="s">
        <v>11</v>
      </c>
      <c r="C382" s="157">
        <v>1.0</v>
      </c>
      <c r="D382" s="158"/>
      <c r="E382" s="159">
        <f t="shared" si="1"/>
        <v>1</v>
      </c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</row>
    <row r="383">
      <c r="A383" s="36"/>
      <c r="B383" s="162" t="s">
        <v>12</v>
      </c>
      <c r="C383" s="157">
        <v>12.0</v>
      </c>
      <c r="D383" s="158"/>
      <c r="E383" s="159">
        <f t="shared" si="1"/>
        <v>12</v>
      </c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</row>
    <row r="384">
      <c r="A384" s="36"/>
      <c r="B384" s="162" t="s">
        <v>13</v>
      </c>
      <c r="C384" s="157">
        <v>0.0</v>
      </c>
      <c r="D384" s="158"/>
      <c r="E384" s="159">
        <f t="shared" si="1"/>
        <v>0</v>
      </c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</row>
    <row r="385">
      <c r="A385" s="36"/>
      <c r="B385" s="162" t="s">
        <v>14</v>
      </c>
      <c r="C385" s="157">
        <v>0.0</v>
      </c>
      <c r="D385" s="158"/>
      <c r="E385" s="159">
        <f t="shared" si="1"/>
        <v>0</v>
      </c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</row>
    <row r="386">
      <c r="A386" s="36"/>
      <c r="B386" s="162" t="s">
        <v>15</v>
      </c>
      <c r="C386" s="157">
        <v>0.0</v>
      </c>
      <c r="D386" s="158"/>
      <c r="E386" s="159">
        <f t="shared" si="1"/>
        <v>0</v>
      </c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</row>
    <row r="387">
      <c r="A387" s="36"/>
      <c r="B387" s="162" t="s">
        <v>16</v>
      </c>
      <c r="C387" s="157">
        <v>1.0</v>
      </c>
      <c r="D387" s="158"/>
      <c r="E387" s="159">
        <f t="shared" si="1"/>
        <v>1</v>
      </c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</row>
    <row r="388">
      <c r="A388" s="36"/>
      <c r="B388" s="162" t="s">
        <v>17</v>
      </c>
      <c r="C388" s="157">
        <v>0.0</v>
      </c>
      <c r="D388" s="158"/>
      <c r="E388" s="159">
        <f t="shared" si="1"/>
        <v>0</v>
      </c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</row>
    <row r="389">
      <c r="A389" s="36"/>
      <c r="B389" s="156" t="s">
        <v>18</v>
      </c>
      <c r="C389" s="157">
        <v>0.0</v>
      </c>
      <c r="D389" s="158"/>
      <c r="E389" s="159">
        <f t="shared" si="1"/>
        <v>0</v>
      </c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</row>
    <row r="390">
      <c r="A390" s="36"/>
      <c r="B390" s="156" t="s">
        <v>19</v>
      </c>
      <c r="C390" s="157">
        <v>5.0</v>
      </c>
      <c r="D390" s="158"/>
      <c r="E390" s="159">
        <f t="shared" si="1"/>
        <v>5</v>
      </c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</row>
    <row r="391">
      <c r="A391" s="36"/>
      <c r="B391" s="156" t="s">
        <v>20</v>
      </c>
      <c r="C391" s="157">
        <v>0.0</v>
      </c>
      <c r="D391" s="158"/>
      <c r="E391" s="159">
        <f t="shared" si="1"/>
        <v>0</v>
      </c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</row>
    <row r="392">
      <c r="A392" s="36"/>
      <c r="B392" s="156" t="s">
        <v>21</v>
      </c>
      <c r="C392" s="157">
        <v>0.0</v>
      </c>
      <c r="D392" s="158"/>
      <c r="E392" s="159">
        <f t="shared" si="1"/>
        <v>0</v>
      </c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</row>
    <row r="393">
      <c r="A393" s="36"/>
      <c r="B393" s="156" t="s">
        <v>23</v>
      </c>
      <c r="C393" s="157">
        <v>0.0</v>
      </c>
      <c r="D393" s="158"/>
      <c r="E393" s="159">
        <f t="shared" si="1"/>
        <v>0</v>
      </c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</row>
    <row r="394">
      <c r="A394" s="36"/>
      <c r="B394" s="156" t="s">
        <v>24</v>
      </c>
      <c r="C394" s="157">
        <v>12.0</v>
      </c>
      <c r="D394" s="158"/>
      <c r="E394" s="159">
        <f t="shared" si="1"/>
        <v>12</v>
      </c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</row>
    <row r="395">
      <c r="A395" s="36"/>
      <c r="B395" s="156" t="s">
        <v>25</v>
      </c>
      <c r="C395" s="163">
        <v>15.0</v>
      </c>
      <c r="D395" s="164"/>
      <c r="E395" s="159">
        <f t="shared" si="1"/>
        <v>15</v>
      </c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</row>
    <row r="396">
      <c r="A396" s="36"/>
      <c r="B396" s="156" t="s">
        <v>26</v>
      </c>
      <c r="C396" s="163">
        <v>21.0</v>
      </c>
      <c r="D396" s="164"/>
      <c r="E396" s="159">
        <f t="shared" si="1"/>
        <v>21</v>
      </c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</row>
    <row r="397">
      <c r="A397" s="36"/>
      <c r="B397" s="156" t="s">
        <v>27</v>
      </c>
      <c r="C397" s="163">
        <v>27.0</v>
      </c>
      <c r="D397" s="164"/>
      <c r="E397" s="159">
        <f t="shared" si="1"/>
        <v>27</v>
      </c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</row>
    <row r="398">
      <c r="A398" s="36"/>
      <c r="B398" s="156" t="s">
        <v>28</v>
      </c>
      <c r="C398" s="163">
        <v>0.0</v>
      </c>
      <c r="D398" s="164"/>
      <c r="E398" s="159">
        <f t="shared" si="1"/>
        <v>0</v>
      </c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</row>
    <row r="399">
      <c r="A399" s="36"/>
      <c r="B399" s="165" t="s">
        <v>29</v>
      </c>
      <c r="C399" s="163">
        <v>0.0</v>
      </c>
      <c r="D399" s="164"/>
      <c r="E399" s="159">
        <f t="shared" si="1"/>
        <v>0</v>
      </c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</row>
    <row r="400">
      <c r="A400" s="36"/>
      <c r="B400" s="166" t="s">
        <v>30</v>
      </c>
      <c r="C400" s="163">
        <v>0.0</v>
      </c>
      <c r="D400" s="164"/>
      <c r="E400" s="159">
        <f t="shared" si="1"/>
        <v>0</v>
      </c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</row>
    <row r="401">
      <c r="A401" s="36"/>
      <c r="B401" s="167" t="s">
        <v>31</v>
      </c>
      <c r="C401" s="163">
        <v>1.0</v>
      </c>
      <c r="D401" s="164"/>
      <c r="E401" s="159">
        <f t="shared" si="1"/>
        <v>1</v>
      </c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</row>
    <row r="402">
      <c r="A402" s="36"/>
      <c r="B402" s="167" t="s">
        <v>32</v>
      </c>
      <c r="C402" s="163">
        <v>3.0</v>
      </c>
      <c r="D402" s="164"/>
      <c r="E402" s="159">
        <f t="shared" si="1"/>
        <v>3</v>
      </c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</row>
    <row r="403">
      <c r="A403" s="36"/>
      <c r="B403" s="167" t="s">
        <v>33</v>
      </c>
      <c r="C403" s="163">
        <v>1.0</v>
      </c>
      <c r="D403" s="164"/>
      <c r="E403" s="159">
        <f t="shared" si="1"/>
        <v>1</v>
      </c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</row>
    <row r="404">
      <c r="A404" s="91"/>
      <c r="B404" s="167" t="s">
        <v>34</v>
      </c>
      <c r="C404" s="163">
        <v>0.0</v>
      </c>
      <c r="D404" s="164"/>
      <c r="E404" s="159">
        <f t="shared" si="1"/>
        <v>0</v>
      </c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</row>
    <row r="405">
      <c r="A405" s="155">
        <v>46181.0</v>
      </c>
      <c r="B405" s="156" t="s">
        <v>4</v>
      </c>
      <c r="C405" s="157">
        <v>0.0</v>
      </c>
      <c r="D405" s="158"/>
      <c r="E405" s="159">
        <f t="shared" si="1"/>
        <v>0</v>
      </c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</row>
    <row r="406">
      <c r="A406" s="36"/>
      <c r="B406" s="156" t="s">
        <v>5</v>
      </c>
      <c r="C406" s="157">
        <v>1.0</v>
      </c>
      <c r="D406" s="158"/>
      <c r="E406" s="159">
        <f t="shared" si="1"/>
        <v>1</v>
      </c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</row>
    <row r="407">
      <c r="A407" s="36"/>
      <c r="B407" s="156" t="s">
        <v>6</v>
      </c>
      <c r="C407" s="157">
        <v>1.0</v>
      </c>
      <c r="D407" s="158"/>
      <c r="E407" s="159">
        <f t="shared" si="1"/>
        <v>1</v>
      </c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</row>
    <row r="408">
      <c r="A408" s="36"/>
      <c r="B408" s="156" t="s">
        <v>22</v>
      </c>
      <c r="C408" s="157">
        <v>0.0</v>
      </c>
      <c r="D408" s="158"/>
      <c r="E408" s="159">
        <f t="shared" si="1"/>
        <v>0</v>
      </c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</row>
    <row r="409">
      <c r="A409" s="36"/>
      <c r="B409" s="156" t="s">
        <v>7</v>
      </c>
      <c r="C409" s="157">
        <v>1.0</v>
      </c>
      <c r="D409" s="158"/>
      <c r="E409" s="159">
        <f t="shared" si="1"/>
        <v>1</v>
      </c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</row>
    <row r="410">
      <c r="A410" s="36"/>
      <c r="B410" s="162" t="s">
        <v>8</v>
      </c>
      <c r="C410" s="157">
        <v>9.0</v>
      </c>
      <c r="D410" s="158"/>
      <c r="E410" s="159">
        <f t="shared" si="1"/>
        <v>9</v>
      </c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</row>
    <row r="411">
      <c r="A411" s="36"/>
      <c r="B411" s="156" t="s">
        <v>9</v>
      </c>
      <c r="C411" s="157">
        <v>2.0</v>
      </c>
      <c r="D411" s="158"/>
      <c r="E411" s="159">
        <f t="shared" si="1"/>
        <v>2</v>
      </c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</row>
    <row r="412">
      <c r="A412" s="36"/>
      <c r="B412" s="156" t="s">
        <v>10</v>
      </c>
      <c r="C412" s="157">
        <v>9.0</v>
      </c>
      <c r="D412" s="158"/>
      <c r="E412" s="159">
        <f t="shared" si="1"/>
        <v>9</v>
      </c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</row>
    <row r="413">
      <c r="A413" s="36"/>
      <c r="B413" s="156" t="s">
        <v>11</v>
      </c>
      <c r="C413" s="157">
        <v>1.0</v>
      </c>
      <c r="D413" s="158"/>
      <c r="E413" s="159">
        <f t="shared" si="1"/>
        <v>1</v>
      </c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</row>
    <row r="414">
      <c r="A414" s="36"/>
      <c r="B414" s="162" t="s">
        <v>12</v>
      </c>
      <c r="C414" s="157">
        <v>8.0</v>
      </c>
      <c r="D414" s="158"/>
      <c r="E414" s="159">
        <f t="shared" si="1"/>
        <v>8</v>
      </c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</row>
    <row r="415">
      <c r="A415" s="36"/>
      <c r="B415" s="162" t="s">
        <v>13</v>
      </c>
      <c r="C415" s="157">
        <v>0.0</v>
      </c>
      <c r="D415" s="158"/>
      <c r="E415" s="159">
        <f t="shared" si="1"/>
        <v>0</v>
      </c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</row>
    <row r="416">
      <c r="A416" s="36"/>
      <c r="B416" s="162" t="s">
        <v>14</v>
      </c>
      <c r="C416" s="157">
        <v>1.0</v>
      </c>
      <c r="D416" s="158"/>
      <c r="E416" s="159">
        <f t="shared" si="1"/>
        <v>1</v>
      </c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</row>
    <row r="417">
      <c r="A417" s="36"/>
      <c r="B417" s="162" t="s">
        <v>15</v>
      </c>
      <c r="C417" s="157">
        <v>1.0</v>
      </c>
      <c r="D417" s="158"/>
      <c r="E417" s="159">
        <f t="shared" si="1"/>
        <v>1</v>
      </c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</row>
    <row r="418">
      <c r="A418" s="36"/>
      <c r="B418" s="162" t="s">
        <v>16</v>
      </c>
      <c r="C418" s="157">
        <v>2.0</v>
      </c>
      <c r="D418" s="158"/>
      <c r="E418" s="159">
        <f t="shared" si="1"/>
        <v>2</v>
      </c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</row>
    <row r="419">
      <c r="A419" s="36"/>
      <c r="B419" s="162" t="s">
        <v>17</v>
      </c>
      <c r="C419" s="157">
        <v>2.0</v>
      </c>
      <c r="D419" s="158"/>
      <c r="E419" s="159">
        <f t="shared" si="1"/>
        <v>2</v>
      </c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</row>
    <row r="420">
      <c r="A420" s="36"/>
      <c r="B420" s="156" t="s">
        <v>18</v>
      </c>
      <c r="C420" s="157">
        <v>3.0</v>
      </c>
      <c r="D420" s="158"/>
      <c r="E420" s="159">
        <f t="shared" si="1"/>
        <v>3</v>
      </c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</row>
    <row r="421">
      <c r="A421" s="36"/>
      <c r="B421" s="156" t="s">
        <v>19</v>
      </c>
      <c r="C421" s="157">
        <v>5.0</v>
      </c>
      <c r="D421" s="158"/>
      <c r="E421" s="159">
        <f t="shared" si="1"/>
        <v>5</v>
      </c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</row>
    <row r="422">
      <c r="A422" s="36"/>
      <c r="B422" s="156" t="s">
        <v>20</v>
      </c>
      <c r="C422" s="157">
        <v>0.0</v>
      </c>
      <c r="D422" s="158"/>
      <c r="E422" s="159">
        <f t="shared" si="1"/>
        <v>0</v>
      </c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</row>
    <row r="423">
      <c r="A423" s="36"/>
      <c r="B423" s="156" t="s">
        <v>21</v>
      </c>
      <c r="C423" s="157">
        <v>0.0</v>
      </c>
      <c r="D423" s="158"/>
      <c r="E423" s="159">
        <f t="shared" si="1"/>
        <v>0</v>
      </c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</row>
    <row r="424">
      <c r="A424" s="36"/>
      <c r="B424" s="156" t="s">
        <v>23</v>
      </c>
      <c r="C424" s="157">
        <v>0.0</v>
      </c>
      <c r="D424" s="158"/>
      <c r="E424" s="159">
        <f t="shared" si="1"/>
        <v>0</v>
      </c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</row>
    <row r="425">
      <c r="A425" s="36"/>
      <c r="B425" s="156" t="s">
        <v>24</v>
      </c>
      <c r="C425" s="157">
        <v>17.0</v>
      </c>
      <c r="D425" s="158"/>
      <c r="E425" s="159">
        <f t="shared" si="1"/>
        <v>17</v>
      </c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</row>
    <row r="426">
      <c r="A426" s="36"/>
      <c r="B426" s="156" t="s">
        <v>25</v>
      </c>
      <c r="C426" s="163">
        <v>19.0</v>
      </c>
      <c r="D426" s="164"/>
      <c r="E426" s="159">
        <f t="shared" si="1"/>
        <v>19</v>
      </c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</row>
    <row r="427">
      <c r="A427" s="36"/>
      <c r="B427" s="156" t="s">
        <v>26</v>
      </c>
      <c r="C427" s="163">
        <v>23.0</v>
      </c>
      <c r="D427" s="164"/>
      <c r="E427" s="159">
        <f t="shared" si="1"/>
        <v>23</v>
      </c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</row>
    <row r="428">
      <c r="A428" s="36"/>
      <c r="B428" s="156" t="s">
        <v>27</v>
      </c>
      <c r="C428" s="163">
        <v>26.0</v>
      </c>
      <c r="D428" s="164"/>
      <c r="E428" s="159">
        <f t="shared" si="1"/>
        <v>26</v>
      </c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</row>
    <row r="429">
      <c r="A429" s="36"/>
      <c r="B429" s="156" t="s">
        <v>28</v>
      </c>
      <c r="C429" s="163">
        <v>0.0</v>
      </c>
      <c r="D429" s="164"/>
      <c r="E429" s="159">
        <f t="shared" si="1"/>
        <v>0</v>
      </c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</row>
    <row r="430">
      <c r="A430" s="36"/>
      <c r="B430" s="165" t="s">
        <v>29</v>
      </c>
      <c r="C430" s="163">
        <v>0.0</v>
      </c>
      <c r="D430" s="164"/>
      <c r="E430" s="159">
        <f t="shared" si="1"/>
        <v>0</v>
      </c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</row>
    <row r="431">
      <c r="A431" s="36"/>
      <c r="B431" s="166" t="s">
        <v>30</v>
      </c>
      <c r="C431" s="163">
        <v>3.0</v>
      </c>
      <c r="D431" s="164"/>
      <c r="E431" s="159">
        <f t="shared" si="1"/>
        <v>3</v>
      </c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</row>
    <row r="432">
      <c r="A432" s="36"/>
      <c r="B432" s="167" t="s">
        <v>31</v>
      </c>
      <c r="C432" s="163">
        <v>0.0</v>
      </c>
      <c r="D432" s="164"/>
      <c r="E432" s="159">
        <f t="shared" si="1"/>
        <v>0</v>
      </c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</row>
    <row r="433">
      <c r="A433" s="36"/>
      <c r="B433" s="167" t="s">
        <v>32</v>
      </c>
      <c r="C433" s="163">
        <v>9.0</v>
      </c>
      <c r="D433" s="164"/>
      <c r="E433" s="159">
        <f t="shared" si="1"/>
        <v>9</v>
      </c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</row>
    <row r="434">
      <c r="A434" s="36"/>
      <c r="B434" s="167" t="s">
        <v>33</v>
      </c>
      <c r="C434" s="163">
        <v>0.0</v>
      </c>
      <c r="D434" s="164"/>
      <c r="E434" s="159">
        <f t="shared" si="1"/>
        <v>0</v>
      </c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</row>
    <row r="435">
      <c r="A435" s="91"/>
      <c r="B435" s="167" t="s">
        <v>34</v>
      </c>
      <c r="C435" s="163">
        <v>0.0</v>
      </c>
      <c r="D435" s="164"/>
      <c r="E435" s="159">
        <f t="shared" si="1"/>
        <v>0</v>
      </c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</row>
    <row r="436">
      <c r="A436" s="155">
        <v>46182.0</v>
      </c>
      <c r="B436" s="156" t="s">
        <v>4</v>
      </c>
      <c r="C436" s="157">
        <v>2.0</v>
      </c>
      <c r="D436" s="158"/>
      <c r="E436" s="159">
        <f t="shared" si="1"/>
        <v>2</v>
      </c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</row>
    <row r="437">
      <c r="A437" s="36"/>
      <c r="B437" s="156" t="s">
        <v>5</v>
      </c>
      <c r="C437" s="157">
        <v>0.0</v>
      </c>
      <c r="D437" s="158"/>
      <c r="E437" s="159">
        <f t="shared" si="1"/>
        <v>0</v>
      </c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</row>
    <row r="438">
      <c r="A438" s="36"/>
      <c r="B438" s="156" t="s">
        <v>6</v>
      </c>
      <c r="C438" s="157">
        <v>0.0</v>
      </c>
      <c r="D438" s="158"/>
      <c r="E438" s="159">
        <f t="shared" si="1"/>
        <v>0</v>
      </c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</row>
    <row r="439">
      <c r="A439" s="36"/>
      <c r="B439" s="156" t="s">
        <v>22</v>
      </c>
      <c r="C439" s="157">
        <v>1.0</v>
      </c>
      <c r="D439" s="158"/>
      <c r="E439" s="159">
        <f t="shared" si="1"/>
        <v>1</v>
      </c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</row>
    <row r="440">
      <c r="A440" s="36"/>
      <c r="B440" s="156" t="s">
        <v>7</v>
      </c>
      <c r="C440" s="157">
        <v>1.0</v>
      </c>
      <c r="D440" s="158"/>
      <c r="E440" s="159">
        <f t="shared" si="1"/>
        <v>1</v>
      </c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</row>
    <row r="441">
      <c r="A441" s="36"/>
      <c r="B441" s="162" t="s">
        <v>8</v>
      </c>
      <c r="C441" s="157">
        <v>7.0</v>
      </c>
      <c r="D441" s="158"/>
      <c r="E441" s="159">
        <f t="shared" si="1"/>
        <v>7</v>
      </c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</row>
    <row r="442">
      <c r="A442" s="36"/>
      <c r="B442" s="156" t="s">
        <v>9</v>
      </c>
      <c r="C442" s="157">
        <v>1.0</v>
      </c>
      <c r="D442" s="158"/>
      <c r="E442" s="159">
        <f t="shared" si="1"/>
        <v>1</v>
      </c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</row>
    <row r="443">
      <c r="A443" s="36"/>
      <c r="B443" s="156" t="s">
        <v>10</v>
      </c>
      <c r="C443" s="157">
        <v>4.0</v>
      </c>
      <c r="D443" s="158"/>
      <c r="E443" s="159">
        <f t="shared" si="1"/>
        <v>4</v>
      </c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</row>
    <row r="444">
      <c r="A444" s="36"/>
      <c r="B444" s="156" t="s">
        <v>11</v>
      </c>
      <c r="C444" s="157">
        <v>3.0</v>
      </c>
      <c r="D444" s="158"/>
      <c r="E444" s="159">
        <f t="shared" si="1"/>
        <v>3</v>
      </c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</row>
    <row r="445">
      <c r="A445" s="36"/>
      <c r="B445" s="162" t="s">
        <v>12</v>
      </c>
      <c r="C445" s="157">
        <v>19.0</v>
      </c>
      <c r="D445" s="158"/>
      <c r="E445" s="159">
        <f t="shared" si="1"/>
        <v>19</v>
      </c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</row>
    <row r="446">
      <c r="A446" s="36"/>
      <c r="B446" s="162" t="s">
        <v>13</v>
      </c>
      <c r="C446" s="157">
        <v>0.0</v>
      </c>
      <c r="D446" s="158"/>
      <c r="E446" s="159">
        <f t="shared" si="1"/>
        <v>0</v>
      </c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</row>
    <row r="447">
      <c r="A447" s="36"/>
      <c r="B447" s="162" t="s">
        <v>14</v>
      </c>
      <c r="C447" s="157">
        <v>2.0</v>
      </c>
      <c r="D447" s="158"/>
      <c r="E447" s="159">
        <f t="shared" si="1"/>
        <v>2</v>
      </c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</row>
    <row r="448">
      <c r="A448" s="36"/>
      <c r="B448" s="162" t="s">
        <v>15</v>
      </c>
      <c r="C448" s="157">
        <v>2.0</v>
      </c>
      <c r="D448" s="158"/>
      <c r="E448" s="159">
        <f t="shared" si="1"/>
        <v>2</v>
      </c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</row>
    <row r="449">
      <c r="A449" s="36"/>
      <c r="B449" s="162" t="s">
        <v>16</v>
      </c>
      <c r="C449" s="157">
        <v>0.0</v>
      </c>
      <c r="D449" s="158"/>
      <c r="E449" s="159">
        <f t="shared" si="1"/>
        <v>0</v>
      </c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</row>
    <row r="450">
      <c r="A450" s="36"/>
      <c r="B450" s="162" t="s">
        <v>17</v>
      </c>
      <c r="C450" s="157">
        <v>0.0</v>
      </c>
      <c r="D450" s="158"/>
      <c r="E450" s="159">
        <f t="shared" si="1"/>
        <v>0</v>
      </c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</row>
    <row r="451">
      <c r="A451" s="36"/>
      <c r="B451" s="156" t="s">
        <v>18</v>
      </c>
      <c r="C451" s="157">
        <v>1.0</v>
      </c>
      <c r="D451" s="158"/>
      <c r="E451" s="159">
        <f t="shared" si="1"/>
        <v>1</v>
      </c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</row>
    <row r="452">
      <c r="A452" s="36"/>
      <c r="B452" s="156" t="s">
        <v>19</v>
      </c>
      <c r="C452" s="157">
        <v>7.0</v>
      </c>
      <c r="D452" s="158"/>
      <c r="E452" s="159">
        <f t="shared" si="1"/>
        <v>7</v>
      </c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</row>
    <row r="453">
      <c r="A453" s="36"/>
      <c r="B453" s="156" t="s">
        <v>20</v>
      </c>
      <c r="C453" s="157">
        <v>0.0</v>
      </c>
      <c r="D453" s="158"/>
      <c r="E453" s="159">
        <f t="shared" si="1"/>
        <v>0</v>
      </c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</row>
    <row r="454">
      <c r="A454" s="36"/>
      <c r="B454" s="156" t="s">
        <v>21</v>
      </c>
      <c r="C454" s="157">
        <v>3.0</v>
      </c>
      <c r="D454" s="158"/>
      <c r="E454" s="159">
        <f t="shared" si="1"/>
        <v>3</v>
      </c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</row>
    <row r="455">
      <c r="A455" s="36"/>
      <c r="B455" s="156" t="s">
        <v>23</v>
      </c>
      <c r="C455" s="157">
        <v>3.0</v>
      </c>
      <c r="D455" s="158"/>
      <c r="E455" s="159">
        <f t="shared" si="1"/>
        <v>3</v>
      </c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</row>
    <row r="456">
      <c r="A456" s="36"/>
      <c r="B456" s="156" t="s">
        <v>24</v>
      </c>
      <c r="C456" s="157">
        <v>21.0</v>
      </c>
      <c r="D456" s="158"/>
      <c r="E456" s="159">
        <f t="shared" si="1"/>
        <v>21</v>
      </c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</row>
    <row r="457">
      <c r="A457" s="36"/>
      <c r="B457" s="156" t="s">
        <v>25</v>
      </c>
      <c r="C457" s="163">
        <v>24.0</v>
      </c>
      <c r="D457" s="164"/>
      <c r="E457" s="159">
        <f t="shared" si="1"/>
        <v>24</v>
      </c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</row>
    <row r="458">
      <c r="A458" s="36"/>
      <c r="B458" s="156" t="s">
        <v>26</v>
      </c>
      <c r="C458" s="163">
        <v>26.0</v>
      </c>
      <c r="D458" s="164"/>
      <c r="E458" s="159">
        <f t="shared" si="1"/>
        <v>26</v>
      </c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</row>
    <row r="459">
      <c r="A459" s="36"/>
      <c r="B459" s="156" t="s">
        <v>27</v>
      </c>
      <c r="C459" s="163">
        <v>29.0</v>
      </c>
      <c r="D459" s="164"/>
      <c r="E459" s="159">
        <f t="shared" si="1"/>
        <v>29</v>
      </c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</row>
    <row r="460">
      <c r="A460" s="36"/>
      <c r="B460" s="156" t="s">
        <v>28</v>
      </c>
      <c r="C460" s="163">
        <v>0.0</v>
      </c>
      <c r="D460" s="164"/>
      <c r="E460" s="159">
        <f t="shared" si="1"/>
        <v>0</v>
      </c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</row>
    <row r="461">
      <c r="A461" s="36"/>
      <c r="B461" s="165" t="s">
        <v>29</v>
      </c>
      <c r="C461" s="163">
        <v>0.0</v>
      </c>
      <c r="D461" s="164"/>
      <c r="E461" s="159">
        <f t="shared" si="1"/>
        <v>0</v>
      </c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</row>
    <row r="462">
      <c r="A462" s="36"/>
      <c r="B462" s="166" t="s">
        <v>30</v>
      </c>
      <c r="C462" s="163">
        <v>3.0</v>
      </c>
      <c r="D462" s="164"/>
      <c r="E462" s="159">
        <f t="shared" si="1"/>
        <v>3</v>
      </c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</row>
    <row r="463">
      <c r="A463" s="36"/>
      <c r="B463" s="167" t="s">
        <v>31</v>
      </c>
      <c r="C463" s="163">
        <v>0.0</v>
      </c>
      <c r="D463" s="164"/>
      <c r="E463" s="159">
        <f t="shared" si="1"/>
        <v>0</v>
      </c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</row>
    <row r="464">
      <c r="A464" s="36"/>
      <c r="B464" s="167" t="s">
        <v>32</v>
      </c>
      <c r="C464" s="163">
        <v>2.0</v>
      </c>
      <c r="D464" s="164"/>
      <c r="E464" s="159">
        <f t="shared" si="1"/>
        <v>2</v>
      </c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</row>
    <row r="465">
      <c r="A465" s="36"/>
      <c r="B465" s="167" t="s">
        <v>33</v>
      </c>
      <c r="C465" s="163">
        <v>0.0</v>
      </c>
      <c r="D465" s="164"/>
      <c r="E465" s="159">
        <f t="shared" si="1"/>
        <v>0</v>
      </c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</row>
    <row r="466">
      <c r="A466" s="91"/>
      <c r="B466" s="167" t="s">
        <v>34</v>
      </c>
      <c r="C466" s="163">
        <v>0.0</v>
      </c>
      <c r="D466" s="164"/>
      <c r="E466" s="159">
        <f t="shared" si="1"/>
        <v>0</v>
      </c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</row>
    <row r="467">
      <c r="A467" s="155">
        <v>46183.0</v>
      </c>
      <c r="B467" s="156" t="s">
        <v>4</v>
      </c>
      <c r="C467" s="157">
        <v>0.0</v>
      </c>
      <c r="D467" s="158"/>
      <c r="E467" s="159">
        <f t="shared" si="1"/>
        <v>0</v>
      </c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</row>
    <row r="468">
      <c r="A468" s="36"/>
      <c r="B468" s="156" t="s">
        <v>5</v>
      </c>
      <c r="C468" s="157">
        <v>0.0</v>
      </c>
      <c r="D468" s="158"/>
      <c r="E468" s="159">
        <f t="shared" si="1"/>
        <v>0</v>
      </c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</row>
    <row r="469">
      <c r="A469" s="36"/>
      <c r="B469" s="156" t="s">
        <v>6</v>
      </c>
      <c r="C469" s="157">
        <v>0.0</v>
      </c>
      <c r="D469" s="158"/>
      <c r="E469" s="159">
        <f t="shared" si="1"/>
        <v>0</v>
      </c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</row>
    <row r="470">
      <c r="A470" s="36"/>
      <c r="B470" s="156" t="s">
        <v>22</v>
      </c>
      <c r="C470" s="157">
        <v>0.0</v>
      </c>
      <c r="D470" s="158"/>
      <c r="E470" s="159">
        <f t="shared" si="1"/>
        <v>0</v>
      </c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</row>
    <row r="471">
      <c r="A471" s="36"/>
      <c r="B471" s="156" t="s">
        <v>7</v>
      </c>
      <c r="C471" s="157">
        <v>1.0</v>
      </c>
      <c r="D471" s="158"/>
      <c r="E471" s="159">
        <f t="shared" si="1"/>
        <v>1</v>
      </c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</row>
    <row r="472">
      <c r="A472" s="36"/>
      <c r="B472" s="162" t="s">
        <v>8</v>
      </c>
      <c r="C472" s="157">
        <v>13.0</v>
      </c>
      <c r="D472" s="158"/>
      <c r="E472" s="159">
        <f t="shared" si="1"/>
        <v>13</v>
      </c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</row>
    <row r="473">
      <c r="A473" s="36"/>
      <c r="B473" s="156" t="s">
        <v>9</v>
      </c>
      <c r="C473" s="157">
        <v>3.0</v>
      </c>
      <c r="D473" s="158"/>
      <c r="E473" s="159">
        <f t="shared" si="1"/>
        <v>3</v>
      </c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</row>
    <row r="474">
      <c r="A474" s="36"/>
      <c r="B474" s="156" t="s">
        <v>10</v>
      </c>
      <c r="C474" s="157">
        <v>8.0</v>
      </c>
      <c r="D474" s="158"/>
      <c r="E474" s="159">
        <f t="shared" si="1"/>
        <v>8</v>
      </c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</row>
    <row r="475">
      <c r="A475" s="36"/>
      <c r="B475" s="156" t="s">
        <v>11</v>
      </c>
      <c r="C475" s="157">
        <v>1.0</v>
      </c>
      <c r="D475" s="158"/>
      <c r="E475" s="159">
        <f t="shared" si="1"/>
        <v>1</v>
      </c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</row>
    <row r="476">
      <c r="A476" s="36"/>
      <c r="B476" s="162" t="s">
        <v>12</v>
      </c>
      <c r="C476" s="157">
        <v>17.0</v>
      </c>
      <c r="D476" s="158"/>
      <c r="E476" s="159">
        <f t="shared" si="1"/>
        <v>17</v>
      </c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</row>
    <row r="477">
      <c r="A477" s="36"/>
      <c r="B477" s="162" t="s">
        <v>13</v>
      </c>
      <c r="C477" s="157">
        <v>0.0</v>
      </c>
      <c r="D477" s="158"/>
      <c r="E477" s="159">
        <f t="shared" si="1"/>
        <v>0</v>
      </c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</row>
    <row r="478">
      <c r="A478" s="36"/>
      <c r="B478" s="162" t="s">
        <v>14</v>
      </c>
      <c r="C478" s="157">
        <v>1.0</v>
      </c>
      <c r="D478" s="158"/>
      <c r="E478" s="159">
        <f t="shared" si="1"/>
        <v>1</v>
      </c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</row>
    <row r="479">
      <c r="A479" s="36"/>
      <c r="B479" s="162" t="s">
        <v>15</v>
      </c>
      <c r="C479" s="157">
        <v>0.0</v>
      </c>
      <c r="D479" s="158"/>
      <c r="E479" s="159">
        <f t="shared" si="1"/>
        <v>0</v>
      </c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</row>
    <row r="480">
      <c r="A480" s="36"/>
      <c r="B480" s="162" t="s">
        <v>16</v>
      </c>
      <c r="C480" s="157">
        <v>0.0</v>
      </c>
      <c r="D480" s="158"/>
      <c r="E480" s="159">
        <f t="shared" si="1"/>
        <v>0</v>
      </c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</row>
    <row r="481">
      <c r="A481" s="36"/>
      <c r="B481" s="162" t="s">
        <v>17</v>
      </c>
      <c r="C481" s="157">
        <v>2.0</v>
      </c>
      <c r="D481" s="158"/>
      <c r="E481" s="159">
        <f t="shared" si="1"/>
        <v>2</v>
      </c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</row>
    <row r="482">
      <c r="A482" s="36"/>
      <c r="B482" s="156" t="s">
        <v>18</v>
      </c>
      <c r="C482" s="157">
        <v>0.0</v>
      </c>
      <c r="D482" s="158"/>
      <c r="E482" s="159">
        <f t="shared" si="1"/>
        <v>0</v>
      </c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</row>
    <row r="483">
      <c r="A483" s="36"/>
      <c r="B483" s="156" t="s">
        <v>19</v>
      </c>
      <c r="C483" s="157">
        <v>6.0</v>
      </c>
      <c r="D483" s="158"/>
      <c r="E483" s="159">
        <f t="shared" si="1"/>
        <v>6</v>
      </c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</row>
    <row r="484">
      <c r="A484" s="36"/>
      <c r="B484" s="156" t="s">
        <v>20</v>
      </c>
      <c r="C484" s="157">
        <v>0.0</v>
      </c>
      <c r="D484" s="158"/>
      <c r="E484" s="159">
        <f t="shared" si="1"/>
        <v>0</v>
      </c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</row>
    <row r="485">
      <c r="A485" s="36"/>
      <c r="B485" s="156" t="s">
        <v>21</v>
      </c>
      <c r="C485" s="157">
        <v>1.0</v>
      </c>
      <c r="D485" s="158"/>
      <c r="E485" s="159">
        <f t="shared" si="1"/>
        <v>1</v>
      </c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</row>
    <row r="486">
      <c r="A486" s="36"/>
      <c r="B486" s="156" t="s">
        <v>23</v>
      </c>
      <c r="C486" s="157">
        <v>0.0</v>
      </c>
      <c r="D486" s="158"/>
      <c r="E486" s="159">
        <f t="shared" si="1"/>
        <v>0</v>
      </c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</row>
    <row r="487">
      <c r="A487" s="36"/>
      <c r="B487" s="156" t="s">
        <v>24</v>
      </c>
      <c r="C487" s="157">
        <v>15.0</v>
      </c>
      <c r="D487" s="158"/>
      <c r="E487" s="159">
        <f t="shared" si="1"/>
        <v>15</v>
      </c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</row>
    <row r="488">
      <c r="A488" s="36"/>
      <c r="B488" s="156" t="s">
        <v>25</v>
      </c>
      <c r="C488" s="163">
        <v>13.0</v>
      </c>
      <c r="D488" s="164"/>
      <c r="E488" s="159">
        <f t="shared" si="1"/>
        <v>13</v>
      </c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</row>
    <row r="489">
      <c r="A489" s="36"/>
      <c r="B489" s="156" t="s">
        <v>26</v>
      </c>
      <c r="C489" s="163">
        <v>21.0</v>
      </c>
      <c r="D489" s="164"/>
      <c r="E489" s="159">
        <f t="shared" si="1"/>
        <v>21</v>
      </c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</row>
    <row r="490">
      <c r="A490" s="36"/>
      <c r="B490" s="156" t="s">
        <v>27</v>
      </c>
      <c r="C490" s="163">
        <v>29.0</v>
      </c>
      <c r="D490" s="164"/>
      <c r="E490" s="159">
        <f t="shared" si="1"/>
        <v>29</v>
      </c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</row>
    <row r="491">
      <c r="A491" s="36"/>
      <c r="B491" s="156" t="s">
        <v>28</v>
      </c>
      <c r="C491" s="163">
        <v>0.0</v>
      </c>
      <c r="D491" s="164"/>
      <c r="E491" s="159">
        <f t="shared" si="1"/>
        <v>0</v>
      </c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</row>
    <row r="492">
      <c r="A492" s="36"/>
      <c r="B492" s="165" t="s">
        <v>29</v>
      </c>
      <c r="C492" s="163">
        <v>0.0</v>
      </c>
      <c r="D492" s="164"/>
      <c r="E492" s="159">
        <f t="shared" si="1"/>
        <v>0</v>
      </c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</row>
    <row r="493">
      <c r="A493" s="36"/>
      <c r="B493" s="166" t="s">
        <v>30</v>
      </c>
      <c r="C493" s="163">
        <v>2.0</v>
      </c>
      <c r="D493" s="164"/>
      <c r="E493" s="159">
        <f t="shared" si="1"/>
        <v>2</v>
      </c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</row>
    <row r="494">
      <c r="A494" s="36"/>
      <c r="B494" s="167" t="s">
        <v>31</v>
      </c>
      <c r="C494" s="163">
        <v>0.0</v>
      </c>
      <c r="D494" s="164"/>
      <c r="E494" s="159">
        <f t="shared" si="1"/>
        <v>0</v>
      </c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</row>
    <row r="495">
      <c r="A495" s="36"/>
      <c r="B495" s="167" t="s">
        <v>32</v>
      </c>
      <c r="C495" s="163">
        <v>3.0</v>
      </c>
      <c r="D495" s="164"/>
      <c r="E495" s="159">
        <f t="shared" si="1"/>
        <v>3</v>
      </c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</row>
    <row r="496">
      <c r="A496" s="36"/>
      <c r="B496" s="167" t="s">
        <v>33</v>
      </c>
      <c r="C496" s="163">
        <v>1.0</v>
      </c>
      <c r="D496" s="164"/>
      <c r="E496" s="159">
        <f t="shared" si="1"/>
        <v>1</v>
      </c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</row>
    <row r="497">
      <c r="A497" s="91"/>
      <c r="B497" s="167" t="s">
        <v>34</v>
      </c>
      <c r="C497" s="163">
        <v>1.0</v>
      </c>
      <c r="D497" s="164"/>
      <c r="E497" s="159">
        <f t="shared" si="1"/>
        <v>1</v>
      </c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</row>
    <row r="498">
      <c r="A498" s="155">
        <v>46184.0</v>
      </c>
      <c r="B498" s="156" t="s">
        <v>4</v>
      </c>
      <c r="C498" s="157">
        <v>0.0</v>
      </c>
      <c r="D498" s="158"/>
      <c r="E498" s="159">
        <f t="shared" si="1"/>
        <v>0</v>
      </c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</row>
    <row r="499">
      <c r="A499" s="36"/>
      <c r="B499" s="156" t="s">
        <v>5</v>
      </c>
      <c r="C499" s="157">
        <v>0.0</v>
      </c>
      <c r="D499" s="158"/>
      <c r="E499" s="159">
        <f t="shared" si="1"/>
        <v>0</v>
      </c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</row>
    <row r="500">
      <c r="A500" s="36"/>
      <c r="B500" s="156" t="s">
        <v>6</v>
      </c>
      <c r="C500" s="157">
        <v>0.0</v>
      </c>
      <c r="D500" s="158"/>
      <c r="E500" s="159">
        <f t="shared" si="1"/>
        <v>0</v>
      </c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</row>
    <row r="501">
      <c r="A501" s="36"/>
      <c r="B501" s="156" t="s">
        <v>22</v>
      </c>
      <c r="C501" s="157">
        <v>1.0</v>
      </c>
      <c r="D501" s="158"/>
      <c r="E501" s="159">
        <f t="shared" si="1"/>
        <v>1</v>
      </c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</row>
    <row r="502">
      <c r="A502" s="36"/>
      <c r="B502" s="156" t="s">
        <v>7</v>
      </c>
      <c r="C502" s="157">
        <v>1.0</v>
      </c>
      <c r="D502" s="158"/>
      <c r="E502" s="159">
        <f t="shared" si="1"/>
        <v>1</v>
      </c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</row>
    <row r="503">
      <c r="A503" s="36"/>
      <c r="B503" s="162" t="s">
        <v>8</v>
      </c>
      <c r="C503" s="157">
        <v>8.0</v>
      </c>
      <c r="D503" s="158"/>
      <c r="E503" s="159">
        <f t="shared" si="1"/>
        <v>8</v>
      </c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</row>
    <row r="504">
      <c r="A504" s="36"/>
      <c r="B504" s="156" t="s">
        <v>9</v>
      </c>
      <c r="C504" s="157">
        <v>2.0</v>
      </c>
      <c r="D504" s="158"/>
      <c r="E504" s="159">
        <f t="shared" si="1"/>
        <v>2</v>
      </c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</row>
    <row r="505">
      <c r="A505" s="36"/>
      <c r="B505" s="156" t="s">
        <v>10</v>
      </c>
      <c r="C505" s="157">
        <v>5.0</v>
      </c>
      <c r="D505" s="158"/>
      <c r="E505" s="159">
        <f t="shared" si="1"/>
        <v>5</v>
      </c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</row>
    <row r="506">
      <c r="A506" s="36"/>
      <c r="B506" s="156" t="s">
        <v>11</v>
      </c>
      <c r="C506" s="157">
        <v>1.0</v>
      </c>
      <c r="D506" s="158"/>
      <c r="E506" s="159">
        <f t="shared" si="1"/>
        <v>1</v>
      </c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</row>
    <row r="507">
      <c r="A507" s="36"/>
      <c r="B507" s="162" t="s">
        <v>12</v>
      </c>
      <c r="C507" s="157">
        <v>10.0</v>
      </c>
      <c r="D507" s="158"/>
      <c r="E507" s="159">
        <f t="shared" si="1"/>
        <v>10</v>
      </c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</row>
    <row r="508">
      <c r="A508" s="36"/>
      <c r="B508" s="162" t="s">
        <v>13</v>
      </c>
      <c r="C508" s="157">
        <v>0.0</v>
      </c>
      <c r="D508" s="158"/>
      <c r="E508" s="159">
        <f t="shared" si="1"/>
        <v>0</v>
      </c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</row>
    <row r="509">
      <c r="A509" s="36"/>
      <c r="B509" s="162" t="s">
        <v>14</v>
      </c>
      <c r="C509" s="157">
        <v>0.0</v>
      </c>
      <c r="D509" s="158"/>
      <c r="E509" s="159">
        <f t="shared" si="1"/>
        <v>0</v>
      </c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</row>
    <row r="510">
      <c r="A510" s="36"/>
      <c r="B510" s="162" t="s">
        <v>15</v>
      </c>
      <c r="C510" s="157">
        <v>0.0</v>
      </c>
      <c r="D510" s="158"/>
      <c r="E510" s="159">
        <f t="shared" si="1"/>
        <v>0</v>
      </c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</row>
    <row r="511">
      <c r="A511" s="36"/>
      <c r="B511" s="162" t="s">
        <v>16</v>
      </c>
      <c r="C511" s="157">
        <v>0.0</v>
      </c>
      <c r="D511" s="158"/>
      <c r="E511" s="159">
        <f t="shared" si="1"/>
        <v>0</v>
      </c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</row>
    <row r="512">
      <c r="A512" s="36"/>
      <c r="B512" s="162" t="s">
        <v>17</v>
      </c>
      <c r="C512" s="157">
        <v>0.0</v>
      </c>
      <c r="D512" s="158"/>
      <c r="E512" s="159">
        <f t="shared" si="1"/>
        <v>0</v>
      </c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</row>
    <row r="513">
      <c r="A513" s="36"/>
      <c r="B513" s="156" t="s">
        <v>18</v>
      </c>
      <c r="C513" s="157">
        <v>1.0</v>
      </c>
      <c r="D513" s="158"/>
      <c r="E513" s="159">
        <f t="shared" si="1"/>
        <v>1</v>
      </c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</row>
    <row r="514">
      <c r="A514" s="36"/>
      <c r="B514" s="156" t="s">
        <v>19</v>
      </c>
      <c r="C514" s="157">
        <v>4.0</v>
      </c>
      <c r="D514" s="158"/>
      <c r="E514" s="159">
        <f t="shared" si="1"/>
        <v>4</v>
      </c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</row>
    <row r="515">
      <c r="A515" s="36"/>
      <c r="B515" s="156" t="s">
        <v>20</v>
      </c>
      <c r="C515" s="157">
        <v>0.0</v>
      </c>
      <c r="D515" s="158"/>
      <c r="E515" s="159">
        <f t="shared" si="1"/>
        <v>0</v>
      </c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</row>
    <row r="516">
      <c r="A516" s="36"/>
      <c r="B516" s="156" t="s">
        <v>21</v>
      </c>
      <c r="C516" s="157">
        <v>0.0</v>
      </c>
      <c r="D516" s="158"/>
      <c r="E516" s="159">
        <f t="shared" si="1"/>
        <v>0</v>
      </c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</row>
    <row r="517">
      <c r="A517" s="36"/>
      <c r="B517" s="156" t="s">
        <v>23</v>
      </c>
      <c r="C517" s="157">
        <v>0.0</v>
      </c>
      <c r="D517" s="158"/>
      <c r="E517" s="159">
        <f t="shared" si="1"/>
        <v>0</v>
      </c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</row>
    <row r="518">
      <c r="A518" s="36"/>
      <c r="B518" s="156" t="s">
        <v>24</v>
      </c>
      <c r="C518" s="157">
        <v>3.0</v>
      </c>
      <c r="D518" s="158"/>
      <c r="E518" s="159">
        <f t="shared" si="1"/>
        <v>3</v>
      </c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</row>
    <row r="519">
      <c r="A519" s="36"/>
      <c r="B519" s="156" t="s">
        <v>25</v>
      </c>
      <c r="C519" s="163">
        <v>7.0</v>
      </c>
      <c r="D519" s="164"/>
      <c r="E519" s="159">
        <f t="shared" si="1"/>
        <v>7</v>
      </c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</row>
    <row r="520">
      <c r="A520" s="36"/>
      <c r="B520" s="156" t="s">
        <v>26</v>
      </c>
      <c r="C520" s="163">
        <v>14.0</v>
      </c>
      <c r="D520" s="164"/>
      <c r="E520" s="159">
        <f t="shared" si="1"/>
        <v>14</v>
      </c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</row>
    <row r="521">
      <c r="A521" s="36"/>
      <c r="B521" s="156" t="s">
        <v>27</v>
      </c>
      <c r="C521" s="163">
        <v>19.0</v>
      </c>
      <c r="D521" s="164"/>
      <c r="E521" s="159">
        <f t="shared" si="1"/>
        <v>19</v>
      </c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</row>
    <row r="522">
      <c r="A522" s="36"/>
      <c r="B522" s="156" t="s">
        <v>28</v>
      </c>
      <c r="C522" s="163">
        <v>0.0</v>
      </c>
      <c r="D522" s="164"/>
      <c r="E522" s="159">
        <f t="shared" si="1"/>
        <v>0</v>
      </c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</row>
    <row r="523">
      <c r="A523" s="36"/>
      <c r="B523" s="165" t="s">
        <v>29</v>
      </c>
      <c r="C523" s="163">
        <v>0.0</v>
      </c>
      <c r="D523" s="164"/>
      <c r="E523" s="159">
        <f t="shared" si="1"/>
        <v>0</v>
      </c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</row>
    <row r="524">
      <c r="A524" s="36"/>
      <c r="B524" s="166" t="s">
        <v>30</v>
      </c>
      <c r="C524" s="163">
        <v>1.0</v>
      </c>
      <c r="D524" s="164"/>
      <c r="E524" s="159">
        <f t="shared" si="1"/>
        <v>1</v>
      </c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</row>
    <row r="525">
      <c r="A525" s="36"/>
      <c r="B525" s="167" t="s">
        <v>31</v>
      </c>
      <c r="C525" s="163">
        <v>0.0</v>
      </c>
      <c r="D525" s="164"/>
      <c r="E525" s="159">
        <f t="shared" si="1"/>
        <v>0</v>
      </c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</row>
    <row r="526">
      <c r="A526" s="36"/>
      <c r="B526" s="167" t="s">
        <v>32</v>
      </c>
      <c r="C526" s="163">
        <v>2.0</v>
      </c>
      <c r="D526" s="164"/>
      <c r="E526" s="159">
        <f t="shared" si="1"/>
        <v>2</v>
      </c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</row>
    <row r="527">
      <c r="A527" s="36"/>
      <c r="B527" s="167" t="s">
        <v>33</v>
      </c>
      <c r="C527" s="163">
        <v>0.0</v>
      </c>
      <c r="D527" s="164"/>
      <c r="E527" s="159">
        <f t="shared" si="1"/>
        <v>0</v>
      </c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</row>
    <row r="528">
      <c r="A528" s="91"/>
      <c r="B528" s="167" t="s">
        <v>34</v>
      </c>
      <c r="C528" s="163">
        <v>0.0</v>
      </c>
      <c r="D528" s="164"/>
      <c r="E528" s="159">
        <f t="shared" si="1"/>
        <v>0</v>
      </c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</row>
    <row r="529">
      <c r="A529" s="155">
        <v>46185.0</v>
      </c>
      <c r="B529" s="156" t="s">
        <v>4</v>
      </c>
      <c r="C529" s="157">
        <v>0.0</v>
      </c>
      <c r="D529" s="158"/>
      <c r="E529" s="159">
        <f t="shared" si="1"/>
        <v>0</v>
      </c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</row>
    <row r="530">
      <c r="A530" s="36"/>
      <c r="B530" s="156" t="s">
        <v>5</v>
      </c>
      <c r="C530" s="157">
        <v>0.0</v>
      </c>
      <c r="D530" s="158"/>
      <c r="E530" s="159">
        <f t="shared" si="1"/>
        <v>0</v>
      </c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</row>
    <row r="531">
      <c r="A531" s="36"/>
      <c r="B531" s="156" t="s">
        <v>6</v>
      </c>
      <c r="C531" s="157">
        <v>0.0</v>
      </c>
      <c r="D531" s="158"/>
      <c r="E531" s="159">
        <f t="shared" si="1"/>
        <v>0</v>
      </c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</row>
    <row r="532">
      <c r="A532" s="36"/>
      <c r="B532" s="156" t="s">
        <v>22</v>
      </c>
      <c r="C532" s="157">
        <v>0.0</v>
      </c>
      <c r="D532" s="158"/>
      <c r="E532" s="159">
        <f t="shared" si="1"/>
        <v>0</v>
      </c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</row>
    <row r="533">
      <c r="A533" s="36"/>
      <c r="B533" s="156" t="s">
        <v>7</v>
      </c>
      <c r="C533" s="157">
        <v>0.0</v>
      </c>
      <c r="D533" s="158"/>
      <c r="E533" s="159">
        <f t="shared" si="1"/>
        <v>0</v>
      </c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</row>
    <row r="534">
      <c r="A534" s="36"/>
      <c r="B534" s="162" t="s">
        <v>8</v>
      </c>
      <c r="C534" s="157">
        <v>7.0</v>
      </c>
      <c r="D534" s="158"/>
      <c r="E534" s="159">
        <f t="shared" si="1"/>
        <v>7</v>
      </c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</row>
    <row r="535">
      <c r="A535" s="36"/>
      <c r="B535" s="156" t="s">
        <v>9</v>
      </c>
      <c r="C535" s="157">
        <v>1.0</v>
      </c>
      <c r="D535" s="158"/>
      <c r="E535" s="159">
        <f t="shared" si="1"/>
        <v>1</v>
      </c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</row>
    <row r="536">
      <c r="A536" s="36"/>
      <c r="B536" s="156" t="s">
        <v>10</v>
      </c>
      <c r="C536" s="157">
        <v>2.0</v>
      </c>
      <c r="D536" s="158"/>
      <c r="E536" s="159">
        <f t="shared" si="1"/>
        <v>2</v>
      </c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</row>
    <row r="537">
      <c r="A537" s="36"/>
      <c r="B537" s="156" t="s">
        <v>11</v>
      </c>
      <c r="C537" s="157">
        <v>1.0</v>
      </c>
      <c r="D537" s="158"/>
      <c r="E537" s="159">
        <f t="shared" si="1"/>
        <v>1</v>
      </c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</row>
    <row r="538">
      <c r="A538" s="36"/>
      <c r="B538" s="162" t="s">
        <v>12</v>
      </c>
      <c r="C538" s="157">
        <v>20.0</v>
      </c>
      <c r="D538" s="158"/>
      <c r="E538" s="159">
        <f t="shared" si="1"/>
        <v>20</v>
      </c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</row>
    <row r="539">
      <c r="A539" s="36"/>
      <c r="B539" s="162" t="s">
        <v>13</v>
      </c>
      <c r="C539" s="157">
        <v>0.0</v>
      </c>
      <c r="D539" s="158"/>
      <c r="E539" s="159">
        <f t="shared" si="1"/>
        <v>0</v>
      </c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</row>
    <row r="540">
      <c r="A540" s="36"/>
      <c r="B540" s="162" t="s">
        <v>14</v>
      </c>
      <c r="C540" s="157">
        <v>0.0</v>
      </c>
      <c r="D540" s="158"/>
      <c r="E540" s="159">
        <f t="shared" si="1"/>
        <v>0</v>
      </c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</row>
    <row r="541">
      <c r="A541" s="36"/>
      <c r="B541" s="162" t="s">
        <v>15</v>
      </c>
      <c r="C541" s="157">
        <v>0.0</v>
      </c>
      <c r="D541" s="158"/>
      <c r="E541" s="159">
        <f t="shared" si="1"/>
        <v>0</v>
      </c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</row>
    <row r="542">
      <c r="A542" s="36"/>
      <c r="B542" s="162" t="s">
        <v>16</v>
      </c>
      <c r="C542" s="157">
        <v>1.0</v>
      </c>
      <c r="D542" s="158"/>
      <c r="E542" s="159">
        <f t="shared" si="1"/>
        <v>1</v>
      </c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</row>
    <row r="543">
      <c r="A543" s="36"/>
      <c r="B543" s="162" t="s">
        <v>17</v>
      </c>
      <c r="C543" s="157">
        <v>0.0</v>
      </c>
      <c r="D543" s="158"/>
      <c r="E543" s="159">
        <f t="shared" si="1"/>
        <v>0</v>
      </c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</row>
    <row r="544">
      <c r="A544" s="36"/>
      <c r="B544" s="156" t="s">
        <v>18</v>
      </c>
      <c r="C544" s="157">
        <v>3.0</v>
      </c>
      <c r="D544" s="158"/>
      <c r="E544" s="159">
        <f t="shared" si="1"/>
        <v>3</v>
      </c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</row>
    <row r="545">
      <c r="A545" s="36"/>
      <c r="B545" s="156" t="s">
        <v>19</v>
      </c>
      <c r="C545" s="157">
        <v>9.0</v>
      </c>
      <c r="D545" s="158"/>
      <c r="E545" s="159">
        <f t="shared" si="1"/>
        <v>9</v>
      </c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</row>
    <row r="546">
      <c r="A546" s="36"/>
      <c r="B546" s="156" t="s">
        <v>20</v>
      </c>
      <c r="C546" s="157">
        <v>0.0</v>
      </c>
      <c r="D546" s="158"/>
      <c r="E546" s="159">
        <f t="shared" si="1"/>
        <v>0</v>
      </c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</row>
    <row r="547">
      <c r="A547" s="36"/>
      <c r="B547" s="156" t="s">
        <v>21</v>
      </c>
      <c r="C547" s="157">
        <v>0.0</v>
      </c>
      <c r="D547" s="158"/>
      <c r="E547" s="159">
        <f t="shared" si="1"/>
        <v>0</v>
      </c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</row>
    <row r="548">
      <c r="A548" s="36"/>
      <c r="B548" s="156" t="s">
        <v>23</v>
      </c>
      <c r="C548" s="157">
        <v>2.0</v>
      </c>
      <c r="D548" s="158"/>
      <c r="E548" s="159">
        <f t="shared" si="1"/>
        <v>2</v>
      </c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</row>
    <row r="549">
      <c r="A549" s="36"/>
      <c r="B549" s="156" t="s">
        <v>24</v>
      </c>
      <c r="C549" s="157">
        <v>11.0</v>
      </c>
      <c r="D549" s="158"/>
      <c r="E549" s="159">
        <f t="shared" si="1"/>
        <v>11</v>
      </c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</row>
    <row r="550">
      <c r="A550" s="36"/>
      <c r="B550" s="156" t="s">
        <v>25</v>
      </c>
      <c r="C550" s="163">
        <v>12.0</v>
      </c>
      <c r="D550" s="164"/>
      <c r="E550" s="159">
        <f t="shared" si="1"/>
        <v>12</v>
      </c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</row>
    <row r="551">
      <c r="A551" s="36"/>
      <c r="B551" s="156" t="s">
        <v>26</v>
      </c>
      <c r="C551" s="163">
        <v>10.0</v>
      </c>
      <c r="D551" s="164"/>
      <c r="E551" s="159">
        <f t="shared" si="1"/>
        <v>10</v>
      </c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</row>
    <row r="552">
      <c r="A552" s="36"/>
      <c r="B552" s="156" t="s">
        <v>27</v>
      </c>
      <c r="C552" s="163">
        <v>26.0</v>
      </c>
      <c r="D552" s="164"/>
      <c r="E552" s="159">
        <f t="shared" si="1"/>
        <v>26</v>
      </c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</row>
    <row r="553">
      <c r="A553" s="36"/>
      <c r="B553" s="156" t="s">
        <v>28</v>
      </c>
      <c r="C553" s="163">
        <v>0.0</v>
      </c>
      <c r="D553" s="164"/>
      <c r="E553" s="159">
        <f t="shared" si="1"/>
        <v>0</v>
      </c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</row>
    <row r="554">
      <c r="A554" s="36"/>
      <c r="B554" s="165" t="s">
        <v>29</v>
      </c>
      <c r="C554" s="163">
        <v>0.0</v>
      </c>
      <c r="D554" s="164"/>
      <c r="E554" s="159">
        <f t="shared" si="1"/>
        <v>0</v>
      </c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</row>
    <row r="555">
      <c r="A555" s="36"/>
      <c r="B555" s="166" t="s">
        <v>30</v>
      </c>
      <c r="C555" s="163">
        <v>2.0</v>
      </c>
      <c r="D555" s="164"/>
      <c r="E555" s="159">
        <f t="shared" si="1"/>
        <v>2</v>
      </c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</row>
    <row r="556">
      <c r="A556" s="36"/>
      <c r="B556" s="167" t="s">
        <v>31</v>
      </c>
      <c r="C556" s="163">
        <v>0.0</v>
      </c>
      <c r="D556" s="164"/>
      <c r="E556" s="159">
        <f t="shared" si="1"/>
        <v>0</v>
      </c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</row>
    <row r="557">
      <c r="A557" s="36"/>
      <c r="B557" s="167" t="s">
        <v>32</v>
      </c>
      <c r="C557" s="163">
        <v>1.0</v>
      </c>
      <c r="D557" s="164"/>
      <c r="E557" s="159">
        <f t="shared" si="1"/>
        <v>1</v>
      </c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</row>
    <row r="558">
      <c r="A558" s="36"/>
      <c r="B558" s="167" t="s">
        <v>33</v>
      </c>
      <c r="C558" s="163">
        <v>0.0</v>
      </c>
      <c r="D558" s="164"/>
      <c r="E558" s="159">
        <f t="shared" si="1"/>
        <v>0</v>
      </c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</row>
    <row r="559">
      <c r="A559" s="91"/>
      <c r="B559" s="167" t="s">
        <v>34</v>
      </c>
      <c r="C559" s="163">
        <v>0.0</v>
      </c>
      <c r="D559" s="164"/>
      <c r="E559" s="159">
        <f t="shared" si="1"/>
        <v>0</v>
      </c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</row>
    <row r="560">
      <c r="A560" s="155">
        <v>46186.0</v>
      </c>
      <c r="B560" s="156" t="s">
        <v>4</v>
      </c>
      <c r="C560" s="157">
        <v>0.0</v>
      </c>
      <c r="D560" s="158"/>
      <c r="E560" s="159">
        <f t="shared" si="1"/>
        <v>0</v>
      </c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</row>
    <row r="561">
      <c r="A561" s="36"/>
      <c r="B561" s="156" t="s">
        <v>5</v>
      </c>
      <c r="C561" s="157">
        <v>0.0</v>
      </c>
      <c r="D561" s="158"/>
      <c r="E561" s="159">
        <f t="shared" si="1"/>
        <v>0</v>
      </c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</row>
    <row r="562">
      <c r="A562" s="36"/>
      <c r="B562" s="156" t="s">
        <v>6</v>
      </c>
      <c r="C562" s="157">
        <v>0.0</v>
      </c>
      <c r="D562" s="158"/>
      <c r="E562" s="159">
        <f t="shared" si="1"/>
        <v>0</v>
      </c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</row>
    <row r="563">
      <c r="A563" s="36"/>
      <c r="B563" s="156" t="s">
        <v>22</v>
      </c>
      <c r="C563" s="157">
        <v>0.0</v>
      </c>
      <c r="D563" s="158"/>
      <c r="E563" s="159">
        <f t="shared" si="1"/>
        <v>0</v>
      </c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</row>
    <row r="564">
      <c r="A564" s="36"/>
      <c r="B564" s="156" t="s">
        <v>7</v>
      </c>
      <c r="C564" s="157">
        <v>0.0</v>
      </c>
      <c r="D564" s="158"/>
      <c r="E564" s="159">
        <f t="shared" si="1"/>
        <v>0</v>
      </c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</row>
    <row r="565">
      <c r="A565" s="36"/>
      <c r="B565" s="162" t="s">
        <v>8</v>
      </c>
      <c r="C565" s="157">
        <v>6.0</v>
      </c>
      <c r="D565" s="158"/>
      <c r="E565" s="159">
        <f t="shared" si="1"/>
        <v>6</v>
      </c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</row>
    <row r="566">
      <c r="A566" s="36"/>
      <c r="B566" s="156" t="s">
        <v>9</v>
      </c>
      <c r="C566" s="157">
        <v>2.0</v>
      </c>
      <c r="D566" s="158"/>
      <c r="E566" s="159">
        <f t="shared" si="1"/>
        <v>2</v>
      </c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</row>
    <row r="567">
      <c r="A567" s="36"/>
      <c r="B567" s="156" t="s">
        <v>10</v>
      </c>
      <c r="C567" s="157">
        <v>5.0</v>
      </c>
      <c r="D567" s="158"/>
      <c r="E567" s="159">
        <f t="shared" si="1"/>
        <v>5</v>
      </c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</row>
    <row r="568">
      <c r="A568" s="36"/>
      <c r="B568" s="156" t="s">
        <v>11</v>
      </c>
      <c r="C568" s="157">
        <v>0.0</v>
      </c>
      <c r="D568" s="158"/>
      <c r="E568" s="159">
        <f t="shared" si="1"/>
        <v>0</v>
      </c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</row>
    <row r="569">
      <c r="A569" s="36"/>
      <c r="B569" s="162" t="s">
        <v>12</v>
      </c>
      <c r="C569" s="157">
        <v>21.0</v>
      </c>
      <c r="D569" s="158"/>
      <c r="E569" s="159">
        <f t="shared" si="1"/>
        <v>21</v>
      </c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</row>
    <row r="570">
      <c r="A570" s="36"/>
      <c r="B570" s="162" t="s">
        <v>13</v>
      </c>
      <c r="C570" s="157">
        <v>0.0</v>
      </c>
      <c r="D570" s="158"/>
      <c r="E570" s="159">
        <f t="shared" si="1"/>
        <v>0</v>
      </c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</row>
    <row r="571">
      <c r="A571" s="36"/>
      <c r="B571" s="162" t="s">
        <v>14</v>
      </c>
      <c r="C571" s="157">
        <v>1.0</v>
      </c>
      <c r="D571" s="158"/>
      <c r="E571" s="159">
        <f t="shared" si="1"/>
        <v>1</v>
      </c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</row>
    <row r="572">
      <c r="A572" s="36"/>
      <c r="B572" s="162" t="s">
        <v>15</v>
      </c>
      <c r="C572" s="157">
        <v>0.0</v>
      </c>
      <c r="D572" s="158"/>
      <c r="E572" s="159">
        <f t="shared" si="1"/>
        <v>0</v>
      </c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</row>
    <row r="573">
      <c r="A573" s="36"/>
      <c r="B573" s="162" t="s">
        <v>16</v>
      </c>
      <c r="C573" s="157">
        <v>2.0</v>
      </c>
      <c r="D573" s="158"/>
      <c r="E573" s="159">
        <f t="shared" si="1"/>
        <v>2</v>
      </c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</row>
    <row r="574">
      <c r="A574" s="36"/>
      <c r="B574" s="162" t="s">
        <v>17</v>
      </c>
      <c r="C574" s="157">
        <v>0.0</v>
      </c>
      <c r="D574" s="158"/>
      <c r="E574" s="159">
        <f t="shared" si="1"/>
        <v>0</v>
      </c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</row>
    <row r="575">
      <c r="A575" s="36"/>
      <c r="B575" s="156" t="s">
        <v>18</v>
      </c>
      <c r="C575" s="157">
        <v>1.0</v>
      </c>
      <c r="D575" s="158"/>
      <c r="E575" s="159">
        <f t="shared" si="1"/>
        <v>1</v>
      </c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</row>
    <row r="576">
      <c r="A576" s="36"/>
      <c r="B576" s="156" t="s">
        <v>19</v>
      </c>
      <c r="C576" s="157">
        <v>4.0</v>
      </c>
      <c r="D576" s="158"/>
      <c r="E576" s="159">
        <f t="shared" si="1"/>
        <v>4</v>
      </c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</row>
    <row r="577">
      <c r="A577" s="36"/>
      <c r="B577" s="156" t="s">
        <v>20</v>
      </c>
      <c r="C577" s="157">
        <v>0.0</v>
      </c>
      <c r="D577" s="158"/>
      <c r="E577" s="159">
        <f t="shared" si="1"/>
        <v>0</v>
      </c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</row>
    <row r="578">
      <c r="A578" s="36"/>
      <c r="B578" s="156" t="s">
        <v>21</v>
      </c>
      <c r="C578" s="157">
        <v>1.0</v>
      </c>
      <c r="D578" s="158"/>
      <c r="E578" s="159">
        <f t="shared" si="1"/>
        <v>1</v>
      </c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</row>
    <row r="579">
      <c r="A579" s="36"/>
      <c r="B579" s="156" t="s">
        <v>23</v>
      </c>
      <c r="C579" s="157">
        <v>1.0</v>
      </c>
      <c r="D579" s="158"/>
      <c r="E579" s="159">
        <f t="shared" si="1"/>
        <v>1</v>
      </c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</row>
    <row r="580">
      <c r="A580" s="36"/>
      <c r="B580" s="156" t="s">
        <v>24</v>
      </c>
      <c r="C580" s="157">
        <v>13.0</v>
      </c>
      <c r="D580" s="158"/>
      <c r="E580" s="159">
        <f t="shared" si="1"/>
        <v>13</v>
      </c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</row>
    <row r="581">
      <c r="A581" s="36"/>
      <c r="B581" s="156" t="s">
        <v>25</v>
      </c>
      <c r="C581" s="163">
        <v>8.0</v>
      </c>
      <c r="D581" s="164"/>
      <c r="E581" s="159">
        <f t="shared" si="1"/>
        <v>8</v>
      </c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</row>
    <row r="582">
      <c r="A582" s="36"/>
      <c r="B582" s="156" t="s">
        <v>26</v>
      </c>
      <c r="C582" s="163">
        <v>16.0</v>
      </c>
      <c r="D582" s="164"/>
      <c r="E582" s="159">
        <f t="shared" si="1"/>
        <v>16</v>
      </c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</row>
    <row r="583">
      <c r="A583" s="36"/>
      <c r="B583" s="156" t="s">
        <v>27</v>
      </c>
      <c r="C583" s="163">
        <v>31.0</v>
      </c>
      <c r="D583" s="164"/>
      <c r="E583" s="159">
        <f t="shared" si="1"/>
        <v>31</v>
      </c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</row>
    <row r="584">
      <c r="A584" s="36"/>
      <c r="B584" s="156" t="s">
        <v>28</v>
      </c>
      <c r="C584" s="163">
        <v>0.0</v>
      </c>
      <c r="D584" s="164"/>
      <c r="E584" s="159">
        <f t="shared" si="1"/>
        <v>0</v>
      </c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</row>
    <row r="585">
      <c r="A585" s="36"/>
      <c r="B585" s="165" t="s">
        <v>29</v>
      </c>
      <c r="C585" s="163">
        <v>0.0</v>
      </c>
      <c r="D585" s="164"/>
      <c r="E585" s="159">
        <f t="shared" si="1"/>
        <v>0</v>
      </c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</row>
    <row r="586">
      <c r="A586" s="36"/>
      <c r="B586" s="166" t="s">
        <v>30</v>
      </c>
      <c r="C586" s="163">
        <v>2.0</v>
      </c>
      <c r="D586" s="164"/>
      <c r="E586" s="159">
        <f t="shared" si="1"/>
        <v>2</v>
      </c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</row>
    <row r="587">
      <c r="A587" s="36"/>
      <c r="B587" s="167" t="s">
        <v>31</v>
      </c>
      <c r="C587" s="163">
        <v>0.0</v>
      </c>
      <c r="D587" s="164"/>
      <c r="E587" s="159">
        <f t="shared" si="1"/>
        <v>0</v>
      </c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</row>
    <row r="588">
      <c r="A588" s="36"/>
      <c r="B588" s="167" t="s">
        <v>32</v>
      </c>
      <c r="C588" s="163">
        <v>1.0</v>
      </c>
      <c r="D588" s="164"/>
      <c r="E588" s="159">
        <f t="shared" si="1"/>
        <v>1</v>
      </c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</row>
    <row r="589">
      <c r="A589" s="36"/>
      <c r="B589" s="167" t="s">
        <v>33</v>
      </c>
      <c r="C589" s="163">
        <v>1.0</v>
      </c>
      <c r="D589" s="164"/>
      <c r="E589" s="159">
        <f t="shared" si="1"/>
        <v>1</v>
      </c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</row>
    <row r="590">
      <c r="A590" s="91"/>
      <c r="B590" s="167" t="s">
        <v>34</v>
      </c>
      <c r="C590" s="163">
        <v>0.0</v>
      </c>
      <c r="D590" s="164"/>
      <c r="E590" s="159">
        <f t="shared" si="1"/>
        <v>0</v>
      </c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</row>
    <row r="591">
      <c r="A591" s="155">
        <v>46187.0</v>
      </c>
      <c r="B591" s="156" t="s">
        <v>4</v>
      </c>
      <c r="C591" s="157">
        <v>0.0</v>
      </c>
      <c r="D591" s="158"/>
      <c r="E591" s="159">
        <f t="shared" si="1"/>
        <v>0</v>
      </c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</row>
    <row r="592">
      <c r="A592" s="36"/>
      <c r="B592" s="156" t="s">
        <v>5</v>
      </c>
      <c r="C592" s="157">
        <v>0.0</v>
      </c>
      <c r="D592" s="158"/>
      <c r="E592" s="159">
        <f t="shared" si="1"/>
        <v>0</v>
      </c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</row>
    <row r="593">
      <c r="A593" s="36"/>
      <c r="B593" s="156" t="s">
        <v>6</v>
      </c>
      <c r="C593" s="157">
        <v>0.0</v>
      </c>
      <c r="D593" s="158"/>
      <c r="E593" s="159">
        <f t="shared" si="1"/>
        <v>0</v>
      </c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</row>
    <row r="594">
      <c r="A594" s="36"/>
      <c r="B594" s="156" t="s">
        <v>22</v>
      </c>
      <c r="C594" s="157">
        <v>0.0</v>
      </c>
      <c r="D594" s="158"/>
      <c r="E594" s="159">
        <f t="shared" si="1"/>
        <v>0</v>
      </c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</row>
    <row r="595">
      <c r="A595" s="36"/>
      <c r="B595" s="156" t="s">
        <v>7</v>
      </c>
      <c r="C595" s="157">
        <v>2.0</v>
      </c>
      <c r="D595" s="158"/>
      <c r="E595" s="159">
        <f t="shared" si="1"/>
        <v>2</v>
      </c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</row>
    <row r="596">
      <c r="A596" s="36"/>
      <c r="B596" s="162" t="s">
        <v>8</v>
      </c>
      <c r="C596" s="157">
        <v>15.0</v>
      </c>
      <c r="D596" s="158"/>
      <c r="E596" s="159">
        <f t="shared" si="1"/>
        <v>15</v>
      </c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</row>
    <row r="597">
      <c r="A597" s="36"/>
      <c r="B597" s="156" t="s">
        <v>9</v>
      </c>
      <c r="C597" s="157">
        <v>3.0</v>
      </c>
      <c r="D597" s="158"/>
      <c r="E597" s="159">
        <f t="shared" si="1"/>
        <v>3</v>
      </c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</row>
    <row r="598">
      <c r="A598" s="36"/>
      <c r="B598" s="156" t="s">
        <v>10</v>
      </c>
      <c r="C598" s="157">
        <v>10.0</v>
      </c>
      <c r="D598" s="158"/>
      <c r="E598" s="159">
        <f t="shared" si="1"/>
        <v>10</v>
      </c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</row>
    <row r="599">
      <c r="A599" s="36"/>
      <c r="B599" s="156" t="s">
        <v>11</v>
      </c>
      <c r="C599" s="157">
        <v>0.0</v>
      </c>
      <c r="D599" s="158"/>
      <c r="E599" s="159">
        <f t="shared" si="1"/>
        <v>0</v>
      </c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</row>
    <row r="600">
      <c r="A600" s="36"/>
      <c r="B600" s="162" t="s">
        <v>12</v>
      </c>
      <c r="C600" s="157">
        <v>40.0</v>
      </c>
      <c r="D600" s="158"/>
      <c r="E600" s="159">
        <f t="shared" si="1"/>
        <v>40</v>
      </c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</row>
    <row r="601">
      <c r="A601" s="36"/>
      <c r="B601" s="162" t="s">
        <v>13</v>
      </c>
      <c r="C601" s="157">
        <v>0.0</v>
      </c>
      <c r="D601" s="158"/>
      <c r="E601" s="159">
        <f t="shared" si="1"/>
        <v>0</v>
      </c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</row>
    <row r="602">
      <c r="A602" s="36"/>
      <c r="B602" s="162" t="s">
        <v>14</v>
      </c>
      <c r="C602" s="157">
        <v>0.0</v>
      </c>
      <c r="D602" s="158"/>
      <c r="E602" s="159">
        <f t="shared" si="1"/>
        <v>0</v>
      </c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</row>
    <row r="603">
      <c r="A603" s="36"/>
      <c r="B603" s="162" t="s">
        <v>15</v>
      </c>
      <c r="C603" s="157">
        <v>0.0</v>
      </c>
      <c r="D603" s="158"/>
      <c r="E603" s="159">
        <f t="shared" si="1"/>
        <v>0</v>
      </c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</row>
    <row r="604">
      <c r="A604" s="36"/>
      <c r="B604" s="162" t="s">
        <v>16</v>
      </c>
      <c r="C604" s="157">
        <v>1.0</v>
      </c>
      <c r="D604" s="158"/>
      <c r="E604" s="159">
        <f t="shared" si="1"/>
        <v>1</v>
      </c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</row>
    <row r="605">
      <c r="A605" s="36"/>
      <c r="B605" s="162" t="s">
        <v>17</v>
      </c>
      <c r="C605" s="157">
        <v>0.0</v>
      </c>
      <c r="D605" s="158"/>
      <c r="E605" s="159">
        <f t="shared" si="1"/>
        <v>0</v>
      </c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</row>
    <row r="606">
      <c r="A606" s="36"/>
      <c r="B606" s="156" t="s">
        <v>18</v>
      </c>
      <c r="C606" s="157">
        <v>0.0</v>
      </c>
      <c r="D606" s="158"/>
      <c r="E606" s="159">
        <f t="shared" si="1"/>
        <v>0</v>
      </c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</row>
    <row r="607">
      <c r="A607" s="36"/>
      <c r="B607" s="156" t="s">
        <v>19</v>
      </c>
      <c r="C607" s="157">
        <v>7.0</v>
      </c>
      <c r="D607" s="158"/>
      <c r="E607" s="159">
        <f t="shared" si="1"/>
        <v>7</v>
      </c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</row>
    <row r="608">
      <c r="A608" s="36"/>
      <c r="B608" s="156" t="s">
        <v>20</v>
      </c>
      <c r="C608" s="157">
        <v>0.0</v>
      </c>
      <c r="D608" s="158"/>
      <c r="E608" s="159">
        <f t="shared" si="1"/>
        <v>0</v>
      </c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</row>
    <row r="609">
      <c r="A609" s="36"/>
      <c r="B609" s="156" t="s">
        <v>21</v>
      </c>
      <c r="C609" s="157">
        <v>0.0</v>
      </c>
      <c r="D609" s="158"/>
      <c r="E609" s="159">
        <f t="shared" si="1"/>
        <v>0</v>
      </c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</row>
    <row r="610">
      <c r="A610" s="36"/>
      <c r="B610" s="156" t="s">
        <v>23</v>
      </c>
      <c r="C610" s="157">
        <v>0.0</v>
      </c>
      <c r="D610" s="158"/>
      <c r="E610" s="159">
        <f t="shared" si="1"/>
        <v>0</v>
      </c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</row>
    <row r="611">
      <c r="A611" s="36"/>
      <c r="B611" s="156" t="s">
        <v>24</v>
      </c>
      <c r="C611" s="157">
        <v>28.0</v>
      </c>
      <c r="D611" s="158"/>
      <c r="E611" s="159">
        <f t="shared" si="1"/>
        <v>28</v>
      </c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</row>
    <row r="612">
      <c r="A612" s="36"/>
      <c r="B612" s="156" t="s">
        <v>25</v>
      </c>
      <c r="C612" s="163">
        <v>28.0</v>
      </c>
      <c r="D612" s="164"/>
      <c r="E612" s="159">
        <f t="shared" si="1"/>
        <v>28</v>
      </c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</row>
    <row r="613">
      <c r="A613" s="36"/>
      <c r="B613" s="156" t="s">
        <v>26</v>
      </c>
      <c r="C613" s="163">
        <v>26.0</v>
      </c>
      <c r="D613" s="164"/>
      <c r="E613" s="159">
        <f t="shared" si="1"/>
        <v>26</v>
      </c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</row>
    <row r="614">
      <c r="A614" s="36"/>
      <c r="B614" s="156" t="s">
        <v>27</v>
      </c>
      <c r="C614" s="163">
        <v>51.0</v>
      </c>
      <c r="D614" s="164"/>
      <c r="E614" s="159">
        <f t="shared" si="1"/>
        <v>51</v>
      </c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</row>
    <row r="615">
      <c r="A615" s="36"/>
      <c r="B615" s="156" t="s">
        <v>28</v>
      </c>
      <c r="C615" s="163">
        <v>1.0</v>
      </c>
      <c r="D615" s="164"/>
      <c r="E615" s="159">
        <f t="shared" si="1"/>
        <v>1</v>
      </c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</row>
    <row r="616">
      <c r="A616" s="36"/>
      <c r="B616" s="165" t="s">
        <v>29</v>
      </c>
      <c r="C616" s="163">
        <v>0.0</v>
      </c>
      <c r="D616" s="164"/>
      <c r="E616" s="159">
        <f t="shared" si="1"/>
        <v>0</v>
      </c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</row>
    <row r="617">
      <c r="A617" s="36"/>
      <c r="B617" s="166" t="s">
        <v>30</v>
      </c>
      <c r="C617" s="163">
        <v>0.0</v>
      </c>
      <c r="D617" s="164"/>
      <c r="E617" s="159">
        <f t="shared" si="1"/>
        <v>0</v>
      </c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</row>
    <row r="618">
      <c r="A618" s="36"/>
      <c r="B618" s="167" t="s">
        <v>31</v>
      </c>
      <c r="C618" s="163">
        <v>0.0</v>
      </c>
      <c r="D618" s="164"/>
      <c r="E618" s="159">
        <f t="shared" si="1"/>
        <v>0</v>
      </c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</row>
    <row r="619">
      <c r="A619" s="36"/>
      <c r="B619" s="167" t="s">
        <v>32</v>
      </c>
      <c r="C619" s="163">
        <v>3.0</v>
      </c>
      <c r="D619" s="164"/>
      <c r="E619" s="159">
        <f t="shared" si="1"/>
        <v>3</v>
      </c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</row>
    <row r="620">
      <c r="A620" s="36"/>
      <c r="B620" s="167" t="s">
        <v>33</v>
      </c>
      <c r="C620" s="163">
        <v>0.0</v>
      </c>
      <c r="D620" s="164"/>
      <c r="E620" s="159">
        <f t="shared" si="1"/>
        <v>0</v>
      </c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</row>
    <row r="621">
      <c r="A621" s="91"/>
      <c r="B621" s="167" t="s">
        <v>34</v>
      </c>
      <c r="C621" s="163">
        <v>1.0</v>
      </c>
      <c r="D621" s="164"/>
      <c r="E621" s="159">
        <f t="shared" si="1"/>
        <v>1</v>
      </c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</row>
    <row r="622">
      <c r="A622" s="155">
        <v>46188.0</v>
      </c>
      <c r="B622" s="156" t="s">
        <v>4</v>
      </c>
      <c r="C622" s="157">
        <v>0.0</v>
      </c>
      <c r="D622" s="158"/>
      <c r="E622" s="159">
        <f t="shared" si="1"/>
        <v>0</v>
      </c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</row>
    <row r="623">
      <c r="A623" s="36"/>
      <c r="B623" s="156" t="s">
        <v>5</v>
      </c>
      <c r="C623" s="157">
        <v>0.0</v>
      </c>
      <c r="D623" s="158"/>
      <c r="E623" s="159">
        <f t="shared" si="1"/>
        <v>0</v>
      </c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</row>
    <row r="624">
      <c r="A624" s="36"/>
      <c r="B624" s="156" t="s">
        <v>6</v>
      </c>
      <c r="C624" s="157">
        <v>1.0</v>
      </c>
      <c r="D624" s="158"/>
      <c r="E624" s="159">
        <f t="shared" si="1"/>
        <v>1</v>
      </c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</row>
    <row r="625">
      <c r="A625" s="36"/>
      <c r="B625" s="156" t="s">
        <v>22</v>
      </c>
      <c r="C625" s="157">
        <v>0.0</v>
      </c>
      <c r="D625" s="158"/>
      <c r="E625" s="159">
        <f t="shared" si="1"/>
        <v>0</v>
      </c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</row>
    <row r="626">
      <c r="A626" s="36"/>
      <c r="B626" s="156" t="s">
        <v>7</v>
      </c>
      <c r="C626" s="157">
        <v>2.0</v>
      </c>
      <c r="D626" s="158"/>
      <c r="E626" s="159">
        <f t="shared" si="1"/>
        <v>2</v>
      </c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</row>
    <row r="627">
      <c r="A627" s="36"/>
      <c r="B627" s="162" t="s">
        <v>8</v>
      </c>
      <c r="C627" s="157">
        <v>15.0</v>
      </c>
      <c r="D627" s="158"/>
      <c r="E627" s="159">
        <f t="shared" si="1"/>
        <v>15</v>
      </c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</row>
    <row r="628">
      <c r="A628" s="36"/>
      <c r="B628" s="156" t="s">
        <v>9</v>
      </c>
      <c r="C628" s="157">
        <v>2.0</v>
      </c>
      <c r="D628" s="158"/>
      <c r="E628" s="159">
        <f t="shared" si="1"/>
        <v>2</v>
      </c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</row>
    <row r="629">
      <c r="A629" s="36"/>
      <c r="B629" s="156" t="s">
        <v>10</v>
      </c>
      <c r="C629" s="157">
        <v>9.0</v>
      </c>
      <c r="D629" s="158"/>
      <c r="E629" s="159">
        <f t="shared" si="1"/>
        <v>9</v>
      </c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</row>
    <row r="630">
      <c r="A630" s="36"/>
      <c r="B630" s="156" t="s">
        <v>11</v>
      </c>
      <c r="C630" s="157">
        <v>1.0</v>
      </c>
      <c r="D630" s="158"/>
      <c r="E630" s="159">
        <f t="shared" si="1"/>
        <v>1</v>
      </c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</row>
    <row r="631">
      <c r="A631" s="36"/>
      <c r="B631" s="162" t="s">
        <v>12</v>
      </c>
      <c r="C631" s="157">
        <v>29.0</v>
      </c>
      <c r="D631" s="158"/>
      <c r="E631" s="159">
        <f t="shared" si="1"/>
        <v>29</v>
      </c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</row>
    <row r="632">
      <c r="A632" s="36"/>
      <c r="B632" s="162" t="s">
        <v>13</v>
      </c>
      <c r="C632" s="157">
        <v>0.0</v>
      </c>
      <c r="D632" s="158"/>
      <c r="E632" s="159">
        <f t="shared" si="1"/>
        <v>0</v>
      </c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</row>
    <row r="633">
      <c r="A633" s="36"/>
      <c r="B633" s="162" t="s">
        <v>14</v>
      </c>
      <c r="C633" s="157">
        <v>0.0</v>
      </c>
      <c r="D633" s="158"/>
      <c r="E633" s="159">
        <f t="shared" si="1"/>
        <v>0</v>
      </c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</row>
    <row r="634">
      <c r="A634" s="36"/>
      <c r="B634" s="162" t="s">
        <v>15</v>
      </c>
      <c r="C634" s="157">
        <v>0.0</v>
      </c>
      <c r="D634" s="158"/>
      <c r="E634" s="159">
        <f t="shared" si="1"/>
        <v>0</v>
      </c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</row>
    <row r="635">
      <c r="A635" s="36"/>
      <c r="B635" s="162" t="s">
        <v>16</v>
      </c>
      <c r="C635" s="157">
        <v>1.0</v>
      </c>
      <c r="D635" s="158"/>
      <c r="E635" s="159">
        <f t="shared" si="1"/>
        <v>1</v>
      </c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</row>
    <row r="636">
      <c r="A636" s="36"/>
      <c r="B636" s="162" t="s">
        <v>17</v>
      </c>
      <c r="C636" s="157">
        <v>0.0</v>
      </c>
      <c r="D636" s="158"/>
      <c r="E636" s="159">
        <f t="shared" si="1"/>
        <v>0</v>
      </c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</row>
    <row r="637">
      <c r="A637" s="36"/>
      <c r="B637" s="156" t="s">
        <v>18</v>
      </c>
      <c r="C637" s="157">
        <v>0.0</v>
      </c>
      <c r="D637" s="158"/>
      <c r="E637" s="159">
        <f t="shared" si="1"/>
        <v>0</v>
      </c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</row>
    <row r="638">
      <c r="A638" s="36"/>
      <c r="B638" s="156" t="s">
        <v>19</v>
      </c>
      <c r="C638" s="157">
        <v>6.0</v>
      </c>
      <c r="D638" s="158"/>
      <c r="E638" s="159">
        <f t="shared" si="1"/>
        <v>6</v>
      </c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</row>
    <row r="639">
      <c r="A639" s="36"/>
      <c r="B639" s="156" t="s">
        <v>20</v>
      </c>
      <c r="C639" s="157">
        <v>0.0</v>
      </c>
      <c r="D639" s="158"/>
      <c r="E639" s="159">
        <f t="shared" si="1"/>
        <v>0</v>
      </c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</row>
    <row r="640">
      <c r="A640" s="36"/>
      <c r="B640" s="156" t="s">
        <v>21</v>
      </c>
      <c r="C640" s="157">
        <v>0.0</v>
      </c>
      <c r="D640" s="158"/>
      <c r="E640" s="159">
        <f t="shared" si="1"/>
        <v>0</v>
      </c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</row>
    <row r="641">
      <c r="A641" s="36"/>
      <c r="B641" s="156" t="s">
        <v>23</v>
      </c>
      <c r="C641" s="157">
        <v>0.0</v>
      </c>
      <c r="D641" s="158"/>
      <c r="E641" s="159">
        <f t="shared" si="1"/>
        <v>0</v>
      </c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</row>
    <row r="642">
      <c r="A642" s="36"/>
      <c r="B642" s="156" t="s">
        <v>24</v>
      </c>
      <c r="C642" s="157">
        <v>12.0</v>
      </c>
      <c r="D642" s="158"/>
      <c r="E642" s="159">
        <f t="shared" si="1"/>
        <v>12</v>
      </c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</row>
    <row r="643">
      <c r="A643" s="36"/>
      <c r="B643" s="156" t="s">
        <v>25</v>
      </c>
      <c r="C643" s="163">
        <v>21.0</v>
      </c>
      <c r="D643" s="164"/>
      <c r="E643" s="159">
        <f t="shared" si="1"/>
        <v>21</v>
      </c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</row>
    <row r="644">
      <c r="A644" s="36"/>
      <c r="B644" s="156" t="s">
        <v>26</v>
      </c>
      <c r="C644" s="163">
        <v>16.0</v>
      </c>
      <c r="D644" s="164"/>
      <c r="E644" s="159">
        <f t="shared" si="1"/>
        <v>16</v>
      </c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</row>
    <row r="645">
      <c r="A645" s="36"/>
      <c r="B645" s="156" t="s">
        <v>27</v>
      </c>
      <c r="C645" s="163">
        <v>39.0</v>
      </c>
      <c r="D645" s="164"/>
      <c r="E645" s="159">
        <f t="shared" si="1"/>
        <v>39</v>
      </c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</row>
    <row r="646">
      <c r="A646" s="36"/>
      <c r="B646" s="156" t="s">
        <v>28</v>
      </c>
      <c r="C646" s="163">
        <v>0.0</v>
      </c>
      <c r="D646" s="164"/>
      <c r="E646" s="159">
        <f t="shared" si="1"/>
        <v>0</v>
      </c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</row>
    <row r="647">
      <c r="A647" s="36"/>
      <c r="B647" s="165" t="s">
        <v>29</v>
      </c>
      <c r="C647" s="163">
        <v>0.0</v>
      </c>
      <c r="D647" s="164"/>
      <c r="E647" s="159">
        <f t="shared" si="1"/>
        <v>0</v>
      </c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</row>
    <row r="648">
      <c r="A648" s="36"/>
      <c r="B648" s="166" t="s">
        <v>30</v>
      </c>
      <c r="C648" s="163">
        <v>1.0</v>
      </c>
      <c r="D648" s="164"/>
      <c r="E648" s="159">
        <f t="shared" si="1"/>
        <v>1</v>
      </c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</row>
    <row r="649">
      <c r="A649" s="36"/>
      <c r="B649" s="167" t="s">
        <v>31</v>
      </c>
      <c r="C649" s="163">
        <v>0.0</v>
      </c>
      <c r="D649" s="164"/>
      <c r="E649" s="159">
        <f t="shared" si="1"/>
        <v>0</v>
      </c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</row>
    <row r="650">
      <c r="A650" s="36"/>
      <c r="B650" s="167" t="s">
        <v>32</v>
      </c>
      <c r="C650" s="163">
        <v>2.0</v>
      </c>
      <c r="D650" s="164"/>
      <c r="E650" s="159">
        <f t="shared" si="1"/>
        <v>2</v>
      </c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</row>
    <row r="651">
      <c r="A651" s="36"/>
      <c r="B651" s="167" t="s">
        <v>33</v>
      </c>
      <c r="C651" s="163">
        <v>0.0</v>
      </c>
      <c r="D651" s="164"/>
      <c r="E651" s="159">
        <f t="shared" si="1"/>
        <v>0</v>
      </c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</row>
    <row r="652">
      <c r="A652" s="91"/>
      <c r="B652" s="167" t="s">
        <v>34</v>
      </c>
      <c r="C652" s="163">
        <v>0.0</v>
      </c>
      <c r="D652" s="164"/>
      <c r="E652" s="159">
        <f t="shared" si="1"/>
        <v>0</v>
      </c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</row>
    <row r="653">
      <c r="A653" s="155">
        <v>46189.0</v>
      </c>
      <c r="B653" s="156" t="s">
        <v>4</v>
      </c>
      <c r="C653" s="157">
        <v>0.0</v>
      </c>
      <c r="D653" s="158"/>
      <c r="E653" s="159">
        <f t="shared" si="1"/>
        <v>0</v>
      </c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</row>
    <row r="654">
      <c r="A654" s="36"/>
      <c r="B654" s="156" t="s">
        <v>5</v>
      </c>
      <c r="C654" s="157">
        <v>0.0</v>
      </c>
      <c r="D654" s="158"/>
      <c r="E654" s="159">
        <f t="shared" si="1"/>
        <v>0</v>
      </c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</row>
    <row r="655">
      <c r="A655" s="36"/>
      <c r="B655" s="156" t="s">
        <v>6</v>
      </c>
      <c r="C655" s="157">
        <v>2.0</v>
      </c>
      <c r="D655" s="158"/>
      <c r="E655" s="159">
        <f t="shared" si="1"/>
        <v>2</v>
      </c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</row>
    <row r="656">
      <c r="A656" s="36"/>
      <c r="B656" s="156" t="s">
        <v>22</v>
      </c>
      <c r="C656" s="157">
        <v>2.0</v>
      </c>
      <c r="D656" s="158"/>
      <c r="E656" s="159">
        <f t="shared" si="1"/>
        <v>2</v>
      </c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</row>
    <row r="657">
      <c r="A657" s="36"/>
      <c r="B657" s="156" t="s">
        <v>7</v>
      </c>
      <c r="C657" s="157">
        <v>5.0</v>
      </c>
      <c r="D657" s="158"/>
      <c r="E657" s="159">
        <f t="shared" si="1"/>
        <v>5</v>
      </c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</row>
    <row r="658">
      <c r="A658" s="36"/>
      <c r="B658" s="162" t="s">
        <v>8</v>
      </c>
      <c r="C658" s="157">
        <v>12.0</v>
      </c>
      <c r="D658" s="158"/>
      <c r="E658" s="159">
        <f t="shared" si="1"/>
        <v>12</v>
      </c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</row>
    <row r="659">
      <c r="A659" s="36"/>
      <c r="B659" s="156" t="s">
        <v>9</v>
      </c>
      <c r="C659" s="157">
        <v>4.0</v>
      </c>
      <c r="D659" s="158"/>
      <c r="E659" s="159">
        <f t="shared" si="1"/>
        <v>4</v>
      </c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</row>
    <row r="660">
      <c r="A660" s="36"/>
      <c r="B660" s="156" t="s">
        <v>10</v>
      </c>
      <c r="C660" s="157">
        <v>11.0</v>
      </c>
      <c r="D660" s="158"/>
      <c r="E660" s="159">
        <f t="shared" si="1"/>
        <v>11</v>
      </c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</row>
    <row r="661">
      <c r="A661" s="36"/>
      <c r="B661" s="156" t="s">
        <v>11</v>
      </c>
      <c r="C661" s="157">
        <v>2.0</v>
      </c>
      <c r="D661" s="158"/>
      <c r="E661" s="159">
        <f t="shared" si="1"/>
        <v>2</v>
      </c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</row>
    <row r="662">
      <c r="A662" s="36"/>
      <c r="B662" s="162" t="s">
        <v>12</v>
      </c>
      <c r="C662" s="157">
        <v>39.0</v>
      </c>
      <c r="D662" s="158"/>
      <c r="E662" s="159">
        <f t="shared" si="1"/>
        <v>39</v>
      </c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</row>
    <row r="663">
      <c r="A663" s="36"/>
      <c r="B663" s="162" t="s">
        <v>13</v>
      </c>
      <c r="C663" s="157">
        <v>2.0</v>
      </c>
      <c r="D663" s="158"/>
      <c r="E663" s="159">
        <f t="shared" si="1"/>
        <v>2</v>
      </c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</row>
    <row r="664">
      <c r="A664" s="36"/>
      <c r="B664" s="162" t="s">
        <v>14</v>
      </c>
      <c r="C664" s="157">
        <v>0.0</v>
      </c>
      <c r="D664" s="158"/>
      <c r="E664" s="159">
        <f t="shared" si="1"/>
        <v>0</v>
      </c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</row>
    <row r="665">
      <c r="A665" s="36"/>
      <c r="B665" s="162" t="s">
        <v>15</v>
      </c>
      <c r="C665" s="157">
        <v>0.0</v>
      </c>
      <c r="D665" s="158"/>
      <c r="E665" s="159">
        <f t="shared" si="1"/>
        <v>0</v>
      </c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</row>
    <row r="666">
      <c r="A666" s="36"/>
      <c r="B666" s="162" t="s">
        <v>16</v>
      </c>
      <c r="C666" s="157">
        <v>2.0</v>
      </c>
      <c r="D666" s="158"/>
      <c r="E666" s="159">
        <f t="shared" si="1"/>
        <v>2</v>
      </c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</row>
    <row r="667">
      <c r="A667" s="36"/>
      <c r="B667" s="162" t="s">
        <v>17</v>
      </c>
      <c r="C667" s="157">
        <v>1.0</v>
      </c>
      <c r="D667" s="158"/>
      <c r="E667" s="159">
        <f t="shared" si="1"/>
        <v>1</v>
      </c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</row>
    <row r="668">
      <c r="A668" s="36"/>
      <c r="B668" s="156" t="s">
        <v>18</v>
      </c>
      <c r="C668" s="157">
        <v>4.0</v>
      </c>
      <c r="D668" s="158"/>
      <c r="E668" s="159">
        <f t="shared" si="1"/>
        <v>4</v>
      </c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</row>
    <row r="669">
      <c r="A669" s="36"/>
      <c r="B669" s="156" t="s">
        <v>19</v>
      </c>
      <c r="C669" s="157">
        <v>7.0</v>
      </c>
      <c r="D669" s="158"/>
      <c r="E669" s="159">
        <f t="shared" si="1"/>
        <v>7</v>
      </c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</row>
    <row r="670">
      <c r="A670" s="36"/>
      <c r="B670" s="156" t="s">
        <v>20</v>
      </c>
      <c r="C670" s="157">
        <v>0.0</v>
      </c>
      <c r="D670" s="158"/>
      <c r="E670" s="159">
        <f t="shared" si="1"/>
        <v>0</v>
      </c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</row>
    <row r="671">
      <c r="A671" s="36"/>
      <c r="B671" s="156" t="s">
        <v>21</v>
      </c>
      <c r="C671" s="157">
        <v>1.0</v>
      </c>
      <c r="D671" s="158"/>
      <c r="E671" s="159">
        <f t="shared" si="1"/>
        <v>1</v>
      </c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</row>
    <row r="672">
      <c r="A672" s="36"/>
      <c r="B672" s="156" t="s">
        <v>23</v>
      </c>
      <c r="C672" s="157">
        <v>0.0</v>
      </c>
      <c r="D672" s="158"/>
      <c r="E672" s="159">
        <f t="shared" si="1"/>
        <v>0</v>
      </c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</row>
    <row r="673">
      <c r="A673" s="36"/>
      <c r="B673" s="156" t="s">
        <v>24</v>
      </c>
      <c r="C673" s="157">
        <v>18.0</v>
      </c>
      <c r="D673" s="158"/>
      <c r="E673" s="159">
        <f t="shared" si="1"/>
        <v>18</v>
      </c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</row>
    <row r="674">
      <c r="A674" s="36"/>
      <c r="B674" s="156" t="s">
        <v>25</v>
      </c>
      <c r="C674" s="163">
        <v>39.0</v>
      </c>
      <c r="D674" s="164"/>
      <c r="E674" s="159">
        <f t="shared" si="1"/>
        <v>39</v>
      </c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</row>
    <row r="675">
      <c r="A675" s="36"/>
      <c r="B675" s="156" t="s">
        <v>26</v>
      </c>
      <c r="C675" s="163">
        <v>35.0</v>
      </c>
      <c r="D675" s="164"/>
      <c r="E675" s="159">
        <f t="shared" si="1"/>
        <v>35</v>
      </c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</row>
    <row r="676">
      <c r="A676" s="36"/>
      <c r="B676" s="156" t="s">
        <v>27</v>
      </c>
      <c r="C676" s="163">
        <v>66.0</v>
      </c>
      <c r="D676" s="164"/>
      <c r="E676" s="159">
        <f t="shared" si="1"/>
        <v>66</v>
      </c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</row>
    <row r="677">
      <c r="A677" s="36"/>
      <c r="B677" s="156" t="s">
        <v>28</v>
      </c>
      <c r="C677" s="163">
        <v>0.0</v>
      </c>
      <c r="D677" s="164"/>
      <c r="E677" s="159">
        <f t="shared" si="1"/>
        <v>0</v>
      </c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</row>
    <row r="678">
      <c r="A678" s="36"/>
      <c r="B678" s="165" t="s">
        <v>29</v>
      </c>
      <c r="C678" s="163">
        <v>0.0</v>
      </c>
      <c r="D678" s="164"/>
      <c r="E678" s="159">
        <f t="shared" si="1"/>
        <v>0</v>
      </c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</row>
    <row r="679">
      <c r="A679" s="36"/>
      <c r="B679" s="166" t="s">
        <v>30</v>
      </c>
      <c r="C679" s="163">
        <v>3.0</v>
      </c>
      <c r="D679" s="164"/>
      <c r="E679" s="159">
        <f t="shared" si="1"/>
        <v>3</v>
      </c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</row>
    <row r="680">
      <c r="A680" s="36"/>
      <c r="B680" s="167" t="s">
        <v>31</v>
      </c>
      <c r="C680" s="163">
        <v>0.0</v>
      </c>
      <c r="D680" s="164"/>
      <c r="E680" s="159">
        <f t="shared" si="1"/>
        <v>0</v>
      </c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</row>
    <row r="681">
      <c r="A681" s="36"/>
      <c r="B681" s="167" t="s">
        <v>32</v>
      </c>
      <c r="C681" s="163">
        <v>5.0</v>
      </c>
      <c r="D681" s="164"/>
      <c r="E681" s="159">
        <f t="shared" si="1"/>
        <v>5</v>
      </c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</row>
    <row r="682">
      <c r="A682" s="36"/>
      <c r="B682" s="167" t="s">
        <v>33</v>
      </c>
      <c r="C682" s="163">
        <v>3.0</v>
      </c>
      <c r="D682" s="164"/>
      <c r="E682" s="159">
        <f t="shared" si="1"/>
        <v>3</v>
      </c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</row>
    <row r="683">
      <c r="A683" s="91"/>
      <c r="B683" s="167" t="s">
        <v>34</v>
      </c>
      <c r="C683" s="163">
        <v>1.0</v>
      </c>
      <c r="D683" s="164"/>
      <c r="E683" s="159">
        <f t="shared" si="1"/>
        <v>1</v>
      </c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</row>
    <row r="684">
      <c r="A684" s="155">
        <v>46190.0</v>
      </c>
      <c r="B684" s="156" t="s">
        <v>4</v>
      </c>
      <c r="C684" s="157">
        <v>0.0</v>
      </c>
      <c r="D684" s="158"/>
      <c r="E684" s="159">
        <f t="shared" si="1"/>
        <v>0</v>
      </c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</row>
    <row r="685">
      <c r="A685" s="36"/>
      <c r="B685" s="156" t="s">
        <v>5</v>
      </c>
      <c r="C685" s="157">
        <v>0.0</v>
      </c>
      <c r="D685" s="158"/>
      <c r="E685" s="159">
        <f t="shared" si="1"/>
        <v>0</v>
      </c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</row>
    <row r="686">
      <c r="A686" s="36"/>
      <c r="B686" s="156" t="s">
        <v>6</v>
      </c>
      <c r="C686" s="157">
        <v>0.0</v>
      </c>
      <c r="D686" s="158"/>
      <c r="E686" s="159">
        <f t="shared" si="1"/>
        <v>0</v>
      </c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</row>
    <row r="687">
      <c r="A687" s="36"/>
      <c r="B687" s="156" t="s">
        <v>22</v>
      </c>
      <c r="C687" s="157">
        <v>0.0</v>
      </c>
      <c r="D687" s="158"/>
      <c r="E687" s="159">
        <f t="shared" si="1"/>
        <v>0</v>
      </c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</row>
    <row r="688">
      <c r="A688" s="36"/>
      <c r="B688" s="156" t="s">
        <v>7</v>
      </c>
      <c r="C688" s="157">
        <v>2.0</v>
      </c>
      <c r="D688" s="158"/>
      <c r="E688" s="159">
        <f t="shared" si="1"/>
        <v>2</v>
      </c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</row>
    <row r="689">
      <c r="A689" s="36"/>
      <c r="B689" s="162" t="s">
        <v>8</v>
      </c>
      <c r="C689" s="157">
        <v>7.0</v>
      </c>
      <c r="D689" s="158"/>
      <c r="E689" s="159">
        <f t="shared" si="1"/>
        <v>7</v>
      </c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</row>
    <row r="690">
      <c r="A690" s="36"/>
      <c r="B690" s="156" t="s">
        <v>9</v>
      </c>
      <c r="C690" s="157">
        <v>3.0</v>
      </c>
      <c r="D690" s="158"/>
      <c r="E690" s="159">
        <f t="shared" si="1"/>
        <v>3</v>
      </c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</row>
    <row r="691">
      <c r="A691" s="36"/>
      <c r="B691" s="156" t="s">
        <v>10</v>
      </c>
      <c r="C691" s="157">
        <v>4.0</v>
      </c>
      <c r="D691" s="158"/>
      <c r="E691" s="159">
        <f t="shared" si="1"/>
        <v>4</v>
      </c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</row>
    <row r="692">
      <c r="A692" s="36"/>
      <c r="B692" s="156" t="s">
        <v>11</v>
      </c>
      <c r="C692" s="157">
        <v>3.0</v>
      </c>
      <c r="D692" s="158"/>
      <c r="E692" s="159">
        <f t="shared" si="1"/>
        <v>3</v>
      </c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</row>
    <row r="693">
      <c r="A693" s="36"/>
      <c r="B693" s="162" t="s">
        <v>12</v>
      </c>
      <c r="C693" s="157">
        <v>27.0</v>
      </c>
      <c r="D693" s="158"/>
      <c r="E693" s="159">
        <f t="shared" si="1"/>
        <v>27</v>
      </c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</row>
    <row r="694">
      <c r="A694" s="36"/>
      <c r="B694" s="162" t="s">
        <v>13</v>
      </c>
      <c r="C694" s="157">
        <v>0.0</v>
      </c>
      <c r="D694" s="158"/>
      <c r="E694" s="159">
        <f t="shared" si="1"/>
        <v>0</v>
      </c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</row>
    <row r="695">
      <c r="A695" s="36"/>
      <c r="B695" s="162" t="s">
        <v>14</v>
      </c>
      <c r="C695" s="157">
        <v>0.0</v>
      </c>
      <c r="D695" s="158"/>
      <c r="E695" s="159">
        <f t="shared" si="1"/>
        <v>0</v>
      </c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</row>
    <row r="696">
      <c r="A696" s="36"/>
      <c r="B696" s="162" t="s">
        <v>15</v>
      </c>
      <c r="C696" s="157">
        <v>0.0</v>
      </c>
      <c r="D696" s="158"/>
      <c r="E696" s="159">
        <f t="shared" si="1"/>
        <v>0</v>
      </c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</row>
    <row r="697">
      <c r="A697" s="36"/>
      <c r="B697" s="162" t="s">
        <v>16</v>
      </c>
      <c r="C697" s="157">
        <v>0.0</v>
      </c>
      <c r="D697" s="158"/>
      <c r="E697" s="159">
        <f t="shared" si="1"/>
        <v>0</v>
      </c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</row>
    <row r="698">
      <c r="A698" s="36"/>
      <c r="B698" s="162" t="s">
        <v>17</v>
      </c>
      <c r="C698" s="157">
        <v>3.0</v>
      </c>
      <c r="D698" s="158"/>
      <c r="E698" s="159">
        <f t="shared" si="1"/>
        <v>3</v>
      </c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</row>
    <row r="699">
      <c r="A699" s="36"/>
      <c r="B699" s="156" t="s">
        <v>18</v>
      </c>
      <c r="C699" s="157">
        <v>6.0</v>
      </c>
      <c r="D699" s="158"/>
      <c r="E699" s="159">
        <f t="shared" si="1"/>
        <v>6</v>
      </c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</row>
    <row r="700">
      <c r="A700" s="36"/>
      <c r="B700" s="156" t="s">
        <v>19</v>
      </c>
      <c r="C700" s="157">
        <v>1.0</v>
      </c>
      <c r="D700" s="158"/>
      <c r="E700" s="159">
        <f t="shared" si="1"/>
        <v>1</v>
      </c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</row>
    <row r="701">
      <c r="A701" s="36"/>
      <c r="B701" s="156" t="s">
        <v>20</v>
      </c>
      <c r="C701" s="157">
        <v>0.0</v>
      </c>
      <c r="D701" s="158"/>
      <c r="E701" s="159">
        <f t="shared" si="1"/>
        <v>0</v>
      </c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</row>
    <row r="702">
      <c r="A702" s="36"/>
      <c r="B702" s="156" t="s">
        <v>21</v>
      </c>
      <c r="C702" s="157">
        <v>1.0</v>
      </c>
      <c r="D702" s="158"/>
      <c r="E702" s="159">
        <f t="shared" si="1"/>
        <v>1</v>
      </c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</row>
    <row r="703">
      <c r="A703" s="36"/>
      <c r="B703" s="156" t="s">
        <v>23</v>
      </c>
      <c r="C703" s="157">
        <v>0.0</v>
      </c>
      <c r="D703" s="158"/>
      <c r="E703" s="159">
        <f t="shared" si="1"/>
        <v>0</v>
      </c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</row>
    <row r="704">
      <c r="A704" s="36"/>
      <c r="B704" s="156" t="s">
        <v>24</v>
      </c>
      <c r="C704" s="157">
        <v>15.0</v>
      </c>
      <c r="D704" s="158"/>
      <c r="E704" s="159">
        <f t="shared" si="1"/>
        <v>15</v>
      </c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</row>
    <row r="705">
      <c r="A705" s="36"/>
      <c r="B705" s="156" t="s">
        <v>25</v>
      </c>
      <c r="C705" s="163">
        <v>21.0</v>
      </c>
      <c r="D705" s="164"/>
      <c r="E705" s="159">
        <f t="shared" si="1"/>
        <v>21</v>
      </c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</row>
    <row r="706">
      <c r="A706" s="36"/>
      <c r="B706" s="156" t="s">
        <v>26</v>
      </c>
      <c r="C706" s="163">
        <v>25.0</v>
      </c>
      <c r="D706" s="164"/>
      <c r="E706" s="159">
        <f t="shared" si="1"/>
        <v>25</v>
      </c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</row>
    <row r="707">
      <c r="A707" s="36"/>
      <c r="B707" s="156" t="s">
        <v>27</v>
      </c>
      <c r="C707" s="163">
        <v>44.0</v>
      </c>
      <c r="D707" s="164"/>
      <c r="E707" s="159">
        <f t="shared" si="1"/>
        <v>44</v>
      </c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</row>
    <row r="708">
      <c r="A708" s="36"/>
      <c r="B708" s="156" t="s">
        <v>28</v>
      </c>
      <c r="C708" s="163">
        <v>7.0</v>
      </c>
      <c r="D708" s="164"/>
      <c r="E708" s="159">
        <f t="shared" si="1"/>
        <v>7</v>
      </c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</row>
    <row r="709">
      <c r="A709" s="36"/>
      <c r="B709" s="165" t="s">
        <v>29</v>
      </c>
      <c r="C709" s="163">
        <v>0.0</v>
      </c>
      <c r="D709" s="164"/>
      <c r="E709" s="159">
        <f t="shared" si="1"/>
        <v>0</v>
      </c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</row>
    <row r="710">
      <c r="A710" s="36"/>
      <c r="B710" s="166" t="s">
        <v>30</v>
      </c>
      <c r="C710" s="163">
        <v>2.0</v>
      </c>
      <c r="D710" s="164"/>
      <c r="E710" s="159">
        <f t="shared" si="1"/>
        <v>2</v>
      </c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</row>
    <row r="711">
      <c r="A711" s="36"/>
      <c r="B711" s="167" t="s">
        <v>31</v>
      </c>
      <c r="C711" s="163">
        <v>0.0</v>
      </c>
      <c r="D711" s="164"/>
      <c r="E711" s="159">
        <f t="shared" si="1"/>
        <v>0</v>
      </c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</row>
    <row r="712">
      <c r="A712" s="36"/>
      <c r="B712" s="167" t="s">
        <v>32</v>
      </c>
      <c r="C712" s="163">
        <v>9.0</v>
      </c>
      <c r="D712" s="164"/>
      <c r="E712" s="159">
        <f t="shared" si="1"/>
        <v>9</v>
      </c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</row>
    <row r="713">
      <c r="A713" s="36"/>
      <c r="B713" s="167" t="s">
        <v>33</v>
      </c>
      <c r="C713" s="163">
        <v>1.0</v>
      </c>
      <c r="D713" s="164"/>
      <c r="E713" s="159">
        <f t="shared" si="1"/>
        <v>1</v>
      </c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</row>
    <row r="714">
      <c r="A714" s="91"/>
      <c r="B714" s="167" t="s">
        <v>34</v>
      </c>
      <c r="C714" s="163">
        <v>0.0</v>
      </c>
      <c r="D714" s="164"/>
      <c r="E714" s="159">
        <f t="shared" si="1"/>
        <v>0</v>
      </c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</row>
    <row r="715">
      <c r="A715" s="155">
        <v>46191.0</v>
      </c>
      <c r="B715" s="156" t="s">
        <v>4</v>
      </c>
      <c r="C715" s="157">
        <v>0.0</v>
      </c>
      <c r="D715" s="158"/>
      <c r="E715" s="159">
        <f t="shared" si="1"/>
        <v>0</v>
      </c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</row>
    <row r="716">
      <c r="A716" s="36"/>
      <c r="B716" s="156" t="s">
        <v>5</v>
      </c>
      <c r="C716" s="157">
        <v>0.0</v>
      </c>
      <c r="D716" s="158"/>
      <c r="E716" s="159">
        <f t="shared" si="1"/>
        <v>0</v>
      </c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</row>
    <row r="717">
      <c r="A717" s="36"/>
      <c r="B717" s="156" t="s">
        <v>6</v>
      </c>
      <c r="C717" s="157">
        <v>1.0</v>
      </c>
      <c r="D717" s="158"/>
      <c r="E717" s="159">
        <f t="shared" si="1"/>
        <v>1</v>
      </c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</row>
    <row r="718">
      <c r="A718" s="36"/>
      <c r="B718" s="156" t="s">
        <v>22</v>
      </c>
      <c r="C718" s="157">
        <v>0.0</v>
      </c>
      <c r="D718" s="158"/>
      <c r="E718" s="159">
        <f t="shared" si="1"/>
        <v>0</v>
      </c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</row>
    <row r="719">
      <c r="A719" s="36"/>
      <c r="B719" s="156" t="s">
        <v>7</v>
      </c>
      <c r="C719" s="157">
        <v>0.0</v>
      </c>
      <c r="D719" s="158"/>
      <c r="E719" s="159">
        <f t="shared" si="1"/>
        <v>0</v>
      </c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</row>
    <row r="720">
      <c r="A720" s="36"/>
      <c r="B720" s="162" t="s">
        <v>8</v>
      </c>
      <c r="C720" s="157">
        <v>4.0</v>
      </c>
      <c r="D720" s="158"/>
      <c r="E720" s="159">
        <f t="shared" si="1"/>
        <v>4</v>
      </c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</row>
    <row r="721">
      <c r="A721" s="36"/>
      <c r="B721" s="156" t="s">
        <v>9</v>
      </c>
      <c r="C721" s="157">
        <v>8.0</v>
      </c>
      <c r="D721" s="158"/>
      <c r="E721" s="159">
        <f t="shared" si="1"/>
        <v>8</v>
      </c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</row>
    <row r="722">
      <c r="A722" s="36"/>
      <c r="B722" s="156" t="s">
        <v>10</v>
      </c>
      <c r="C722" s="157">
        <v>6.0</v>
      </c>
      <c r="D722" s="158"/>
      <c r="E722" s="159">
        <f t="shared" si="1"/>
        <v>6</v>
      </c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</row>
    <row r="723">
      <c r="A723" s="36"/>
      <c r="B723" s="156" t="s">
        <v>11</v>
      </c>
      <c r="C723" s="157">
        <v>7.0</v>
      </c>
      <c r="D723" s="158"/>
      <c r="E723" s="159">
        <f t="shared" si="1"/>
        <v>7</v>
      </c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</row>
    <row r="724">
      <c r="A724" s="36"/>
      <c r="B724" s="162" t="s">
        <v>12</v>
      </c>
      <c r="C724" s="157">
        <v>30.0</v>
      </c>
      <c r="D724" s="158"/>
      <c r="E724" s="159">
        <f t="shared" si="1"/>
        <v>30</v>
      </c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</row>
    <row r="725">
      <c r="A725" s="36"/>
      <c r="B725" s="162" t="s">
        <v>13</v>
      </c>
      <c r="C725" s="157">
        <v>0.0</v>
      </c>
      <c r="D725" s="158"/>
      <c r="E725" s="159">
        <f t="shared" si="1"/>
        <v>0</v>
      </c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</row>
    <row r="726">
      <c r="A726" s="36"/>
      <c r="B726" s="162" t="s">
        <v>14</v>
      </c>
      <c r="C726" s="157">
        <v>0.0</v>
      </c>
      <c r="D726" s="158"/>
      <c r="E726" s="159">
        <f t="shared" si="1"/>
        <v>0</v>
      </c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</row>
    <row r="727">
      <c r="A727" s="36"/>
      <c r="B727" s="162" t="s">
        <v>15</v>
      </c>
      <c r="C727" s="157">
        <v>0.0</v>
      </c>
      <c r="D727" s="158"/>
      <c r="E727" s="159">
        <f t="shared" si="1"/>
        <v>0</v>
      </c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</row>
    <row r="728">
      <c r="A728" s="36"/>
      <c r="B728" s="162" t="s">
        <v>16</v>
      </c>
      <c r="C728" s="157">
        <v>0.0</v>
      </c>
      <c r="D728" s="158"/>
      <c r="E728" s="159">
        <f t="shared" si="1"/>
        <v>0</v>
      </c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</row>
    <row r="729">
      <c r="A729" s="36"/>
      <c r="B729" s="162" t="s">
        <v>17</v>
      </c>
      <c r="C729" s="157">
        <v>3.0</v>
      </c>
      <c r="D729" s="158"/>
      <c r="E729" s="159">
        <f t="shared" si="1"/>
        <v>3</v>
      </c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</row>
    <row r="730">
      <c r="A730" s="36"/>
      <c r="B730" s="156" t="s">
        <v>18</v>
      </c>
      <c r="C730" s="157">
        <v>6.0</v>
      </c>
      <c r="D730" s="158"/>
      <c r="E730" s="159">
        <f t="shared" si="1"/>
        <v>6</v>
      </c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</row>
    <row r="731">
      <c r="A731" s="36"/>
      <c r="B731" s="156" t="s">
        <v>19</v>
      </c>
      <c r="C731" s="157">
        <v>6.0</v>
      </c>
      <c r="D731" s="158"/>
      <c r="E731" s="159">
        <f t="shared" si="1"/>
        <v>6</v>
      </c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</row>
    <row r="732">
      <c r="A732" s="36"/>
      <c r="B732" s="156" t="s">
        <v>20</v>
      </c>
      <c r="C732" s="157">
        <v>0.0</v>
      </c>
      <c r="D732" s="158"/>
      <c r="E732" s="159">
        <f t="shared" si="1"/>
        <v>0</v>
      </c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</row>
    <row r="733">
      <c r="A733" s="36"/>
      <c r="B733" s="156" t="s">
        <v>21</v>
      </c>
      <c r="C733" s="157">
        <v>1.0</v>
      </c>
      <c r="D733" s="158"/>
      <c r="E733" s="159">
        <f t="shared" si="1"/>
        <v>1</v>
      </c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</row>
    <row r="734">
      <c r="A734" s="36"/>
      <c r="B734" s="156" t="s">
        <v>23</v>
      </c>
      <c r="C734" s="157">
        <v>0.0</v>
      </c>
      <c r="D734" s="158"/>
      <c r="E734" s="159">
        <f t="shared" si="1"/>
        <v>0</v>
      </c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</row>
    <row r="735">
      <c r="A735" s="36"/>
      <c r="B735" s="156" t="s">
        <v>24</v>
      </c>
      <c r="C735" s="157">
        <v>22.0</v>
      </c>
      <c r="D735" s="158"/>
      <c r="E735" s="159">
        <f t="shared" si="1"/>
        <v>22</v>
      </c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</row>
    <row r="736">
      <c r="A736" s="36"/>
      <c r="B736" s="156" t="s">
        <v>25</v>
      </c>
      <c r="C736" s="163">
        <v>26.0</v>
      </c>
      <c r="D736" s="164"/>
      <c r="E736" s="159">
        <f t="shared" si="1"/>
        <v>26</v>
      </c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</row>
    <row r="737">
      <c r="A737" s="36"/>
      <c r="B737" s="156" t="s">
        <v>26</v>
      </c>
      <c r="C737" s="163">
        <v>37.0</v>
      </c>
      <c r="D737" s="164"/>
      <c r="E737" s="159">
        <f t="shared" si="1"/>
        <v>37</v>
      </c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</row>
    <row r="738">
      <c r="A738" s="36"/>
      <c r="B738" s="156" t="s">
        <v>27</v>
      </c>
      <c r="C738" s="163">
        <v>54.0</v>
      </c>
      <c r="D738" s="164"/>
      <c r="E738" s="159">
        <f t="shared" si="1"/>
        <v>54</v>
      </c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</row>
    <row r="739">
      <c r="A739" s="36"/>
      <c r="B739" s="156" t="s">
        <v>28</v>
      </c>
      <c r="C739" s="163">
        <v>0.0</v>
      </c>
      <c r="D739" s="164"/>
      <c r="E739" s="159">
        <f t="shared" si="1"/>
        <v>0</v>
      </c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</row>
    <row r="740">
      <c r="A740" s="36"/>
      <c r="B740" s="165" t="s">
        <v>29</v>
      </c>
      <c r="C740" s="163">
        <v>0.0</v>
      </c>
      <c r="D740" s="164"/>
      <c r="E740" s="159">
        <f t="shared" si="1"/>
        <v>0</v>
      </c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</row>
    <row r="741">
      <c r="A741" s="36"/>
      <c r="B741" s="166" t="s">
        <v>30</v>
      </c>
      <c r="C741" s="163">
        <v>0.0</v>
      </c>
      <c r="D741" s="164"/>
      <c r="E741" s="159">
        <f t="shared" si="1"/>
        <v>0</v>
      </c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</row>
    <row r="742">
      <c r="A742" s="36"/>
      <c r="B742" s="167" t="s">
        <v>31</v>
      </c>
      <c r="C742" s="163">
        <v>0.0</v>
      </c>
      <c r="D742" s="164"/>
      <c r="E742" s="159">
        <f t="shared" si="1"/>
        <v>0</v>
      </c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</row>
    <row r="743">
      <c r="A743" s="36"/>
      <c r="B743" s="167" t="s">
        <v>32</v>
      </c>
      <c r="C743" s="163">
        <v>3.0</v>
      </c>
      <c r="D743" s="164"/>
      <c r="E743" s="159">
        <f t="shared" si="1"/>
        <v>3</v>
      </c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</row>
    <row r="744">
      <c r="A744" s="36"/>
      <c r="B744" s="167" t="s">
        <v>33</v>
      </c>
      <c r="C744" s="163">
        <v>0.0</v>
      </c>
      <c r="D744" s="164"/>
      <c r="E744" s="159">
        <f t="shared" si="1"/>
        <v>0</v>
      </c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</row>
    <row r="745">
      <c r="A745" s="91"/>
      <c r="B745" s="167" t="s">
        <v>34</v>
      </c>
      <c r="C745" s="163">
        <v>2.0</v>
      </c>
      <c r="D745" s="164"/>
      <c r="E745" s="159">
        <f t="shared" si="1"/>
        <v>2</v>
      </c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</row>
    <row r="746">
      <c r="A746" s="155">
        <v>46192.0</v>
      </c>
      <c r="B746" s="156" t="s">
        <v>4</v>
      </c>
      <c r="C746" s="157">
        <v>0.0</v>
      </c>
      <c r="D746" s="158"/>
      <c r="E746" s="159">
        <f t="shared" si="1"/>
        <v>0</v>
      </c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</row>
    <row r="747">
      <c r="A747" s="36"/>
      <c r="B747" s="156" t="s">
        <v>5</v>
      </c>
      <c r="C747" s="157">
        <v>0.0</v>
      </c>
      <c r="D747" s="158"/>
      <c r="E747" s="159">
        <f t="shared" si="1"/>
        <v>0</v>
      </c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</row>
    <row r="748">
      <c r="A748" s="36"/>
      <c r="B748" s="156" t="s">
        <v>6</v>
      </c>
      <c r="C748" s="157">
        <v>1.0</v>
      </c>
      <c r="D748" s="158"/>
      <c r="E748" s="159">
        <f t="shared" si="1"/>
        <v>1</v>
      </c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</row>
    <row r="749">
      <c r="A749" s="36"/>
      <c r="B749" s="156" t="s">
        <v>22</v>
      </c>
      <c r="C749" s="157">
        <v>0.0</v>
      </c>
      <c r="D749" s="158"/>
      <c r="E749" s="159">
        <f t="shared" si="1"/>
        <v>0</v>
      </c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</row>
    <row r="750">
      <c r="A750" s="36"/>
      <c r="B750" s="156" t="s">
        <v>7</v>
      </c>
      <c r="C750" s="157">
        <v>2.0</v>
      </c>
      <c r="D750" s="158"/>
      <c r="E750" s="159">
        <f t="shared" si="1"/>
        <v>2</v>
      </c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</row>
    <row r="751">
      <c r="A751" s="36"/>
      <c r="B751" s="162" t="s">
        <v>8</v>
      </c>
      <c r="C751" s="157">
        <v>2.0</v>
      </c>
      <c r="D751" s="158"/>
      <c r="E751" s="159">
        <f t="shared" si="1"/>
        <v>2</v>
      </c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</row>
    <row r="752">
      <c r="A752" s="36"/>
      <c r="B752" s="156" t="s">
        <v>9</v>
      </c>
      <c r="C752" s="157">
        <v>5.0</v>
      </c>
      <c r="D752" s="158"/>
      <c r="E752" s="159">
        <f t="shared" si="1"/>
        <v>5</v>
      </c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</row>
    <row r="753">
      <c r="A753" s="36"/>
      <c r="B753" s="156" t="s">
        <v>10</v>
      </c>
      <c r="C753" s="157">
        <v>18.0</v>
      </c>
      <c r="D753" s="158"/>
      <c r="E753" s="159">
        <f t="shared" si="1"/>
        <v>18</v>
      </c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</row>
    <row r="754">
      <c r="A754" s="36"/>
      <c r="B754" s="156" t="s">
        <v>11</v>
      </c>
      <c r="C754" s="157">
        <v>3.0</v>
      </c>
      <c r="D754" s="158"/>
      <c r="E754" s="159">
        <f t="shared" si="1"/>
        <v>3</v>
      </c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</row>
    <row r="755">
      <c r="A755" s="36"/>
      <c r="B755" s="162" t="s">
        <v>12</v>
      </c>
      <c r="C755" s="157">
        <v>22.0</v>
      </c>
      <c r="D755" s="158"/>
      <c r="E755" s="159">
        <f t="shared" si="1"/>
        <v>22</v>
      </c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</row>
    <row r="756">
      <c r="A756" s="36"/>
      <c r="B756" s="162" t="s">
        <v>13</v>
      </c>
      <c r="C756" s="157">
        <v>0.0</v>
      </c>
      <c r="D756" s="158"/>
      <c r="E756" s="159">
        <f t="shared" si="1"/>
        <v>0</v>
      </c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</row>
    <row r="757">
      <c r="A757" s="36"/>
      <c r="B757" s="162" t="s">
        <v>14</v>
      </c>
      <c r="C757" s="157">
        <v>0.0</v>
      </c>
      <c r="D757" s="158"/>
      <c r="E757" s="159">
        <f t="shared" si="1"/>
        <v>0</v>
      </c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</row>
    <row r="758">
      <c r="A758" s="36"/>
      <c r="B758" s="162" t="s">
        <v>15</v>
      </c>
      <c r="C758" s="157">
        <v>0.0</v>
      </c>
      <c r="D758" s="158"/>
      <c r="E758" s="159">
        <f t="shared" si="1"/>
        <v>0</v>
      </c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</row>
    <row r="759">
      <c r="A759" s="36"/>
      <c r="B759" s="162" t="s">
        <v>16</v>
      </c>
      <c r="C759" s="157">
        <v>0.0</v>
      </c>
      <c r="D759" s="158"/>
      <c r="E759" s="159">
        <f t="shared" si="1"/>
        <v>0</v>
      </c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</row>
    <row r="760">
      <c r="A760" s="36"/>
      <c r="B760" s="162" t="s">
        <v>17</v>
      </c>
      <c r="C760" s="157">
        <v>0.0</v>
      </c>
      <c r="D760" s="158"/>
      <c r="E760" s="159">
        <f t="shared" si="1"/>
        <v>0</v>
      </c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</row>
    <row r="761">
      <c r="A761" s="36"/>
      <c r="B761" s="156" t="s">
        <v>18</v>
      </c>
      <c r="C761" s="157">
        <v>6.0</v>
      </c>
      <c r="D761" s="158"/>
      <c r="E761" s="159">
        <f t="shared" si="1"/>
        <v>6</v>
      </c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</row>
    <row r="762">
      <c r="A762" s="36"/>
      <c r="B762" s="156" t="s">
        <v>19</v>
      </c>
      <c r="C762" s="157">
        <v>8.0</v>
      </c>
      <c r="D762" s="158"/>
      <c r="E762" s="159">
        <f t="shared" si="1"/>
        <v>8</v>
      </c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</row>
    <row r="763">
      <c r="A763" s="36"/>
      <c r="B763" s="156" t="s">
        <v>20</v>
      </c>
      <c r="C763" s="157">
        <v>0.0</v>
      </c>
      <c r="D763" s="158"/>
      <c r="E763" s="159">
        <f t="shared" si="1"/>
        <v>0</v>
      </c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</row>
    <row r="764">
      <c r="A764" s="36"/>
      <c r="B764" s="156" t="s">
        <v>21</v>
      </c>
      <c r="C764" s="157">
        <v>1.0</v>
      </c>
      <c r="D764" s="158"/>
      <c r="E764" s="159">
        <f t="shared" si="1"/>
        <v>1</v>
      </c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</row>
    <row r="765">
      <c r="A765" s="36"/>
      <c r="B765" s="156" t="s">
        <v>23</v>
      </c>
      <c r="C765" s="157">
        <v>0.0</v>
      </c>
      <c r="D765" s="158"/>
      <c r="E765" s="159">
        <f t="shared" si="1"/>
        <v>0</v>
      </c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</row>
    <row r="766">
      <c r="A766" s="36"/>
      <c r="B766" s="156" t="s">
        <v>24</v>
      </c>
      <c r="C766" s="157">
        <v>13.0</v>
      </c>
      <c r="D766" s="158"/>
      <c r="E766" s="159">
        <f t="shared" si="1"/>
        <v>13</v>
      </c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</row>
    <row r="767">
      <c r="A767" s="36"/>
      <c r="B767" s="156" t="s">
        <v>25</v>
      </c>
      <c r="C767" s="163">
        <v>23.0</v>
      </c>
      <c r="D767" s="164"/>
      <c r="E767" s="159">
        <f t="shared" si="1"/>
        <v>23</v>
      </c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</row>
    <row r="768">
      <c r="A768" s="36"/>
      <c r="B768" s="156" t="s">
        <v>26</v>
      </c>
      <c r="C768" s="163">
        <v>35.0</v>
      </c>
      <c r="D768" s="164"/>
      <c r="E768" s="159">
        <f t="shared" si="1"/>
        <v>35</v>
      </c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</row>
    <row r="769">
      <c r="A769" s="36"/>
      <c r="B769" s="156" t="s">
        <v>27</v>
      </c>
      <c r="C769" s="163">
        <v>56.0</v>
      </c>
      <c r="D769" s="164"/>
      <c r="E769" s="159">
        <f t="shared" si="1"/>
        <v>56</v>
      </c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</row>
    <row r="770">
      <c r="A770" s="36"/>
      <c r="B770" s="156" t="s">
        <v>28</v>
      </c>
      <c r="C770" s="163">
        <v>0.0</v>
      </c>
      <c r="D770" s="164"/>
      <c r="E770" s="159">
        <f t="shared" si="1"/>
        <v>0</v>
      </c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</row>
    <row r="771">
      <c r="A771" s="36"/>
      <c r="B771" s="165" t="s">
        <v>29</v>
      </c>
      <c r="C771" s="163">
        <v>0.0</v>
      </c>
      <c r="D771" s="164"/>
      <c r="E771" s="159">
        <f t="shared" si="1"/>
        <v>0</v>
      </c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</row>
    <row r="772">
      <c r="A772" s="36"/>
      <c r="B772" s="166" t="s">
        <v>30</v>
      </c>
      <c r="C772" s="163">
        <v>0.0</v>
      </c>
      <c r="D772" s="164"/>
      <c r="E772" s="159">
        <f t="shared" si="1"/>
        <v>0</v>
      </c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</row>
    <row r="773">
      <c r="A773" s="36"/>
      <c r="B773" s="167" t="s">
        <v>31</v>
      </c>
      <c r="C773" s="163">
        <v>0.0</v>
      </c>
      <c r="D773" s="164"/>
      <c r="E773" s="159">
        <f t="shared" si="1"/>
        <v>0</v>
      </c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</row>
    <row r="774">
      <c r="A774" s="36"/>
      <c r="B774" s="167" t="s">
        <v>32</v>
      </c>
      <c r="C774" s="163">
        <v>2.0</v>
      </c>
      <c r="D774" s="164"/>
      <c r="E774" s="159">
        <f t="shared" si="1"/>
        <v>2</v>
      </c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</row>
    <row r="775">
      <c r="A775" s="36"/>
      <c r="B775" s="167" t="s">
        <v>33</v>
      </c>
      <c r="C775" s="163">
        <v>1.0</v>
      </c>
      <c r="D775" s="164"/>
      <c r="E775" s="159">
        <f t="shared" si="1"/>
        <v>1</v>
      </c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</row>
    <row r="776">
      <c r="A776" s="91"/>
      <c r="B776" s="167" t="s">
        <v>34</v>
      </c>
      <c r="C776" s="163">
        <v>0.0</v>
      </c>
      <c r="D776" s="164"/>
      <c r="E776" s="159">
        <f t="shared" si="1"/>
        <v>0</v>
      </c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</row>
    <row r="777">
      <c r="A777" s="155">
        <v>46193.0</v>
      </c>
      <c r="B777" s="156" t="s">
        <v>4</v>
      </c>
      <c r="C777" s="157">
        <v>1.0</v>
      </c>
      <c r="D777" s="158"/>
      <c r="E777" s="159">
        <f t="shared" si="1"/>
        <v>1</v>
      </c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</row>
    <row r="778">
      <c r="A778" s="36"/>
      <c r="B778" s="156" t="s">
        <v>5</v>
      </c>
      <c r="C778" s="157">
        <v>0.0</v>
      </c>
      <c r="D778" s="158"/>
      <c r="E778" s="159">
        <f t="shared" si="1"/>
        <v>0</v>
      </c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</row>
    <row r="779">
      <c r="A779" s="36"/>
      <c r="B779" s="156" t="s">
        <v>6</v>
      </c>
      <c r="C779" s="157">
        <v>0.0</v>
      </c>
      <c r="D779" s="158"/>
      <c r="E779" s="159">
        <f t="shared" si="1"/>
        <v>0</v>
      </c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</row>
    <row r="780">
      <c r="A780" s="36"/>
      <c r="B780" s="156" t="s">
        <v>22</v>
      </c>
      <c r="C780" s="157">
        <v>0.0</v>
      </c>
      <c r="D780" s="158"/>
      <c r="E780" s="159">
        <f t="shared" si="1"/>
        <v>0</v>
      </c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</row>
    <row r="781">
      <c r="A781" s="36"/>
      <c r="B781" s="156" t="s">
        <v>7</v>
      </c>
      <c r="C781" s="157">
        <v>1.0</v>
      </c>
      <c r="D781" s="158"/>
      <c r="E781" s="159">
        <f t="shared" si="1"/>
        <v>1</v>
      </c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</row>
    <row r="782">
      <c r="A782" s="36"/>
      <c r="B782" s="162" t="s">
        <v>8</v>
      </c>
      <c r="C782" s="157">
        <v>2.0</v>
      </c>
      <c r="D782" s="158"/>
      <c r="E782" s="159">
        <f t="shared" si="1"/>
        <v>2</v>
      </c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</row>
    <row r="783">
      <c r="A783" s="36"/>
      <c r="B783" s="156" t="s">
        <v>9</v>
      </c>
      <c r="C783" s="157">
        <v>3.0</v>
      </c>
      <c r="D783" s="158"/>
      <c r="E783" s="159">
        <f t="shared" si="1"/>
        <v>3</v>
      </c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</row>
    <row r="784">
      <c r="A784" s="36"/>
      <c r="B784" s="156" t="s">
        <v>10</v>
      </c>
      <c r="C784" s="157">
        <v>7.0</v>
      </c>
      <c r="D784" s="158"/>
      <c r="E784" s="159">
        <f t="shared" si="1"/>
        <v>7</v>
      </c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</row>
    <row r="785">
      <c r="A785" s="36"/>
      <c r="B785" s="156" t="s">
        <v>11</v>
      </c>
      <c r="C785" s="157">
        <v>3.0</v>
      </c>
      <c r="D785" s="158"/>
      <c r="E785" s="159">
        <f t="shared" si="1"/>
        <v>3</v>
      </c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</row>
    <row r="786">
      <c r="A786" s="36"/>
      <c r="B786" s="162" t="s">
        <v>12</v>
      </c>
      <c r="C786" s="157">
        <v>23.0</v>
      </c>
      <c r="D786" s="158"/>
      <c r="E786" s="159">
        <f t="shared" si="1"/>
        <v>23</v>
      </c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</row>
    <row r="787">
      <c r="A787" s="36"/>
      <c r="B787" s="162" t="s">
        <v>13</v>
      </c>
      <c r="C787" s="157">
        <v>0.0</v>
      </c>
      <c r="D787" s="158"/>
      <c r="E787" s="159">
        <f t="shared" si="1"/>
        <v>0</v>
      </c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</row>
    <row r="788">
      <c r="A788" s="36"/>
      <c r="B788" s="162" t="s">
        <v>14</v>
      </c>
      <c r="C788" s="157">
        <v>0.0</v>
      </c>
      <c r="D788" s="158"/>
      <c r="E788" s="159">
        <f t="shared" si="1"/>
        <v>0</v>
      </c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</row>
    <row r="789">
      <c r="A789" s="36"/>
      <c r="B789" s="162" t="s">
        <v>15</v>
      </c>
      <c r="C789" s="157">
        <v>0.0</v>
      </c>
      <c r="D789" s="158"/>
      <c r="E789" s="159">
        <f t="shared" si="1"/>
        <v>0</v>
      </c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</row>
    <row r="790">
      <c r="A790" s="36"/>
      <c r="B790" s="162" t="s">
        <v>16</v>
      </c>
      <c r="C790" s="157">
        <v>0.0</v>
      </c>
      <c r="D790" s="158"/>
      <c r="E790" s="159">
        <f t="shared" si="1"/>
        <v>0</v>
      </c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</row>
    <row r="791">
      <c r="A791" s="36"/>
      <c r="B791" s="162" t="s">
        <v>17</v>
      </c>
      <c r="C791" s="157">
        <v>0.0</v>
      </c>
      <c r="D791" s="158"/>
      <c r="E791" s="159">
        <f t="shared" si="1"/>
        <v>0</v>
      </c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</row>
    <row r="792">
      <c r="A792" s="36"/>
      <c r="B792" s="156" t="s">
        <v>18</v>
      </c>
      <c r="C792" s="157">
        <v>2.0</v>
      </c>
      <c r="D792" s="158"/>
      <c r="E792" s="159">
        <f t="shared" si="1"/>
        <v>2</v>
      </c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</row>
    <row r="793">
      <c r="A793" s="36"/>
      <c r="B793" s="156" t="s">
        <v>19</v>
      </c>
      <c r="C793" s="157">
        <v>2.0</v>
      </c>
      <c r="D793" s="158"/>
      <c r="E793" s="159">
        <f t="shared" si="1"/>
        <v>2</v>
      </c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</row>
    <row r="794">
      <c r="A794" s="36"/>
      <c r="B794" s="156" t="s">
        <v>20</v>
      </c>
      <c r="C794" s="157">
        <v>0.0</v>
      </c>
      <c r="D794" s="158"/>
      <c r="E794" s="159">
        <f t="shared" si="1"/>
        <v>0</v>
      </c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</row>
    <row r="795">
      <c r="A795" s="36"/>
      <c r="B795" s="156" t="s">
        <v>21</v>
      </c>
      <c r="C795" s="157">
        <v>1.0</v>
      </c>
      <c r="D795" s="158"/>
      <c r="E795" s="159">
        <f t="shared" si="1"/>
        <v>1</v>
      </c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</row>
    <row r="796">
      <c r="A796" s="36"/>
      <c r="B796" s="156" t="s">
        <v>23</v>
      </c>
      <c r="C796" s="157">
        <v>0.0</v>
      </c>
      <c r="D796" s="158"/>
      <c r="E796" s="159">
        <f t="shared" si="1"/>
        <v>0</v>
      </c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</row>
    <row r="797">
      <c r="A797" s="36"/>
      <c r="B797" s="156" t="s">
        <v>24</v>
      </c>
      <c r="C797" s="157">
        <v>11.0</v>
      </c>
      <c r="D797" s="158"/>
      <c r="E797" s="159">
        <f t="shared" si="1"/>
        <v>11</v>
      </c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</row>
    <row r="798">
      <c r="A798" s="36"/>
      <c r="B798" s="156" t="s">
        <v>25</v>
      </c>
      <c r="C798" s="163">
        <v>12.0</v>
      </c>
      <c r="D798" s="164"/>
      <c r="E798" s="159">
        <f t="shared" si="1"/>
        <v>12</v>
      </c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</row>
    <row r="799">
      <c r="A799" s="36"/>
      <c r="B799" s="156" t="s">
        <v>26</v>
      </c>
      <c r="C799" s="163">
        <v>16.0</v>
      </c>
      <c r="D799" s="164"/>
      <c r="E799" s="159">
        <f t="shared" si="1"/>
        <v>16</v>
      </c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</row>
    <row r="800">
      <c r="A800" s="36"/>
      <c r="B800" s="156" t="s">
        <v>27</v>
      </c>
      <c r="C800" s="163">
        <v>38.0</v>
      </c>
      <c r="D800" s="164"/>
      <c r="E800" s="159">
        <f t="shared" si="1"/>
        <v>38</v>
      </c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</row>
    <row r="801">
      <c r="A801" s="36"/>
      <c r="B801" s="156" t="s">
        <v>28</v>
      </c>
      <c r="C801" s="163">
        <v>0.0</v>
      </c>
      <c r="D801" s="164"/>
      <c r="E801" s="159">
        <f t="shared" si="1"/>
        <v>0</v>
      </c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</row>
    <row r="802">
      <c r="A802" s="36"/>
      <c r="B802" s="165" t="s">
        <v>29</v>
      </c>
      <c r="C802" s="163">
        <v>0.0</v>
      </c>
      <c r="D802" s="164"/>
      <c r="E802" s="159">
        <f t="shared" si="1"/>
        <v>0</v>
      </c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</row>
    <row r="803">
      <c r="A803" s="36"/>
      <c r="B803" s="166" t="s">
        <v>30</v>
      </c>
      <c r="C803" s="163">
        <v>2.0</v>
      </c>
      <c r="D803" s="164"/>
      <c r="E803" s="159">
        <f t="shared" si="1"/>
        <v>2</v>
      </c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</row>
    <row r="804">
      <c r="A804" s="36"/>
      <c r="B804" s="167" t="s">
        <v>31</v>
      </c>
      <c r="C804" s="163">
        <v>0.0</v>
      </c>
      <c r="D804" s="164"/>
      <c r="E804" s="159">
        <f t="shared" si="1"/>
        <v>0</v>
      </c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</row>
    <row r="805">
      <c r="A805" s="36"/>
      <c r="B805" s="167" t="s">
        <v>32</v>
      </c>
      <c r="C805" s="163">
        <v>1.0</v>
      </c>
      <c r="D805" s="164"/>
      <c r="E805" s="159">
        <f t="shared" si="1"/>
        <v>1</v>
      </c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</row>
    <row r="806">
      <c r="A806" s="36"/>
      <c r="B806" s="167" t="s">
        <v>33</v>
      </c>
      <c r="C806" s="163">
        <v>0.0</v>
      </c>
      <c r="D806" s="164"/>
      <c r="E806" s="159">
        <f t="shared" si="1"/>
        <v>0</v>
      </c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</row>
    <row r="807">
      <c r="A807" s="91"/>
      <c r="B807" s="167" t="s">
        <v>34</v>
      </c>
      <c r="C807" s="163">
        <v>0.0</v>
      </c>
      <c r="D807" s="164"/>
      <c r="E807" s="159">
        <f t="shared" si="1"/>
        <v>0</v>
      </c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</row>
    <row r="808">
      <c r="A808" s="155">
        <v>46194.0</v>
      </c>
      <c r="B808" s="156" t="s">
        <v>4</v>
      </c>
      <c r="C808" s="157">
        <v>2.0</v>
      </c>
      <c r="D808" s="158"/>
      <c r="E808" s="159">
        <f t="shared" si="1"/>
        <v>2</v>
      </c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</row>
    <row r="809">
      <c r="A809" s="36"/>
      <c r="B809" s="156" t="s">
        <v>5</v>
      </c>
      <c r="C809" s="157">
        <v>0.0</v>
      </c>
      <c r="D809" s="158"/>
      <c r="E809" s="159">
        <f t="shared" si="1"/>
        <v>0</v>
      </c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</row>
    <row r="810">
      <c r="A810" s="36"/>
      <c r="B810" s="156" t="s">
        <v>6</v>
      </c>
      <c r="C810" s="157">
        <v>0.0</v>
      </c>
      <c r="D810" s="158"/>
      <c r="E810" s="159">
        <f t="shared" si="1"/>
        <v>0</v>
      </c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</row>
    <row r="811">
      <c r="A811" s="36"/>
      <c r="B811" s="156" t="s">
        <v>22</v>
      </c>
      <c r="C811" s="157">
        <v>0.0</v>
      </c>
      <c r="D811" s="158"/>
      <c r="E811" s="159">
        <f t="shared" si="1"/>
        <v>0</v>
      </c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</row>
    <row r="812">
      <c r="A812" s="36"/>
      <c r="B812" s="156" t="s">
        <v>7</v>
      </c>
      <c r="C812" s="157">
        <v>3.0</v>
      </c>
      <c r="D812" s="158"/>
      <c r="E812" s="159">
        <f t="shared" si="1"/>
        <v>3</v>
      </c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</row>
    <row r="813">
      <c r="A813" s="36"/>
      <c r="B813" s="162" t="s">
        <v>8</v>
      </c>
      <c r="C813" s="157">
        <v>2.0</v>
      </c>
      <c r="D813" s="158"/>
      <c r="E813" s="159">
        <f t="shared" si="1"/>
        <v>2</v>
      </c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</row>
    <row r="814">
      <c r="A814" s="36"/>
      <c r="B814" s="156" t="s">
        <v>9</v>
      </c>
      <c r="C814" s="157">
        <v>5.0</v>
      </c>
      <c r="D814" s="158"/>
      <c r="E814" s="159">
        <f t="shared" si="1"/>
        <v>5</v>
      </c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</row>
    <row r="815">
      <c r="A815" s="36"/>
      <c r="B815" s="156" t="s">
        <v>10</v>
      </c>
      <c r="C815" s="157">
        <v>14.0</v>
      </c>
      <c r="D815" s="158"/>
      <c r="E815" s="159">
        <f t="shared" si="1"/>
        <v>14</v>
      </c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</row>
    <row r="816">
      <c r="A816" s="36"/>
      <c r="B816" s="156" t="s">
        <v>11</v>
      </c>
      <c r="C816" s="157">
        <v>2.0</v>
      </c>
      <c r="D816" s="158"/>
      <c r="E816" s="159">
        <f t="shared" si="1"/>
        <v>2</v>
      </c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</row>
    <row r="817">
      <c r="A817" s="36"/>
      <c r="B817" s="162" t="s">
        <v>12</v>
      </c>
      <c r="C817" s="157">
        <v>39.0</v>
      </c>
      <c r="D817" s="158"/>
      <c r="E817" s="159">
        <f t="shared" si="1"/>
        <v>39</v>
      </c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</row>
    <row r="818">
      <c r="A818" s="36"/>
      <c r="B818" s="162" t="s">
        <v>13</v>
      </c>
      <c r="C818" s="157">
        <v>0.0</v>
      </c>
      <c r="D818" s="158"/>
      <c r="E818" s="159">
        <f t="shared" si="1"/>
        <v>0</v>
      </c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</row>
    <row r="819">
      <c r="A819" s="36"/>
      <c r="B819" s="162" t="s">
        <v>14</v>
      </c>
      <c r="C819" s="157">
        <v>2.0</v>
      </c>
      <c r="D819" s="158"/>
      <c r="E819" s="159">
        <f t="shared" si="1"/>
        <v>2</v>
      </c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</row>
    <row r="820">
      <c r="A820" s="36"/>
      <c r="B820" s="162" t="s">
        <v>15</v>
      </c>
      <c r="C820" s="157">
        <v>2.0</v>
      </c>
      <c r="D820" s="158"/>
      <c r="E820" s="159">
        <f t="shared" si="1"/>
        <v>2</v>
      </c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</row>
    <row r="821">
      <c r="A821" s="36"/>
      <c r="B821" s="162" t="s">
        <v>16</v>
      </c>
      <c r="C821" s="157">
        <v>0.0</v>
      </c>
      <c r="D821" s="158"/>
      <c r="E821" s="159">
        <f t="shared" si="1"/>
        <v>0</v>
      </c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</row>
    <row r="822">
      <c r="A822" s="36"/>
      <c r="B822" s="162" t="s">
        <v>17</v>
      </c>
      <c r="C822" s="157">
        <v>1.0</v>
      </c>
      <c r="D822" s="158"/>
      <c r="E822" s="159">
        <f t="shared" si="1"/>
        <v>1</v>
      </c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</row>
    <row r="823">
      <c r="A823" s="36"/>
      <c r="B823" s="156" t="s">
        <v>18</v>
      </c>
      <c r="C823" s="157">
        <v>3.0</v>
      </c>
      <c r="D823" s="158"/>
      <c r="E823" s="159">
        <f t="shared" si="1"/>
        <v>3</v>
      </c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</row>
    <row r="824">
      <c r="A824" s="36"/>
      <c r="B824" s="156" t="s">
        <v>19</v>
      </c>
      <c r="C824" s="157">
        <v>5.0</v>
      </c>
      <c r="D824" s="158"/>
      <c r="E824" s="159">
        <f t="shared" si="1"/>
        <v>5</v>
      </c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</row>
    <row r="825">
      <c r="A825" s="36"/>
      <c r="B825" s="156" t="s">
        <v>20</v>
      </c>
      <c r="C825" s="157">
        <v>0.0</v>
      </c>
      <c r="D825" s="158"/>
      <c r="E825" s="159">
        <f t="shared" si="1"/>
        <v>0</v>
      </c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</row>
    <row r="826">
      <c r="A826" s="36"/>
      <c r="B826" s="156" t="s">
        <v>21</v>
      </c>
      <c r="C826" s="157">
        <v>1.0</v>
      </c>
      <c r="D826" s="158"/>
      <c r="E826" s="159">
        <f t="shared" si="1"/>
        <v>1</v>
      </c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</row>
    <row r="827">
      <c r="A827" s="36"/>
      <c r="B827" s="156" t="s">
        <v>23</v>
      </c>
      <c r="C827" s="157">
        <v>0.0</v>
      </c>
      <c r="D827" s="158"/>
      <c r="E827" s="159">
        <f t="shared" si="1"/>
        <v>0</v>
      </c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</row>
    <row r="828">
      <c r="A828" s="36"/>
      <c r="B828" s="156" t="s">
        <v>24</v>
      </c>
      <c r="C828" s="157">
        <v>34.0</v>
      </c>
      <c r="D828" s="158"/>
      <c r="E828" s="159">
        <f t="shared" si="1"/>
        <v>34</v>
      </c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</row>
    <row r="829">
      <c r="A829" s="36"/>
      <c r="B829" s="156" t="s">
        <v>25</v>
      </c>
      <c r="C829" s="163">
        <v>27.0</v>
      </c>
      <c r="D829" s="164"/>
      <c r="E829" s="159">
        <f t="shared" si="1"/>
        <v>27</v>
      </c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</row>
    <row r="830">
      <c r="A830" s="36"/>
      <c r="B830" s="156" t="s">
        <v>26</v>
      </c>
      <c r="C830" s="163">
        <v>50.0</v>
      </c>
      <c r="D830" s="164"/>
      <c r="E830" s="159">
        <f t="shared" si="1"/>
        <v>50</v>
      </c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</row>
    <row r="831">
      <c r="A831" s="36"/>
      <c r="B831" s="156" t="s">
        <v>27</v>
      </c>
      <c r="C831" s="163">
        <v>52.0</v>
      </c>
      <c r="D831" s="164"/>
      <c r="E831" s="159">
        <f t="shared" si="1"/>
        <v>52</v>
      </c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</row>
    <row r="832">
      <c r="A832" s="36"/>
      <c r="B832" s="156" t="s">
        <v>28</v>
      </c>
      <c r="C832" s="163">
        <v>0.0</v>
      </c>
      <c r="D832" s="164"/>
      <c r="E832" s="159">
        <f t="shared" si="1"/>
        <v>0</v>
      </c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</row>
    <row r="833">
      <c r="A833" s="36"/>
      <c r="B833" s="165" t="s">
        <v>29</v>
      </c>
      <c r="C833" s="163">
        <v>0.0</v>
      </c>
      <c r="D833" s="164"/>
      <c r="E833" s="159">
        <f t="shared" si="1"/>
        <v>0</v>
      </c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</row>
    <row r="834">
      <c r="A834" s="36"/>
      <c r="B834" s="166" t="s">
        <v>30</v>
      </c>
      <c r="C834" s="163">
        <v>0.0</v>
      </c>
      <c r="D834" s="164"/>
      <c r="E834" s="159">
        <f t="shared" si="1"/>
        <v>0</v>
      </c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</row>
    <row r="835">
      <c r="A835" s="36"/>
      <c r="B835" s="167" t="s">
        <v>31</v>
      </c>
      <c r="C835" s="163">
        <v>2.0</v>
      </c>
      <c r="D835" s="164"/>
      <c r="E835" s="159">
        <f t="shared" si="1"/>
        <v>2</v>
      </c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</row>
    <row r="836">
      <c r="A836" s="36"/>
      <c r="B836" s="167" t="s">
        <v>32</v>
      </c>
      <c r="C836" s="163">
        <v>0.0</v>
      </c>
      <c r="D836" s="164"/>
      <c r="E836" s="159">
        <f t="shared" si="1"/>
        <v>0</v>
      </c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</row>
    <row r="837">
      <c r="A837" s="36"/>
      <c r="B837" s="167" t="s">
        <v>33</v>
      </c>
      <c r="C837" s="163">
        <v>0.0</v>
      </c>
      <c r="D837" s="164"/>
      <c r="E837" s="159">
        <f t="shared" si="1"/>
        <v>0</v>
      </c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</row>
    <row r="838">
      <c r="A838" s="91"/>
      <c r="B838" s="167" t="s">
        <v>34</v>
      </c>
      <c r="C838" s="163">
        <v>0.0</v>
      </c>
      <c r="D838" s="164"/>
      <c r="E838" s="159">
        <f t="shared" si="1"/>
        <v>0</v>
      </c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</row>
    <row r="839">
      <c r="A839" s="155">
        <v>46195.0</v>
      </c>
      <c r="B839" s="156" t="s">
        <v>4</v>
      </c>
      <c r="C839" s="157">
        <v>1.0</v>
      </c>
      <c r="D839" s="158"/>
      <c r="E839" s="159">
        <f t="shared" si="1"/>
        <v>1</v>
      </c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</row>
    <row r="840">
      <c r="A840" s="36"/>
      <c r="B840" s="156" t="s">
        <v>5</v>
      </c>
      <c r="C840" s="157">
        <v>0.0</v>
      </c>
      <c r="D840" s="158"/>
      <c r="E840" s="159">
        <f t="shared" si="1"/>
        <v>0</v>
      </c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</row>
    <row r="841">
      <c r="A841" s="36"/>
      <c r="B841" s="156" t="s">
        <v>6</v>
      </c>
      <c r="C841" s="157">
        <v>0.0</v>
      </c>
      <c r="D841" s="158"/>
      <c r="E841" s="159">
        <f t="shared" si="1"/>
        <v>0</v>
      </c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</row>
    <row r="842">
      <c r="A842" s="36"/>
      <c r="B842" s="156" t="s">
        <v>22</v>
      </c>
      <c r="C842" s="157">
        <v>0.0</v>
      </c>
      <c r="D842" s="158"/>
      <c r="E842" s="159">
        <f t="shared" si="1"/>
        <v>0</v>
      </c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</row>
    <row r="843">
      <c r="A843" s="36"/>
      <c r="B843" s="156" t="s">
        <v>7</v>
      </c>
      <c r="C843" s="157">
        <v>5.0</v>
      </c>
      <c r="D843" s="158"/>
      <c r="E843" s="159">
        <f t="shared" si="1"/>
        <v>5</v>
      </c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</row>
    <row r="844">
      <c r="A844" s="36"/>
      <c r="B844" s="162" t="s">
        <v>8</v>
      </c>
      <c r="C844" s="157">
        <v>6.0</v>
      </c>
      <c r="D844" s="158"/>
      <c r="E844" s="159">
        <f t="shared" si="1"/>
        <v>6</v>
      </c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</row>
    <row r="845">
      <c r="A845" s="36"/>
      <c r="B845" s="156" t="s">
        <v>9</v>
      </c>
      <c r="C845" s="157">
        <v>9.0</v>
      </c>
      <c r="D845" s="158"/>
      <c r="E845" s="159">
        <f t="shared" si="1"/>
        <v>9</v>
      </c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</row>
    <row r="846">
      <c r="A846" s="36"/>
      <c r="B846" s="156" t="s">
        <v>10</v>
      </c>
      <c r="C846" s="157">
        <v>17.0</v>
      </c>
      <c r="D846" s="158"/>
      <c r="E846" s="159">
        <f t="shared" si="1"/>
        <v>17</v>
      </c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</row>
    <row r="847">
      <c r="A847" s="36"/>
      <c r="B847" s="156" t="s">
        <v>11</v>
      </c>
      <c r="C847" s="157">
        <v>3.0</v>
      </c>
      <c r="D847" s="158"/>
      <c r="E847" s="159">
        <f t="shared" si="1"/>
        <v>3</v>
      </c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</row>
    <row r="848">
      <c r="A848" s="36"/>
      <c r="B848" s="162" t="s">
        <v>12</v>
      </c>
      <c r="C848" s="157">
        <v>22.0</v>
      </c>
      <c r="D848" s="158"/>
      <c r="E848" s="159">
        <f t="shared" si="1"/>
        <v>22</v>
      </c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</row>
    <row r="849">
      <c r="A849" s="36"/>
      <c r="B849" s="162" t="s">
        <v>13</v>
      </c>
      <c r="C849" s="157">
        <v>0.0</v>
      </c>
      <c r="D849" s="158"/>
      <c r="E849" s="159">
        <f t="shared" si="1"/>
        <v>0</v>
      </c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</row>
    <row r="850">
      <c r="A850" s="36"/>
      <c r="B850" s="162" t="s">
        <v>14</v>
      </c>
      <c r="C850" s="157">
        <v>0.0</v>
      </c>
      <c r="D850" s="158"/>
      <c r="E850" s="159">
        <f t="shared" si="1"/>
        <v>0</v>
      </c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</row>
    <row r="851">
      <c r="A851" s="36"/>
      <c r="B851" s="162" t="s">
        <v>15</v>
      </c>
      <c r="C851" s="157">
        <v>1.0</v>
      </c>
      <c r="D851" s="158"/>
      <c r="E851" s="159">
        <f t="shared" si="1"/>
        <v>1</v>
      </c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</row>
    <row r="852">
      <c r="A852" s="36"/>
      <c r="B852" s="162" t="s">
        <v>16</v>
      </c>
      <c r="C852" s="157">
        <v>0.0</v>
      </c>
      <c r="D852" s="158"/>
      <c r="E852" s="159">
        <f t="shared" si="1"/>
        <v>0</v>
      </c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</row>
    <row r="853">
      <c r="A853" s="36"/>
      <c r="B853" s="162" t="s">
        <v>17</v>
      </c>
      <c r="C853" s="157">
        <v>0.0</v>
      </c>
      <c r="D853" s="158"/>
      <c r="E853" s="159">
        <f t="shared" si="1"/>
        <v>0</v>
      </c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</row>
    <row r="854">
      <c r="A854" s="36"/>
      <c r="B854" s="156" t="s">
        <v>18</v>
      </c>
      <c r="C854" s="157">
        <v>6.0</v>
      </c>
      <c r="D854" s="158"/>
      <c r="E854" s="159">
        <f t="shared" si="1"/>
        <v>6</v>
      </c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</row>
    <row r="855">
      <c r="A855" s="36"/>
      <c r="B855" s="156" t="s">
        <v>19</v>
      </c>
      <c r="C855" s="157">
        <v>7.0</v>
      </c>
      <c r="D855" s="158"/>
      <c r="E855" s="159">
        <f t="shared" si="1"/>
        <v>7</v>
      </c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</row>
    <row r="856">
      <c r="A856" s="36"/>
      <c r="B856" s="156" t="s">
        <v>20</v>
      </c>
      <c r="C856" s="157">
        <v>0.0</v>
      </c>
      <c r="D856" s="158"/>
      <c r="E856" s="159">
        <f t="shared" si="1"/>
        <v>0</v>
      </c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</row>
    <row r="857">
      <c r="A857" s="36"/>
      <c r="B857" s="156" t="s">
        <v>21</v>
      </c>
      <c r="C857" s="157">
        <v>1.0</v>
      </c>
      <c r="D857" s="158"/>
      <c r="E857" s="159">
        <f t="shared" si="1"/>
        <v>1</v>
      </c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</row>
    <row r="858">
      <c r="A858" s="36"/>
      <c r="B858" s="156" t="s">
        <v>23</v>
      </c>
      <c r="C858" s="157">
        <v>0.0</v>
      </c>
      <c r="D858" s="158"/>
      <c r="E858" s="159">
        <f t="shared" si="1"/>
        <v>0</v>
      </c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</row>
    <row r="859">
      <c r="A859" s="36"/>
      <c r="B859" s="156" t="s">
        <v>24</v>
      </c>
      <c r="C859" s="157">
        <v>15.0</v>
      </c>
      <c r="D859" s="158"/>
      <c r="E859" s="159">
        <f t="shared" si="1"/>
        <v>15</v>
      </c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</row>
    <row r="860">
      <c r="A860" s="36"/>
      <c r="B860" s="156" t="s">
        <v>25</v>
      </c>
      <c r="C860" s="163">
        <v>22.0</v>
      </c>
      <c r="D860" s="164"/>
      <c r="E860" s="159">
        <f t="shared" si="1"/>
        <v>22</v>
      </c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</row>
    <row r="861">
      <c r="A861" s="36"/>
      <c r="B861" s="156" t="s">
        <v>26</v>
      </c>
      <c r="C861" s="163">
        <v>25.0</v>
      </c>
      <c r="D861" s="164"/>
      <c r="E861" s="159">
        <f t="shared" si="1"/>
        <v>25</v>
      </c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</row>
    <row r="862">
      <c r="A862" s="36"/>
      <c r="B862" s="156" t="s">
        <v>27</v>
      </c>
      <c r="C862" s="163">
        <v>56.0</v>
      </c>
      <c r="D862" s="164"/>
      <c r="E862" s="159">
        <f t="shared" si="1"/>
        <v>56</v>
      </c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</row>
    <row r="863">
      <c r="A863" s="36"/>
      <c r="B863" s="156" t="s">
        <v>28</v>
      </c>
      <c r="C863" s="163">
        <v>0.0</v>
      </c>
      <c r="D863" s="164"/>
      <c r="E863" s="159">
        <f t="shared" si="1"/>
        <v>0</v>
      </c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</row>
    <row r="864">
      <c r="A864" s="36"/>
      <c r="B864" s="165" t="s">
        <v>29</v>
      </c>
      <c r="C864" s="163">
        <v>0.0</v>
      </c>
      <c r="D864" s="164"/>
      <c r="E864" s="159">
        <f t="shared" si="1"/>
        <v>0</v>
      </c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</row>
    <row r="865">
      <c r="A865" s="36"/>
      <c r="B865" s="166" t="s">
        <v>30</v>
      </c>
      <c r="C865" s="163">
        <v>1.0</v>
      </c>
      <c r="D865" s="164"/>
      <c r="E865" s="159">
        <f t="shared" si="1"/>
        <v>1</v>
      </c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</row>
    <row r="866">
      <c r="A866" s="36"/>
      <c r="B866" s="167" t="s">
        <v>31</v>
      </c>
      <c r="C866" s="163">
        <v>0.0</v>
      </c>
      <c r="D866" s="164"/>
      <c r="E866" s="159">
        <f t="shared" si="1"/>
        <v>0</v>
      </c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</row>
    <row r="867">
      <c r="A867" s="36"/>
      <c r="B867" s="167" t="s">
        <v>32</v>
      </c>
      <c r="C867" s="163">
        <v>0.0</v>
      </c>
      <c r="D867" s="164"/>
      <c r="E867" s="159">
        <f t="shared" si="1"/>
        <v>0</v>
      </c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</row>
    <row r="868">
      <c r="A868" s="36"/>
      <c r="B868" s="167" t="s">
        <v>33</v>
      </c>
      <c r="C868" s="163">
        <v>0.0</v>
      </c>
      <c r="D868" s="164"/>
      <c r="E868" s="159">
        <f t="shared" si="1"/>
        <v>0</v>
      </c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</row>
    <row r="869">
      <c r="A869" s="91"/>
      <c r="B869" s="167" t="s">
        <v>34</v>
      </c>
      <c r="C869" s="163">
        <v>0.0</v>
      </c>
      <c r="D869" s="164"/>
      <c r="E869" s="159">
        <f t="shared" si="1"/>
        <v>0</v>
      </c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</row>
    <row r="870">
      <c r="A870" s="155">
        <v>46196.0</v>
      </c>
      <c r="B870" s="156" t="s">
        <v>4</v>
      </c>
      <c r="C870" s="157">
        <v>1.0</v>
      </c>
      <c r="D870" s="158"/>
      <c r="E870" s="159">
        <f t="shared" si="1"/>
        <v>1</v>
      </c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</row>
    <row r="871">
      <c r="A871" s="36"/>
      <c r="B871" s="156" t="s">
        <v>5</v>
      </c>
      <c r="C871" s="157">
        <v>0.0</v>
      </c>
      <c r="D871" s="158"/>
      <c r="E871" s="159">
        <f t="shared" si="1"/>
        <v>0</v>
      </c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</row>
    <row r="872">
      <c r="A872" s="36"/>
      <c r="B872" s="156" t="s">
        <v>6</v>
      </c>
      <c r="C872" s="157">
        <v>0.0</v>
      </c>
      <c r="D872" s="158"/>
      <c r="E872" s="159">
        <f t="shared" si="1"/>
        <v>0</v>
      </c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</row>
    <row r="873">
      <c r="A873" s="36"/>
      <c r="B873" s="156" t="s">
        <v>22</v>
      </c>
      <c r="C873" s="157">
        <v>0.0</v>
      </c>
      <c r="D873" s="158"/>
      <c r="E873" s="159">
        <f t="shared" si="1"/>
        <v>0</v>
      </c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</row>
    <row r="874">
      <c r="A874" s="36"/>
      <c r="B874" s="156" t="s">
        <v>7</v>
      </c>
      <c r="C874" s="157">
        <v>1.0</v>
      </c>
      <c r="D874" s="158"/>
      <c r="E874" s="159">
        <f t="shared" si="1"/>
        <v>1</v>
      </c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</row>
    <row r="875">
      <c r="A875" s="36"/>
      <c r="B875" s="162" t="s">
        <v>8</v>
      </c>
      <c r="C875" s="157">
        <v>4.0</v>
      </c>
      <c r="D875" s="158"/>
      <c r="E875" s="159">
        <f t="shared" si="1"/>
        <v>4</v>
      </c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</row>
    <row r="876">
      <c r="A876" s="36"/>
      <c r="B876" s="156" t="s">
        <v>9</v>
      </c>
      <c r="C876" s="157">
        <v>10.0</v>
      </c>
      <c r="D876" s="158"/>
      <c r="E876" s="159">
        <f t="shared" si="1"/>
        <v>10</v>
      </c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</row>
    <row r="877">
      <c r="A877" s="36"/>
      <c r="B877" s="156" t="s">
        <v>10</v>
      </c>
      <c r="C877" s="157">
        <v>4.0</v>
      </c>
      <c r="D877" s="158"/>
      <c r="E877" s="159">
        <f t="shared" si="1"/>
        <v>4</v>
      </c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</row>
    <row r="878">
      <c r="A878" s="36"/>
      <c r="B878" s="156" t="s">
        <v>11</v>
      </c>
      <c r="C878" s="157">
        <v>4.0</v>
      </c>
      <c r="D878" s="158"/>
      <c r="E878" s="159">
        <f t="shared" si="1"/>
        <v>4</v>
      </c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</row>
    <row r="879">
      <c r="A879" s="36"/>
      <c r="B879" s="162" t="s">
        <v>12</v>
      </c>
      <c r="C879" s="157">
        <v>37.0</v>
      </c>
      <c r="D879" s="158"/>
      <c r="E879" s="159">
        <f t="shared" si="1"/>
        <v>37</v>
      </c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</row>
    <row r="880">
      <c r="A880" s="36"/>
      <c r="B880" s="162" t="s">
        <v>13</v>
      </c>
      <c r="C880" s="157">
        <v>1.0</v>
      </c>
      <c r="D880" s="158"/>
      <c r="E880" s="159">
        <f t="shared" si="1"/>
        <v>1</v>
      </c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</row>
    <row r="881">
      <c r="A881" s="36"/>
      <c r="B881" s="162" t="s">
        <v>14</v>
      </c>
      <c r="C881" s="157">
        <v>2.0</v>
      </c>
      <c r="D881" s="158"/>
      <c r="E881" s="159">
        <f t="shared" si="1"/>
        <v>2</v>
      </c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</row>
    <row r="882">
      <c r="A882" s="36"/>
      <c r="B882" s="162" t="s">
        <v>15</v>
      </c>
      <c r="C882" s="157">
        <v>0.0</v>
      </c>
      <c r="D882" s="158"/>
      <c r="E882" s="159">
        <f t="shared" si="1"/>
        <v>0</v>
      </c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</row>
    <row r="883">
      <c r="A883" s="36"/>
      <c r="B883" s="162" t="s">
        <v>16</v>
      </c>
      <c r="C883" s="157">
        <v>0.0</v>
      </c>
      <c r="D883" s="158"/>
      <c r="E883" s="159">
        <f t="shared" si="1"/>
        <v>0</v>
      </c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</row>
    <row r="884">
      <c r="A884" s="36"/>
      <c r="B884" s="162" t="s">
        <v>17</v>
      </c>
      <c r="C884" s="157">
        <v>0.0</v>
      </c>
      <c r="D884" s="158"/>
      <c r="E884" s="159">
        <f t="shared" si="1"/>
        <v>0</v>
      </c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</row>
    <row r="885">
      <c r="A885" s="36"/>
      <c r="B885" s="156" t="s">
        <v>18</v>
      </c>
      <c r="C885" s="157">
        <v>3.0</v>
      </c>
      <c r="D885" s="158"/>
      <c r="E885" s="159">
        <f t="shared" si="1"/>
        <v>3</v>
      </c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</row>
    <row r="886">
      <c r="A886" s="36"/>
      <c r="B886" s="156" t="s">
        <v>19</v>
      </c>
      <c r="C886" s="157">
        <v>4.0</v>
      </c>
      <c r="D886" s="158"/>
      <c r="E886" s="159">
        <f t="shared" si="1"/>
        <v>4</v>
      </c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</row>
    <row r="887">
      <c r="A887" s="36"/>
      <c r="B887" s="156" t="s">
        <v>20</v>
      </c>
      <c r="C887" s="157">
        <v>0.0</v>
      </c>
      <c r="D887" s="158"/>
      <c r="E887" s="159">
        <f t="shared" si="1"/>
        <v>0</v>
      </c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</row>
    <row r="888">
      <c r="A888" s="36"/>
      <c r="B888" s="156" t="s">
        <v>21</v>
      </c>
      <c r="C888" s="157">
        <v>0.0</v>
      </c>
      <c r="D888" s="158"/>
      <c r="E888" s="159">
        <f t="shared" si="1"/>
        <v>0</v>
      </c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</row>
    <row r="889">
      <c r="A889" s="36"/>
      <c r="B889" s="156" t="s">
        <v>23</v>
      </c>
      <c r="C889" s="157">
        <v>0.0</v>
      </c>
      <c r="D889" s="158"/>
      <c r="E889" s="159">
        <f t="shared" si="1"/>
        <v>0</v>
      </c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</row>
    <row r="890">
      <c r="A890" s="36"/>
      <c r="B890" s="156" t="s">
        <v>24</v>
      </c>
      <c r="C890" s="157">
        <v>12.0</v>
      </c>
      <c r="D890" s="158"/>
      <c r="E890" s="159">
        <f t="shared" si="1"/>
        <v>12</v>
      </c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</row>
    <row r="891">
      <c r="A891" s="36"/>
      <c r="B891" s="156" t="s">
        <v>25</v>
      </c>
      <c r="C891" s="163">
        <v>28.0</v>
      </c>
      <c r="D891" s="164"/>
      <c r="E891" s="159">
        <f t="shared" si="1"/>
        <v>28</v>
      </c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</row>
    <row r="892">
      <c r="A892" s="36"/>
      <c r="B892" s="156" t="s">
        <v>26</v>
      </c>
      <c r="C892" s="163">
        <v>33.0</v>
      </c>
      <c r="D892" s="164"/>
      <c r="E892" s="159">
        <f t="shared" si="1"/>
        <v>33</v>
      </c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</row>
    <row r="893">
      <c r="A893" s="36"/>
      <c r="B893" s="156" t="s">
        <v>27</v>
      </c>
      <c r="C893" s="163">
        <v>50.0</v>
      </c>
      <c r="D893" s="164"/>
      <c r="E893" s="159">
        <f t="shared" si="1"/>
        <v>50</v>
      </c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</row>
    <row r="894">
      <c r="A894" s="36"/>
      <c r="B894" s="156" t="s">
        <v>28</v>
      </c>
      <c r="C894" s="163">
        <v>0.0</v>
      </c>
      <c r="D894" s="164"/>
      <c r="E894" s="159">
        <f t="shared" si="1"/>
        <v>0</v>
      </c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</row>
    <row r="895">
      <c r="A895" s="36"/>
      <c r="B895" s="165" t="s">
        <v>29</v>
      </c>
      <c r="C895" s="163">
        <v>0.0</v>
      </c>
      <c r="D895" s="164"/>
      <c r="E895" s="159">
        <f t="shared" si="1"/>
        <v>0</v>
      </c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</row>
    <row r="896">
      <c r="A896" s="36"/>
      <c r="B896" s="166" t="s">
        <v>30</v>
      </c>
      <c r="C896" s="163">
        <v>5.0</v>
      </c>
      <c r="D896" s="164"/>
      <c r="E896" s="159">
        <f t="shared" si="1"/>
        <v>5</v>
      </c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</row>
    <row r="897">
      <c r="A897" s="36"/>
      <c r="B897" s="167" t="s">
        <v>31</v>
      </c>
      <c r="C897" s="163">
        <v>0.0</v>
      </c>
      <c r="D897" s="164"/>
      <c r="E897" s="159">
        <f t="shared" si="1"/>
        <v>0</v>
      </c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</row>
    <row r="898">
      <c r="A898" s="36"/>
      <c r="B898" s="167" t="s">
        <v>32</v>
      </c>
      <c r="C898" s="163">
        <v>0.0</v>
      </c>
      <c r="D898" s="164"/>
      <c r="E898" s="159">
        <f t="shared" si="1"/>
        <v>0</v>
      </c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</row>
    <row r="899">
      <c r="A899" s="36"/>
      <c r="B899" s="167" t="s">
        <v>33</v>
      </c>
      <c r="C899" s="163">
        <v>0.0</v>
      </c>
      <c r="D899" s="164"/>
      <c r="E899" s="159">
        <f t="shared" si="1"/>
        <v>0</v>
      </c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</row>
    <row r="900">
      <c r="A900" s="91"/>
      <c r="B900" s="167" t="s">
        <v>34</v>
      </c>
      <c r="C900" s="163">
        <v>0.0</v>
      </c>
      <c r="D900" s="164"/>
      <c r="E900" s="159">
        <f t="shared" si="1"/>
        <v>0</v>
      </c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</row>
    <row r="901">
      <c r="A901" s="170">
        <v>46197.0</v>
      </c>
      <c r="B901" s="171" t="s">
        <v>4</v>
      </c>
      <c r="C901" s="172">
        <v>2.0</v>
      </c>
      <c r="D901" s="173"/>
      <c r="E901" s="174">
        <f t="shared" si="1"/>
        <v>2</v>
      </c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</row>
    <row r="902">
      <c r="A902" s="36"/>
      <c r="B902" s="171" t="s">
        <v>5</v>
      </c>
      <c r="C902" s="172">
        <v>0.0</v>
      </c>
      <c r="D902" s="173"/>
      <c r="E902" s="174">
        <f t="shared" si="1"/>
        <v>0</v>
      </c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</row>
    <row r="903">
      <c r="A903" s="36"/>
      <c r="B903" s="171" t="s">
        <v>6</v>
      </c>
      <c r="C903" s="172">
        <v>0.0</v>
      </c>
      <c r="D903" s="173"/>
      <c r="E903" s="174">
        <f t="shared" si="1"/>
        <v>0</v>
      </c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</row>
    <row r="904">
      <c r="A904" s="36"/>
      <c r="B904" s="171" t="s">
        <v>22</v>
      </c>
      <c r="C904" s="172">
        <v>0.0</v>
      </c>
      <c r="D904" s="173"/>
      <c r="E904" s="174">
        <f t="shared" si="1"/>
        <v>0</v>
      </c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</row>
    <row r="905">
      <c r="A905" s="36"/>
      <c r="B905" s="171" t="s">
        <v>7</v>
      </c>
      <c r="C905" s="172">
        <v>2.0</v>
      </c>
      <c r="D905" s="173"/>
      <c r="E905" s="174">
        <f t="shared" si="1"/>
        <v>2</v>
      </c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</row>
    <row r="906">
      <c r="A906" s="36"/>
      <c r="B906" s="171" t="s">
        <v>8</v>
      </c>
      <c r="C906" s="172">
        <v>2.0</v>
      </c>
      <c r="D906" s="173"/>
      <c r="E906" s="174">
        <f t="shared" si="1"/>
        <v>2</v>
      </c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</row>
    <row r="907">
      <c r="A907" s="36"/>
      <c r="B907" s="171" t="s">
        <v>9</v>
      </c>
      <c r="C907" s="172">
        <v>2.0</v>
      </c>
      <c r="D907" s="173"/>
      <c r="E907" s="174">
        <f t="shared" si="1"/>
        <v>2</v>
      </c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</row>
    <row r="908">
      <c r="A908" s="36"/>
      <c r="B908" s="171" t="s">
        <v>10</v>
      </c>
      <c r="C908" s="172">
        <v>6.0</v>
      </c>
      <c r="D908" s="173"/>
      <c r="E908" s="174">
        <f t="shared" si="1"/>
        <v>6</v>
      </c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</row>
    <row r="909">
      <c r="A909" s="36"/>
      <c r="B909" s="171" t="s">
        <v>11</v>
      </c>
      <c r="C909" s="172">
        <v>4.0</v>
      </c>
      <c r="D909" s="173"/>
      <c r="E909" s="174">
        <f t="shared" si="1"/>
        <v>4</v>
      </c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</row>
    <row r="910">
      <c r="A910" s="36"/>
      <c r="B910" s="171" t="s">
        <v>12</v>
      </c>
      <c r="C910" s="172">
        <v>20.0</v>
      </c>
      <c r="D910" s="173"/>
      <c r="E910" s="174">
        <f t="shared" si="1"/>
        <v>20</v>
      </c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</row>
    <row r="911">
      <c r="A911" s="36"/>
      <c r="B911" s="171" t="s">
        <v>13</v>
      </c>
      <c r="C911" s="172">
        <v>0.0</v>
      </c>
      <c r="D911" s="173"/>
      <c r="E911" s="174">
        <f t="shared" si="1"/>
        <v>0</v>
      </c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</row>
    <row r="912">
      <c r="A912" s="36"/>
      <c r="B912" s="171" t="s">
        <v>14</v>
      </c>
      <c r="C912" s="172">
        <v>1.0</v>
      </c>
      <c r="D912" s="173"/>
      <c r="E912" s="174">
        <f t="shared" si="1"/>
        <v>1</v>
      </c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</row>
    <row r="913">
      <c r="A913" s="36"/>
      <c r="B913" s="171" t="s">
        <v>15</v>
      </c>
      <c r="C913" s="172">
        <v>0.0</v>
      </c>
      <c r="D913" s="173"/>
      <c r="E913" s="174">
        <f t="shared" si="1"/>
        <v>0</v>
      </c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</row>
    <row r="914">
      <c r="A914" s="36"/>
      <c r="B914" s="171" t="s">
        <v>16</v>
      </c>
      <c r="C914" s="172">
        <v>0.0</v>
      </c>
      <c r="D914" s="173"/>
      <c r="E914" s="174">
        <f t="shared" si="1"/>
        <v>0</v>
      </c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</row>
    <row r="915">
      <c r="A915" s="36"/>
      <c r="B915" s="171" t="s">
        <v>17</v>
      </c>
      <c r="C915" s="172">
        <v>0.0</v>
      </c>
      <c r="D915" s="173"/>
      <c r="E915" s="174">
        <f t="shared" si="1"/>
        <v>0</v>
      </c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</row>
    <row r="916">
      <c r="A916" s="36"/>
      <c r="B916" s="171" t="s">
        <v>18</v>
      </c>
      <c r="C916" s="172">
        <v>3.0</v>
      </c>
      <c r="D916" s="173"/>
      <c r="E916" s="174">
        <f t="shared" si="1"/>
        <v>3</v>
      </c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</row>
    <row r="917">
      <c r="A917" s="36"/>
      <c r="B917" s="171" t="s">
        <v>19</v>
      </c>
      <c r="C917" s="172">
        <v>0.0</v>
      </c>
      <c r="D917" s="173"/>
      <c r="E917" s="174">
        <f t="shared" si="1"/>
        <v>0</v>
      </c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</row>
    <row r="918">
      <c r="A918" s="36"/>
      <c r="B918" s="171" t="s">
        <v>20</v>
      </c>
      <c r="C918" s="172">
        <v>0.0</v>
      </c>
      <c r="D918" s="173"/>
      <c r="E918" s="174">
        <f t="shared" si="1"/>
        <v>0</v>
      </c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</row>
    <row r="919">
      <c r="A919" s="36"/>
      <c r="B919" s="171" t="s">
        <v>21</v>
      </c>
      <c r="C919" s="172">
        <v>0.0</v>
      </c>
      <c r="D919" s="173"/>
      <c r="E919" s="174">
        <f t="shared" si="1"/>
        <v>0</v>
      </c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</row>
    <row r="920">
      <c r="A920" s="36"/>
      <c r="B920" s="171" t="s">
        <v>23</v>
      </c>
      <c r="C920" s="172">
        <v>0.0</v>
      </c>
      <c r="D920" s="173"/>
      <c r="E920" s="174">
        <f t="shared" si="1"/>
        <v>0</v>
      </c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</row>
    <row r="921">
      <c r="A921" s="36"/>
      <c r="B921" s="171" t="s">
        <v>24</v>
      </c>
      <c r="C921" s="172">
        <v>14.0</v>
      </c>
      <c r="D921" s="173"/>
      <c r="E921" s="174">
        <f t="shared" si="1"/>
        <v>14</v>
      </c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</row>
    <row r="922">
      <c r="A922" s="36"/>
      <c r="B922" s="171" t="s">
        <v>25</v>
      </c>
      <c r="C922" s="175">
        <v>18.0</v>
      </c>
      <c r="D922" s="176"/>
      <c r="E922" s="174">
        <f t="shared" si="1"/>
        <v>18</v>
      </c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</row>
    <row r="923">
      <c r="A923" s="36"/>
      <c r="B923" s="171" t="s">
        <v>26</v>
      </c>
      <c r="C923" s="175">
        <v>21.0</v>
      </c>
      <c r="D923" s="176"/>
      <c r="E923" s="174">
        <f t="shared" si="1"/>
        <v>21</v>
      </c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</row>
    <row r="924">
      <c r="A924" s="36"/>
      <c r="B924" s="171" t="s">
        <v>27</v>
      </c>
      <c r="C924" s="175">
        <v>32.0</v>
      </c>
      <c r="D924" s="176"/>
      <c r="E924" s="174">
        <f t="shared" si="1"/>
        <v>32</v>
      </c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</row>
    <row r="925">
      <c r="A925" s="36"/>
      <c r="B925" s="171" t="s">
        <v>28</v>
      </c>
      <c r="C925" s="175">
        <v>0.0</v>
      </c>
      <c r="D925" s="176"/>
      <c r="E925" s="174">
        <f t="shared" si="1"/>
        <v>0</v>
      </c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</row>
    <row r="926">
      <c r="A926" s="36"/>
      <c r="B926" s="177" t="s">
        <v>29</v>
      </c>
      <c r="C926" s="175">
        <v>0.0</v>
      </c>
      <c r="D926" s="176"/>
      <c r="E926" s="174">
        <f t="shared" si="1"/>
        <v>0</v>
      </c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</row>
    <row r="927">
      <c r="A927" s="36"/>
      <c r="B927" s="177" t="s">
        <v>30</v>
      </c>
      <c r="C927" s="175">
        <v>1.0</v>
      </c>
      <c r="D927" s="176"/>
      <c r="E927" s="174">
        <f t="shared" si="1"/>
        <v>1</v>
      </c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</row>
    <row r="928">
      <c r="A928" s="36"/>
      <c r="B928" s="177" t="s">
        <v>31</v>
      </c>
      <c r="C928" s="175">
        <v>0.0</v>
      </c>
      <c r="D928" s="176"/>
      <c r="E928" s="174">
        <f t="shared" si="1"/>
        <v>0</v>
      </c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</row>
    <row r="929">
      <c r="A929" s="36"/>
      <c r="B929" s="177" t="s">
        <v>32</v>
      </c>
      <c r="C929" s="175">
        <v>0.0</v>
      </c>
      <c r="D929" s="176"/>
      <c r="E929" s="174">
        <f t="shared" si="1"/>
        <v>0</v>
      </c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</row>
    <row r="930">
      <c r="A930" s="36"/>
      <c r="B930" s="177" t="s">
        <v>33</v>
      </c>
      <c r="C930" s="175">
        <v>0.0</v>
      </c>
      <c r="D930" s="176"/>
      <c r="E930" s="174">
        <f t="shared" si="1"/>
        <v>0</v>
      </c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</row>
    <row r="931">
      <c r="A931" s="91"/>
      <c r="B931" s="177" t="s">
        <v>34</v>
      </c>
      <c r="C931" s="175">
        <v>0.0</v>
      </c>
      <c r="D931" s="176"/>
      <c r="E931" s="174">
        <f t="shared" si="1"/>
        <v>0</v>
      </c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</row>
    <row r="932">
      <c r="A932" s="155">
        <v>46198.0</v>
      </c>
      <c r="B932" s="156" t="s">
        <v>4</v>
      </c>
      <c r="C932" s="157">
        <v>1.0</v>
      </c>
      <c r="D932" s="158"/>
      <c r="E932" s="159">
        <f t="shared" si="1"/>
        <v>1</v>
      </c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</row>
    <row r="933">
      <c r="A933" s="36"/>
      <c r="B933" s="156" t="s">
        <v>5</v>
      </c>
      <c r="C933" s="157">
        <v>0.0</v>
      </c>
      <c r="D933" s="158"/>
      <c r="E933" s="159">
        <f t="shared" si="1"/>
        <v>0</v>
      </c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</row>
    <row r="934">
      <c r="A934" s="36"/>
      <c r="B934" s="156" t="s">
        <v>6</v>
      </c>
      <c r="C934" s="157">
        <v>0.0</v>
      </c>
      <c r="D934" s="158"/>
      <c r="E934" s="159">
        <f t="shared" si="1"/>
        <v>0</v>
      </c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</row>
    <row r="935">
      <c r="A935" s="36"/>
      <c r="B935" s="156" t="s">
        <v>22</v>
      </c>
      <c r="C935" s="157">
        <v>0.0</v>
      </c>
      <c r="D935" s="158"/>
      <c r="E935" s="159">
        <f t="shared" si="1"/>
        <v>0</v>
      </c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</row>
    <row r="936">
      <c r="A936" s="36"/>
      <c r="B936" s="156" t="s">
        <v>7</v>
      </c>
      <c r="C936" s="157">
        <v>3.0</v>
      </c>
      <c r="D936" s="158"/>
      <c r="E936" s="159">
        <f t="shared" si="1"/>
        <v>3</v>
      </c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</row>
    <row r="937">
      <c r="A937" s="36"/>
      <c r="B937" s="162" t="s">
        <v>8</v>
      </c>
      <c r="C937" s="157">
        <v>7.0</v>
      </c>
      <c r="D937" s="158"/>
      <c r="E937" s="159">
        <f t="shared" si="1"/>
        <v>7</v>
      </c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</row>
    <row r="938">
      <c r="A938" s="36"/>
      <c r="B938" s="156" t="s">
        <v>9</v>
      </c>
      <c r="C938" s="157">
        <v>5.0</v>
      </c>
      <c r="D938" s="158"/>
      <c r="E938" s="159">
        <f t="shared" si="1"/>
        <v>5</v>
      </c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</row>
    <row r="939">
      <c r="A939" s="36"/>
      <c r="B939" s="156" t="s">
        <v>10</v>
      </c>
      <c r="C939" s="157">
        <v>19.0</v>
      </c>
      <c r="D939" s="158"/>
      <c r="E939" s="159">
        <f t="shared" si="1"/>
        <v>19</v>
      </c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</row>
    <row r="940">
      <c r="A940" s="36"/>
      <c r="B940" s="156" t="s">
        <v>11</v>
      </c>
      <c r="C940" s="157">
        <v>2.0</v>
      </c>
      <c r="D940" s="158"/>
      <c r="E940" s="159">
        <f t="shared" si="1"/>
        <v>2</v>
      </c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</row>
    <row r="941">
      <c r="A941" s="36"/>
      <c r="B941" s="162" t="s">
        <v>12</v>
      </c>
      <c r="C941" s="157">
        <v>28.0</v>
      </c>
      <c r="D941" s="158"/>
      <c r="E941" s="159">
        <f t="shared" si="1"/>
        <v>28</v>
      </c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</row>
    <row r="942">
      <c r="A942" s="36"/>
      <c r="B942" s="162" t="s">
        <v>13</v>
      </c>
      <c r="C942" s="157">
        <v>0.0</v>
      </c>
      <c r="D942" s="158"/>
      <c r="E942" s="159">
        <f t="shared" si="1"/>
        <v>0</v>
      </c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</row>
    <row r="943">
      <c r="A943" s="36"/>
      <c r="B943" s="162" t="s">
        <v>14</v>
      </c>
      <c r="C943" s="157">
        <v>0.0</v>
      </c>
      <c r="D943" s="158"/>
      <c r="E943" s="159">
        <f t="shared" si="1"/>
        <v>0</v>
      </c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</row>
    <row r="944">
      <c r="A944" s="36"/>
      <c r="B944" s="162" t="s">
        <v>15</v>
      </c>
      <c r="C944" s="157">
        <v>0.0</v>
      </c>
      <c r="D944" s="158"/>
      <c r="E944" s="159">
        <f t="shared" si="1"/>
        <v>0</v>
      </c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</row>
    <row r="945">
      <c r="A945" s="36"/>
      <c r="B945" s="162" t="s">
        <v>16</v>
      </c>
      <c r="C945" s="157">
        <v>0.0</v>
      </c>
      <c r="D945" s="158"/>
      <c r="E945" s="159">
        <f t="shared" si="1"/>
        <v>0</v>
      </c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</row>
    <row r="946">
      <c r="A946" s="36"/>
      <c r="B946" s="162" t="s">
        <v>17</v>
      </c>
      <c r="C946" s="157">
        <v>0.0</v>
      </c>
      <c r="D946" s="158"/>
      <c r="E946" s="159">
        <f t="shared" si="1"/>
        <v>0</v>
      </c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</row>
    <row r="947">
      <c r="A947" s="36"/>
      <c r="B947" s="156" t="s">
        <v>18</v>
      </c>
      <c r="C947" s="157">
        <v>7.0</v>
      </c>
      <c r="D947" s="158"/>
      <c r="E947" s="159">
        <f t="shared" si="1"/>
        <v>7</v>
      </c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</row>
    <row r="948">
      <c r="A948" s="36"/>
      <c r="B948" s="156" t="s">
        <v>19</v>
      </c>
      <c r="C948" s="157">
        <v>7.0</v>
      </c>
      <c r="D948" s="158"/>
      <c r="E948" s="159">
        <f t="shared" si="1"/>
        <v>7</v>
      </c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</row>
    <row r="949">
      <c r="A949" s="36"/>
      <c r="B949" s="156" t="s">
        <v>20</v>
      </c>
      <c r="C949" s="157">
        <v>0.0</v>
      </c>
      <c r="D949" s="158"/>
      <c r="E949" s="159">
        <f t="shared" si="1"/>
        <v>0</v>
      </c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</row>
    <row r="950">
      <c r="A950" s="36"/>
      <c r="B950" s="156" t="s">
        <v>21</v>
      </c>
      <c r="C950" s="157">
        <v>3.0</v>
      </c>
      <c r="D950" s="158"/>
      <c r="E950" s="159">
        <f t="shared" si="1"/>
        <v>3</v>
      </c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</row>
    <row r="951">
      <c r="A951" s="36"/>
      <c r="B951" s="156" t="s">
        <v>23</v>
      </c>
      <c r="C951" s="157">
        <v>1.0</v>
      </c>
      <c r="D951" s="158"/>
      <c r="E951" s="159">
        <f t="shared" si="1"/>
        <v>1</v>
      </c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</row>
    <row r="952">
      <c r="A952" s="36"/>
      <c r="B952" s="156" t="s">
        <v>24</v>
      </c>
      <c r="C952" s="157">
        <v>28.0</v>
      </c>
      <c r="D952" s="158"/>
      <c r="E952" s="159">
        <f t="shared" si="1"/>
        <v>28</v>
      </c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</row>
    <row r="953">
      <c r="A953" s="36"/>
      <c r="B953" s="156" t="s">
        <v>25</v>
      </c>
      <c r="C953" s="163">
        <v>29.0</v>
      </c>
      <c r="D953" s="164"/>
      <c r="E953" s="159">
        <f t="shared" si="1"/>
        <v>29</v>
      </c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</row>
    <row r="954">
      <c r="A954" s="36"/>
      <c r="B954" s="156" t="s">
        <v>26</v>
      </c>
      <c r="C954" s="163">
        <v>13.0</v>
      </c>
      <c r="D954" s="164"/>
      <c r="E954" s="159">
        <f t="shared" si="1"/>
        <v>13</v>
      </c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</row>
    <row r="955">
      <c r="A955" s="36"/>
      <c r="B955" s="156" t="s">
        <v>27</v>
      </c>
      <c r="C955" s="163">
        <v>53.0</v>
      </c>
      <c r="D955" s="164"/>
      <c r="E955" s="159">
        <f t="shared" si="1"/>
        <v>53</v>
      </c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</row>
    <row r="956">
      <c r="A956" s="36"/>
      <c r="B956" s="156" t="s">
        <v>28</v>
      </c>
      <c r="C956" s="163">
        <v>0.0</v>
      </c>
      <c r="D956" s="164"/>
      <c r="E956" s="159">
        <f t="shared" si="1"/>
        <v>0</v>
      </c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</row>
    <row r="957">
      <c r="A957" s="36"/>
      <c r="B957" s="165" t="s">
        <v>29</v>
      </c>
      <c r="C957" s="163">
        <v>0.0</v>
      </c>
      <c r="D957" s="164"/>
      <c r="E957" s="159">
        <f t="shared" si="1"/>
        <v>0</v>
      </c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</row>
    <row r="958">
      <c r="A958" s="36"/>
      <c r="B958" s="166" t="s">
        <v>30</v>
      </c>
      <c r="C958" s="163">
        <v>0.0</v>
      </c>
      <c r="D958" s="164"/>
      <c r="E958" s="159">
        <f t="shared" si="1"/>
        <v>0</v>
      </c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</row>
    <row r="959">
      <c r="A959" s="36"/>
      <c r="B959" s="167" t="s">
        <v>31</v>
      </c>
      <c r="C959" s="163">
        <v>1.0</v>
      </c>
      <c r="D959" s="164"/>
      <c r="E959" s="159">
        <f t="shared" si="1"/>
        <v>1</v>
      </c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</row>
    <row r="960">
      <c r="A960" s="36"/>
      <c r="B960" s="167" t="s">
        <v>32</v>
      </c>
      <c r="C960" s="163">
        <v>0.0</v>
      </c>
      <c r="D960" s="164"/>
      <c r="E960" s="159">
        <f t="shared" si="1"/>
        <v>0</v>
      </c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</row>
    <row r="961">
      <c r="A961" s="36"/>
      <c r="B961" s="167" t="s">
        <v>33</v>
      </c>
      <c r="C961" s="163">
        <v>0.0</v>
      </c>
      <c r="D961" s="164"/>
      <c r="E961" s="159">
        <f t="shared" si="1"/>
        <v>0</v>
      </c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</row>
    <row r="962">
      <c r="A962" s="91"/>
      <c r="B962" s="167" t="s">
        <v>34</v>
      </c>
      <c r="C962" s="163">
        <v>0.0</v>
      </c>
      <c r="D962" s="164"/>
      <c r="E962" s="159">
        <f t="shared" si="1"/>
        <v>0</v>
      </c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</row>
  </sheetData>
  <mergeCells count="31">
    <mergeCell ref="A2:A32"/>
    <mergeCell ref="A33:A63"/>
    <mergeCell ref="A64:A94"/>
    <mergeCell ref="A95:A125"/>
    <mergeCell ref="A126:A156"/>
    <mergeCell ref="A157:A187"/>
    <mergeCell ref="A188:A218"/>
    <mergeCell ref="A219:A249"/>
    <mergeCell ref="A250:A280"/>
    <mergeCell ref="A281:A311"/>
    <mergeCell ref="A312:A342"/>
    <mergeCell ref="A343:A373"/>
    <mergeCell ref="A374:A404"/>
    <mergeCell ref="A405:A435"/>
    <mergeCell ref="A436:A466"/>
    <mergeCell ref="A467:A497"/>
    <mergeCell ref="A498:A528"/>
    <mergeCell ref="A529:A559"/>
    <mergeCell ref="A560:A590"/>
    <mergeCell ref="A591:A621"/>
    <mergeCell ref="A622:A652"/>
    <mergeCell ref="A870:A900"/>
    <mergeCell ref="A901:A931"/>
    <mergeCell ref="A932:A962"/>
    <mergeCell ref="A653:A683"/>
    <mergeCell ref="A684:A714"/>
    <mergeCell ref="A715:A745"/>
    <mergeCell ref="A746:A776"/>
    <mergeCell ref="A777:A807"/>
    <mergeCell ref="A808:A838"/>
    <mergeCell ref="A839:A869"/>
  </mergeCell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25"/>
    <col customWidth="1" min="4" max="4" width="15.63"/>
    <col customWidth="1" min="6" max="6" width="28.63"/>
    <col customWidth="1" min="7" max="7" width="19.0"/>
  </cols>
  <sheetData>
    <row r="1">
      <c r="A1" s="149" t="s">
        <v>36</v>
      </c>
      <c r="B1" s="150" t="s">
        <v>37</v>
      </c>
      <c r="C1" s="151" t="s">
        <v>38</v>
      </c>
      <c r="D1" s="151" t="s">
        <v>109</v>
      </c>
      <c r="E1" s="151" t="s">
        <v>40</v>
      </c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</row>
    <row r="2">
      <c r="A2" s="155">
        <v>46168.0</v>
      </c>
      <c r="B2" s="156" t="s">
        <v>4</v>
      </c>
      <c r="C2" s="29">
        <v>2.0</v>
      </c>
      <c r="D2" s="179"/>
      <c r="E2" s="159">
        <f t="shared" ref="E2:E961" si="1">sum(C2:D2)</f>
        <v>2</v>
      </c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</row>
    <row r="3">
      <c r="A3" s="36"/>
      <c r="B3" s="156" t="s">
        <v>5</v>
      </c>
      <c r="C3" s="39">
        <v>1.0</v>
      </c>
      <c r="D3" s="179"/>
      <c r="E3" s="159">
        <f t="shared" si="1"/>
        <v>1</v>
      </c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</row>
    <row r="4">
      <c r="A4" s="36"/>
      <c r="B4" s="156" t="s">
        <v>6</v>
      </c>
      <c r="C4" s="39">
        <v>1.0</v>
      </c>
      <c r="D4" s="179"/>
      <c r="E4" s="159">
        <f t="shared" si="1"/>
        <v>1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</row>
    <row r="5">
      <c r="A5" s="36"/>
      <c r="B5" s="156" t="s">
        <v>22</v>
      </c>
      <c r="C5" s="39">
        <v>2.0</v>
      </c>
      <c r="D5" s="179"/>
      <c r="E5" s="159">
        <f t="shared" si="1"/>
        <v>2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</row>
    <row r="6">
      <c r="A6" s="36"/>
      <c r="B6" s="156" t="s">
        <v>7</v>
      </c>
      <c r="C6" s="39">
        <v>2.0</v>
      </c>
      <c r="D6" s="179"/>
      <c r="E6" s="159">
        <f t="shared" si="1"/>
        <v>2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</row>
    <row r="7">
      <c r="A7" s="36"/>
      <c r="B7" s="162" t="s">
        <v>8</v>
      </c>
      <c r="C7" s="39">
        <v>10.0</v>
      </c>
      <c r="D7" s="179"/>
      <c r="E7" s="159">
        <f t="shared" si="1"/>
        <v>10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</row>
    <row r="8">
      <c r="A8" s="36"/>
      <c r="B8" s="156" t="s">
        <v>9</v>
      </c>
      <c r="C8" s="39">
        <v>1.0</v>
      </c>
      <c r="D8" s="179"/>
      <c r="E8" s="159">
        <f t="shared" si="1"/>
        <v>1</v>
      </c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</row>
    <row r="9">
      <c r="A9" s="36"/>
      <c r="B9" s="156" t="s">
        <v>10</v>
      </c>
      <c r="C9" s="39">
        <v>0.0</v>
      </c>
      <c r="D9" s="179"/>
      <c r="E9" s="159">
        <f t="shared" si="1"/>
        <v>0</v>
      </c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</row>
    <row r="10">
      <c r="A10" s="36"/>
      <c r="B10" s="156" t="s">
        <v>11</v>
      </c>
      <c r="C10" s="39">
        <v>2.0</v>
      </c>
      <c r="D10" s="179"/>
      <c r="E10" s="159">
        <f t="shared" si="1"/>
        <v>2</v>
      </c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</row>
    <row r="11">
      <c r="A11" s="36"/>
      <c r="B11" s="162" t="s">
        <v>12</v>
      </c>
      <c r="C11" s="39">
        <v>10.0</v>
      </c>
      <c r="D11" s="179"/>
      <c r="E11" s="159">
        <f t="shared" si="1"/>
        <v>10</v>
      </c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</row>
    <row r="12">
      <c r="A12" s="36"/>
      <c r="B12" s="162" t="s">
        <v>13</v>
      </c>
      <c r="C12" s="39">
        <v>5.0</v>
      </c>
      <c r="D12" s="179"/>
      <c r="E12" s="159">
        <f t="shared" si="1"/>
        <v>5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</row>
    <row r="13">
      <c r="A13" s="36"/>
      <c r="B13" s="162" t="s">
        <v>14</v>
      </c>
      <c r="C13" s="39">
        <v>2.0</v>
      </c>
      <c r="D13" s="179"/>
      <c r="E13" s="159">
        <f t="shared" si="1"/>
        <v>2</v>
      </c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</row>
    <row r="14">
      <c r="A14" s="36"/>
      <c r="B14" s="162" t="s">
        <v>15</v>
      </c>
      <c r="C14" s="39">
        <v>4.0</v>
      </c>
      <c r="D14" s="179"/>
      <c r="E14" s="159">
        <f t="shared" si="1"/>
        <v>4</v>
      </c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</row>
    <row r="15">
      <c r="A15" s="36"/>
      <c r="B15" s="162" t="s">
        <v>16</v>
      </c>
      <c r="C15" s="39">
        <v>1.0</v>
      </c>
      <c r="D15" s="179"/>
      <c r="E15" s="159">
        <f t="shared" si="1"/>
        <v>1</v>
      </c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</row>
    <row r="16">
      <c r="A16" s="36"/>
      <c r="B16" s="162" t="s">
        <v>17</v>
      </c>
      <c r="C16" s="39">
        <v>1.0</v>
      </c>
      <c r="D16" s="179"/>
      <c r="E16" s="159">
        <f t="shared" si="1"/>
        <v>1</v>
      </c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</row>
    <row r="17">
      <c r="A17" s="36"/>
      <c r="B17" s="156" t="s">
        <v>18</v>
      </c>
      <c r="C17" s="39">
        <v>0.0</v>
      </c>
      <c r="D17" s="179"/>
      <c r="E17" s="159">
        <f t="shared" si="1"/>
        <v>0</v>
      </c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</row>
    <row r="18">
      <c r="A18" s="36"/>
      <c r="B18" s="156" t="s">
        <v>19</v>
      </c>
      <c r="C18" s="39">
        <v>3.0</v>
      </c>
      <c r="D18" s="179"/>
      <c r="E18" s="159">
        <f t="shared" si="1"/>
        <v>3</v>
      </c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</row>
    <row r="19">
      <c r="A19" s="36"/>
      <c r="B19" s="156" t="s">
        <v>20</v>
      </c>
      <c r="C19" s="43">
        <v>1.0</v>
      </c>
      <c r="D19" s="179"/>
      <c r="E19" s="159">
        <f t="shared" si="1"/>
        <v>1</v>
      </c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</row>
    <row r="20">
      <c r="A20" s="36"/>
      <c r="B20" s="156" t="s">
        <v>21</v>
      </c>
      <c r="C20" s="43">
        <v>0.0</v>
      </c>
      <c r="D20" s="179"/>
      <c r="E20" s="159">
        <f t="shared" si="1"/>
        <v>0</v>
      </c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</row>
    <row r="21">
      <c r="A21" s="36"/>
      <c r="B21" s="156" t="s">
        <v>23</v>
      </c>
      <c r="C21" s="43">
        <v>0.0</v>
      </c>
      <c r="D21" s="179"/>
      <c r="E21" s="159">
        <f t="shared" si="1"/>
        <v>0</v>
      </c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</row>
    <row r="22">
      <c r="A22" s="36"/>
      <c r="B22" s="156" t="s">
        <v>24</v>
      </c>
      <c r="C22" s="43">
        <v>15.0</v>
      </c>
      <c r="D22" s="179"/>
      <c r="E22" s="159">
        <f t="shared" si="1"/>
        <v>15</v>
      </c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</row>
    <row r="23">
      <c r="A23" s="36"/>
      <c r="B23" s="156" t="s">
        <v>25</v>
      </c>
      <c r="C23" s="43">
        <v>15.0</v>
      </c>
      <c r="D23" s="180"/>
      <c r="E23" s="159">
        <f t="shared" si="1"/>
        <v>15</v>
      </c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</row>
    <row r="24">
      <c r="A24" s="36"/>
      <c r="B24" s="156" t="s">
        <v>26</v>
      </c>
      <c r="C24" s="43">
        <v>18.0</v>
      </c>
      <c r="D24" s="180"/>
      <c r="E24" s="159">
        <f t="shared" si="1"/>
        <v>18</v>
      </c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</row>
    <row r="25">
      <c r="A25" s="36"/>
      <c r="B25" s="156" t="s">
        <v>27</v>
      </c>
      <c r="C25" s="43">
        <v>21.0</v>
      </c>
      <c r="D25" s="180"/>
      <c r="E25" s="159">
        <f t="shared" si="1"/>
        <v>21</v>
      </c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</row>
    <row r="26">
      <c r="A26" s="36"/>
      <c r="B26" s="156" t="s">
        <v>28</v>
      </c>
      <c r="C26" s="43">
        <v>1.0</v>
      </c>
      <c r="D26" s="180"/>
      <c r="E26" s="159">
        <f t="shared" si="1"/>
        <v>1</v>
      </c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</row>
    <row r="27">
      <c r="A27" s="36"/>
      <c r="B27" s="165" t="s">
        <v>29</v>
      </c>
      <c r="C27" s="43">
        <v>0.0</v>
      </c>
      <c r="D27" s="180"/>
      <c r="E27" s="159">
        <f t="shared" si="1"/>
        <v>0</v>
      </c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</row>
    <row r="28">
      <c r="A28" s="36"/>
      <c r="B28" s="166" t="s">
        <v>30</v>
      </c>
      <c r="C28" s="43">
        <v>0.0</v>
      </c>
      <c r="D28" s="180"/>
      <c r="E28" s="159">
        <f t="shared" si="1"/>
        <v>0</v>
      </c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</row>
    <row r="29">
      <c r="A29" s="36"/>
      <c r="B29" s="167" t="s">
        <v>31</v>
      </c>
      <c r="C29" s="47">
        <v>1.0</v>
      </c>
      <c r="D29" s="180"/>
      <c r="E29" s="159">
        <f t="shared" si="1"/>
        <v>1</v>
      </c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</row>
    <row r="30">
      <c r="A30" s="36"/>
      <c r="B30" s="167" t="s">
        <v>32</v>
      </c>
      <c r="C30" s="47">
        <v>1.0</v>
      </c>
      <c r="D30" s="180"/>
      <c r="E30" s="159">
        <f t="shared" si="1"/>
        <v>1</v>
      </c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</row>
    <row r="31">
      <c r="A31" s="36"/>
      <c r="B31" s="167" t="s">
        <v>33</v>
      </c>
      <c r="C31" s="47">
        <v>1.0</v>
      </c>
      <c r="D31" s="180"/>
      <c r="E31" s="159">
        <f t="shared" si="1"/>
        <v>1</v>
      </c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</row>
    <row r="32">
      <c r="A32" s="91"/>
      <c r="B32" s="167" t="s">
        <v>34</v>
      </c>
      <c r="C32" s="53">
        <v>1.0</v>
      </c>
      <c r="D32" s="180"/>
      <c r="E32" s="159">
        <f t="shared" si="1"/>
        <v>1</v>
      </c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</row>
    <row r="33">
      <c r="A33" s="155">
        <v>46169.0</v>
      </c>
      <c r="B33" s="156" t="s">
        <v>4</v>
      </c>
      <c r="C33" s="168"/>
      <c r="D33" s="179"/>
      <c r="E33" s="159">
        <f t="shared" si="1"/>
        <v>0</v>
      </c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</row>
    <row r="34">
      <c r="A34" s="36"/>
      <c r="B34" s="156" t="s">
        <v>5</v>
      </c>
      <c r="C34" s="168"/>
      <c r="D34" s="179"/>
      <c r="E34" s="159">
        <f t="shared" si="1"/>
        <v>0</v>
      </c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</row>
    <row r="35">
      <c r="A35" s="36"/>
      <c r="B35" s="156" t="s">
        <v>6</v>
      </c>
      <c r="C35" s="168"/>
      <c r="D35" s="179"/>
      <c r="E35" s="159">
        <f t="shared" si="1"/>
        <v>0</v>
      </c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</row>
    <row r="36">
      <c r="A36" s="36"/>
      <c r="B36" s="156" t="s">
        <v>22</v>
      </c>
      <c r="C36" s="168"/>
      <c r="D36" s="179"/>
      <c r="E36" s="159">
        <f t="shared" si="1"/>
        <v>0</v>
      </c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</row>
    <row r="37">
      <c r="A37" s="36"/>
      <c r="B37" s="156" t="s">
        <v>7</v>
      </c>
      <c r="C37" s="168"/>
      <c r="D37" s="179"/>
      <c r="E37" s="159">
        <f t="shared" si="1"/>
        <v>0</v>
      </c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</row>
    <row r="38">
      <c r="A38" s="36"/>
      <c r="B38" s="162" t="s">
        <v>8</v>
      </c>
      <c r="C38" s="168"/>
      <c r="D38" s="179"/>
      <c r="E38" s="159">
        <f t="shared" si="1"/>
        <v>0</v>
      </c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</row>
    <row r="39">
      <c r="A39" s="36"/>
      <c r="B39" s="156" t="s">
        <v>9</v>
      </c>
      <c r="C39" s="168"/>
      <c r="D39" s="179"/>
      <c r="E39" s="159">
        <f t="shared" si="1"/>
        <v>0</v>
      </c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</row>
    <row r="40">
      <c r="A40" s="36"/>
      <c r="B40" s="156" t="s">
        <v>10</v>
      </c>
      <c r="C40" s="168"/>
      <c r="D40" s="179"/>
      <c r="E40" s="159">
        <f t="shared" si="1"/>
        <v>0</v>
      </c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</row>
    <row r="41">
      <c r="A41" s="36"/>
      <c r="B41" s="156" t="s">
        <v>11</v>
      </c>
      <c r="C41" s="168"/>
      <c r="D41" s="179"/>
      <c r="E41" s="159">
        <f t="shared" si="1"/>
        <v>0</v>
      </c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</row>
    <row r="42">
      <c r="A42" s="36"/>
      <c r="B42" s="162" t="s">
        <v>12</v>
      </c>
      <c r="C42" s="168"/>
      <c r="D42" s="179"/>
      <c r="E42" s="159">
        <f t="shared" si="1"/>
        <v>0</v>
      </c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</row>
    <row r="43">
      <c r="A43" s="36"/>
      <c r="B43" s="162" t="s">
        <v>13</v>
      </c>
      <c r="C43" s="168"/>
      <c r="D43" s="179"/>
      <c r="E43" s="159">
        <f t="shared" si="1"/>
        <v>0</v>
      </c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</row>
    <row r="44">
      <c r="A44" s="36"/>
      <c r="B44" s="162" t="s">
        <v>14</v>
      </c>
      <c r="C44" s="168"/>
      <c r="D44" s="179"/>
      <c r="E44" s="159">
        <f t="shared" si="1"/>
        <v>0</v>
      </c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</row>
    <row r="45">
      <c r="A45" s="36"/>
      <c r="B45" s="162" t="s">
        <v>15</v>
      </c>
      <c r="C45" s="168"/>
      <c r="D45" s="179"/>
      <c r="E45" s="159">
        <f t="shared" si="1"/>
        <v>0</v>
      </c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</row>
    <row r="46">
      <c r="A46" s="36"/>
      <c r="B46" s="162" t="s">
        <v>16</v>
      </c>
      <c r="C46" s="168"/>
      <c r="D46" s="179"/>
      <c r="E46" s="159">
        <f t="shared" si="1"/>
        <v>0</v>
      </c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</row>
    <row r="47">
      <c r="A47" s="36"/>
      <c r="B47" s="162" t="s">
        <v>17</v>
      </c>
      <c r="C47" s="168"/>
      <c r="D47" s="179"/>
      <c r="E47" s="159">
        <f t="shared" si="1"/>
        <v>0</v>
      </c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</row>
    <row r="48">
      <c r="A48" s="36"/>
      <c r="B48" s="156" t="s">
        <v>18</v>
      </c>
      <c r="C48" s="168"/>
      <c r="D48" s="179"/>
      <c r="E48" s="159">
        <f t="shared" si="1"/>
        <v>0</v>
      </c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</row>
    <row r="49">
      <c r="A49" s="36"/>
      <c r="B49" s="156" t="s">
        <v>19</v>
      </c>
      <c r="C49" s="168"/>
      <c r="D49" s="179"/>
      <c r="E49" s="159">
        <f t="shared" si="1"/>
        <v>0</v>
      </c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</row>
    <row r="50">
      <c r="A50" s="36"/>
      <c r="B50" s="156" t="s">
        <v>20</v>
      </c>
      <c r="C50" s="169"/>
      <c r="D50" s="179"/>
      <c r="E50" s="159">
        <f t="shared" si="1"/>
        <v>0</v>
      </c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</row>
    <row r="51">
      <c r="A51" s="36"/>
      <c r="B51" s="156" t="s">
        <v>21</v>
      </c>
      <c r="C51" s="169"/>
      <c r="D51" s="179"/>
      <c r="E51" s="159">
        <f t="shared" si="1"/>
        <v>0</v>
      </c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</row>
    <row r="52">
      <c r="A52" s="36"/>
      <c r="B52" s="156" t="s">
        <v>23</v>
      </c>
      <c r="C52" s="169"/>
      <c r="D52" s="179"/>
      <c r="E52" s="159">
        <f t="shared" si="1"/>
        <v>0</v>
      </c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</row>
    <row r="53">
      <c r="A53" s="36"/>
      <c r="B53" s="156" t="s">
        <v>24</v>
      </c>
      <c r="C53" s="169"/>
      <c r="D53" s="179"/>
      <c r="E53" s="159">
        <f t="shared" si="1"/>
        <v>0</v>
      </c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</row>
    <row r="54">
      <c r="A54" s="36"/>
      <c r="B54" s="156" t="s">
        <v>25</v>
      </c>
      <c r="C54" s="169"/>
      <c r="D54" s="180"/>
      <c r="E54" s="159">
        <f t="shared" si="1"/>
        <v>0</v>
      </c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</row>
    <row r="55">
      <c r="A55" s="36"/>
      <c r="B55" s="156" t="s">
        <v>26</v>
      </c>
      <c r="C55" s="169"/>
      <c r="D55" s="180"/>
      <c r="E55" s="159">
        <f t="shared" si="1"/>
        <v>0</v>
      </c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</row>
    <row r="56">
      <c r="A56" s="36"/>
      <c r="B56" s="156" t="s">
        <v>27</v>
      </c>
      <c r="C56" s="169"/>
      <c r="D56" s="180"/>
      <c r="E56" s="159">
        <f t="shared" si="1"/>
        <v>0</v>
      </c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</row>
    <row r="57">
      <c r="A57" s="36"/>
      <c r="B57" s="156" t="s">
        <v>28</v>
      </c>
      <c r="C57" s="169"/>
      <c r="D57" s="180"/>
      <c r="E57" s="159">
        <f t="shared" si="1"/>
        <v>0</v>
      </c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</row>
    <row r="58">
      <c r="A58" s="36"/>
      <c r="B58" s="165" t="s">
        <v>29</v>
      </c>
      <c r="C58" s="169"/>
      <c r="D58" s="180"/>
      <c r="E58" s="159">
        <f t="shared" si="1"/>
        <v>0</v>
      </c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</row>
    <row r="59">
      <c r="A59" s="36"/>
      <c r="B59" s="166" t="s">
        <v>30</v>
      </c>
      <c r="C59" s="169"/>
      <c r="D59" s="180"/>
      <c r="E59" s="159">
        <f t="shared" si="1"/>
        <v>0</v>
      </c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</row>
    <row r="60">
      <c r="A60" s="36"/>
      <c r="B60" s="167" t="s">
        <v>31</v>
      </c>
      <c r="C60" s="169"/>
      <c r="D60" s="180"/>
      <c r="E60" s="159">
        <f t="shared" si="1"/>
        <v>0</v>
      </c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</row>
    <row r="61">
      <c r="A61" s="36"/>
      <c r="B61" s="167" t="s">
        <v>32</v>
      </c>
      <c r="C61" s="169"/>
      <c r="D61" s="180"/>
      <c r="E61" s="159">
        <f t="shared" si="1"/>
        <v>0</v>
      </c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</row>
    <row r="62">
      <c r="A62" s="36"/>
      <c r="B62" s="167" t="s">
        <v>33</v>
      </c>
      <c r="C62" s="169"/>
      <c r="D62" s="180"/>
      <c r="E62" s="159">
        <f t="shared" si="1"/>
        <v>0</v>
      </c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</row>
    <row r="63">
      <c r="A63" s="91"/>
      <c r="B63" s="167" t="s">
        <v>34</v>
      </c>
      <c r="C63" s="169"/>
      <c r="D63" s="180"/>
      <c r="E63" s="159">
        <f t="shared" si="1"/>
        <v>0</v>
      </c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</row>
    <row r="64">
      <c r="A64" s="155">
        <v>46170.0</v>
      </c>
      <c r="B64" s="156" t="s">
        <v>4</v>
      </c>
      <c r="C64" s="29">
        <v>0.0</v>
      </c>
      <c r="D64" s="179"/>
      <c r="E64" s="159">
        <f t="shared" si="1"/>
        <v>0</v>
      </c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</row>
    <row r="65">
      <c r="A65" s="36"/>
      <c r="B65" s="156" t="s">
        <v>5</v>
      </c>
      <c r="C65" s="39">
        <v>0.0</v>
      </c>
      <c r="D65" s="179"/>
      <c r="E65" s="159">
        <f t="shared" si="1"/>
        <v>0</v>
      </c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</row>
    <row r="66">
      <c r="A66" s="36"/>
      <c r="B66" s="156" t="s">
        <v>6</v>
      </c>
      <c r="C66" s="39">
        <v>2.0</v>
      </c>
      <c r="D66" s="179"/>
      <c r="E66" s="159">
        <f t="shared" si="1"/>
        <v>2</v>
      </c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</row>
    <row r="67">
      <c r="A67" s="36"/>
      <c r="B67" s="156" t="s">
        <v>22</v>
      </c>
      <c r="C67" s="39">
        <v>0.0</v>
      </c>
      <c r="D67" s="179"/>
      <c r="E67" s="159">
        <f t="shared" si="1"/>
        <v>0</v>
      </c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</row>
    <row r="68">
      <c r="A68" s="36"/>
      <c r="B68" s="156" t="s">
        <v>7</v>
      </c>
      <c r="C68" s="39">
        <v>1.0</v>
      </c>
      <c r="D68" s="179"/>
      <c r="E68" s="159">
        <f t="shared" si="1"/>
        <v>1</v>
      </c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</row>
    <row r="69">
      <c r="A69" s="36"/>
      <c r="B69" s="162" t="s">
        <v>8</v>
      </c>
      <c r="C69" s="39">
        <v>8.0</v>
      </c>
      <c r="D69" s="179"/>
      <c r="E69" s="159">
        <f t="shared" si="1"/>
        <v>8</v>
      </c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</row>
    <row r="70">
      <c r="A70" s="36"/>
      <c r="B70" s="156" t="s">
        <v>9</v>
      </c>
      <c r="C70" s="39">
        <v>5.0</v>
      </c>
      <c r="D70" s="179"/>
      <c r="E70" s="159">
        <f t="shared" si="1"/>
        <v>5</v>
      </c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</row>
    <row r="71">
      <c r="A71" s="36"/>
      <c r="B71" s="156" t="s">
        <v>10</v>
      </c>
      <c r="C71" s="39">
        <v>0.0</v>
      </c>
      <c r="D71" s="179"/>
      <c r="E71" s="159">
        <f t="shared" si="1"/>
        <v>0</v>
      </c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</row>
    <row r="72">
      <c r="A72" s="36"/>
      <c r="B72" s="156" t="s">
        <v>11</v>
      </c>
      <c r="C72" s="39">
        <v>4.0</v>
      </c>
      <c r="D72" s="179"/>
      <c r="E72" s="159">
        <f t="shared" si="1"/>
        <v>4</v>
      </c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</row>
    <row r="73">
      <c r="A73" s="36"/>
      <c r="B73" s="162" t="s">
        <v>12</v>
      </c>
      <c r="C73" s="39">
        <v>6.0</v>
      </c>
      <c r="D73" s="179"/>
      <c r="E73" s="159">
        <f t="shared" si="1"/>
        <v>6</v>
      </c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</row>
    <row r="74">
      <c r="A74" s="36"/>
      <c r="B74" s="162" t="s">
        <v>13</v>
      </c>
      <c r="C74" s="39">
        <v>0.0</v>
      </c>
      <c r="D74" s="179"/>
      <c r="E74" s="159">
        <f t="shared" si="1"/>
        <v>0</v>
      </c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</row>
    <row r="75">
      <c r="A75" s="36"/>
      <c r="B75" s="162" t="s">
        <v>14</v>
      </c>
      <c r="C75" s="39">
        <v>1.0</v>
      </c>
      <c r="D75" s="179"/>
      <c r="E75" s="159">
        <f t="shared" si="1"/>
        <v>1</v>
      </c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</row>
    <row r="76">
      <c r="A76" s="36"/>
      <c r="B76" s="162" t="s">
        <v>15</v>
      </c>
      <c r="C76" s="39">
        <v>0.0</v>
      </c>
      <c r="D76" s="179"/>
      <c r="E76" s="159">
        <f t="shared" si="1"/>
        <v>0</v>
      </c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</row>
    <row r="77">
      <c r="A77" s="36"/>
      <c r="B77" s="162" t="s">
        <v>16</v>
      </c>
      <c r="C77" s="39">
        <v>0.0</v>
      </c>
      <c r="D77" s="179"/>
      <c r="E77" s="159">
        <f t="shared" si="1"/>
        <v>0</v>
      </c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</row>
    <row r="78">
      <c r="A78" s="36"/>
      <c r="B78" s="162" t="s">
        <v>17</v>
      </c>
      <c r="C78" s="39">
        <v>1.0</v>
      </c>
      <c r="D78" s="179"/>
      <c r="E78" s="159">
        <f t="shared" si="1"/>
        <v>1</v>
      </c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</row>
    <row r="79">
      <c r="A79" s="36"/>
      <c r="B79" s="156" t="s">
        <v>18</v>
      </c>
      <c r="C79" s="39">
        <v>3.0</v>
      </c>
      <c r="D79" s="179"/>
      <c r="E79" s="159">
        <f t="shared" si="1"/>
        <v>3</v>
      </c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</row>
    <row r="80">
      <c r="A80" s="36"/>
      <c r="B80" s="156" t="s">
        <v>19</v>
      </c>
      <c r="C80" s="39">
        <v>3.0</v>
      </c>
      <c r="D80" s="179"/>
      <c r="E80" s="159">
        <f t="shared" si="1"/>
        <v>3</v>
      </c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</row>
    <row r="81">
      <c r="A81" s="36"/>
      <c r="B81" s="156" t="s">
        <v>20</v>
      </c>
      <c r="C81" s="43">
        <v>1.0</v>
      </c>
      <c r="D81" s="179"/>
      <c r="E81" s="159">
        <f t="shared" si="1"/>
        <v>1</v>
      </c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</row>
    <row r="82">
      <c r="A82" s="36"/>
      <c r="B82" s="156" t="s">
        <v>21</v>
      </c>
      <c r="C82" s="43">
        <v>1.0</v>
      </c>
      <c r="D82" s="179"/>
      <c r="E82" s="159">
        <f t="shared" si="1"/>
        <v>1</v>
      </c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</row>
    <row r="83">
      <c r="A83" s="36"/>
      <c r="B83" s="156" t="s">
        <v>23</v>
      </c>
      <c r="C83" s="43">
        <v>0.0</v>
      </c>
      <c r="D83" s="179"/>
      <c r="E83" s="159">
        <f t="shared" si="1"/>
        <v>0</v>
      </c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</row>
    <row r="84">
      <c r="A84" s="36"/>
      <c r="B84" s="156" t="s">
        <v>24</v>
      </c>
      <c r="C84" s="43">
        <v>6.0</v>
      </c>
      <c r="D84" s="179"/>
      <c r="E84" s="159">
        <f t="shared" si="1"/>
        <v>6</v>
      </c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</row>
    <row r="85">
      <c r="A85" s="36"/>
      <c r="B85" s="156" t="s">
        <v>25</v>
      </c>
      <c r="C85" s="43">
        <v>13.0</v>
      </c>
      <c r="D85" s="180"/>
      <c r="E85" s="159">
        <f t="shared" si="1"/>
        <v>13</v>
      </c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</row>
    <row r="86">
      <c r="A86" s="36"/>
      <c r="B86" s="156" t="s">
        <v>26</v>
      </c>
      <c r="C86" s="43">
        <v>13.0</v>
      </c>
      <c r="D86" s="180"/>
      <c r="E86" s="159">
        <f t="shared" si="1"/>
        <v>13</v>
      </c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</row>
    <row r="87">
      <c r="A87" s="36"/>
      <c r="B87" s="156" t="s">
        <v>27</v>
      </c>
      <c r="C87" s="43">
        <v>14.0</v>
      </c>
      <c r="D87" s="180"/>
      <c r="E87" s="159">
        <f t="shared" si="1"/>
        <v>14</v>
      </c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</row>
    <row r="88">
      <c r="A88" s="36"/>
      <c r="B88" s="156" t="s">
        <v>28</v>
      </c>
      <c r="C88" s="43">
        <v>0.0</v>
      </c>
      <c r="D88" s="180"/>
      <c r="E88" s="159">
        <f t="shared" si="1"/>
        <v>0</v>
      </c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</row>
    <row r="89">
      <c r="A89" s="36"/>
      <c r="B89" s="165" t="s">
        <v>29</v>
      </c>
      <c r="C89" s="43">
        <v>0.0</v>
      </c>
      <c r="D89" s="180"/>
      <c r="E89" s="159">
        <f t="shared" si="1"/>
        <v>0</v>
      </c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</row>
    <row r="90">
      <c r="A90" s="36"/>
      <c r="B90" s="166" t="s">
        <v>30</v>
      </c>
      <c r="C90" s="43">
        <v>0.0</v>
      </c>
      <c r="D90" s="180"/>
      <c r="E90" s="159">
        <f t="shared" si="1"/>
        <v>0</v>
      </c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</row>
    <row r="91">
      <c r="A91" s="36"/>
      <c r="B91" s="167" t="s">
        <v>31</v>
      </c>
      <c r="C91" s="47">
        <v>2.0</v>
      </c>
      <c r="D91" s="180"/>
      <c r="E91" s="159">
        <f t="shared" si="1"/>
        <v>2</v>
      </c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</row>
    <row r="92">
      <c r="A92" s="36"/>
      <c r="B92" s="167" t="s">
        <v>32</v>
      </c>
      <c r="C92" s="47">
        <v>1.0</v>
      </c>
      <c r="D92" s="180"/>
      <c r="E92" s="159">
        <f t="shared" si="1"/>
        <v>1</v>
      </c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</row>
    <row r="93">
      <c r="A93" s="36"/>
      <c r="B93" s="167" t="s">
        <v>33</v>
      </c>
      <c r="C93" s="47">
        <v>0.0</v>
      </c>
      <c r="D93" s="180"/>
      <c r="E93" s="159">
        <f t="shared" si="1"/>
        <v>0</v>
      </c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</row>
    <row r="94">
      <c r="A94" s="91"/>
      <c r="B94" s="167" t="s">
        <v>34</v>
      </c>
      <c r="C94" s="53">
        <v>0.0</v>
      </c>
      <c r="D94" s="180"/>
      <c r="E94" s="159">
        <f t="shared" si="1"/>
        <v>0</v>
      </c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</row>
    <row r="95">
      <c r="A95" s="155">
        <v>46171.0</v>
      </c>
      <c r="B95" s="156" t="s">
        <v>4</v>
      </c>
      <c r="C95" s="29">
        <v>0.0</v>
      </c>
      <c r="D95" s="179"/>
      <c r="E95" s="159">
        <f t="shared" si="1"/>
        <v>0</v>
      </c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</row>
    <row r="96">
      <c r="A96" s="36"/>
      <c r="B96" s="156" t="s">
        <v>5</v>
      </c>
      <c r="C96" s="39">
        <v>0.0</v>
      </c>
      <c r="D96" s="179"/>
      <c r="E96" s="159">
        <f t="shared" si="1"/>
        <v>0</v>
      </c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</row>
    <row r="97">
      <c r="A97" s="36"/>
      <c r="B97" s="156" t="s">
        <v>6</v>
      </c>
      <c r="C97" s="39">
        <v>1.0</v>
      </c>
      <c r="D97" s="179"/>
      <c r="E97" s="159">
        <f t="shared" si="1"/>
        <v>1</v>
      </c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</row>
    <row r="98">
      <c r="A98" s="36"/>
      <c r="B98" s="156" t="s">
        <v>22</v>
      </c>
      <c r="C98" s="39">
        <v>0.0</v>
      </c>
      <c r="D98" s="179"/>
      <c r="E98" s="159">
        <f t="shared" si="1"/>
        <v>0</v>
      </c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</row>
    <row r="99">
      <c r="A99" s="36"/>
      <c r="B99" s="156" t="s">
        <v>7</v>
      </c>
      <c r="C99" s="39">
        <v>0.0</v>
      </c>
      <c r="D99" s="179"/>
      <c r="E99" s="159">
        <f t="shared" si="1"/>
        <v>0</v>
      </c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</row>
    <row r="100">
      <c r="A100" s="36"/>
      <c r="B100" s="162" t="s">
        <v>8</v>
      </c>
      <c r="C100" s="39">
        <v>10.0</v>
      </c>
      <c r="D100" s="179"/>
      <c r="E100" s="159">
        <f t="shared" si="1"/>
        <v>10</v>
      </c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</row>
    <row r="101">
      <c r="A101" s="36"/>
      <c r="B101" s="156" t="s">
        <v>9</v>
      </c>
      <c r="C101" s="39">
        <v>2.0</v>
      </c>
      <c r="D101" s="179"/>
      <c r="E101" s="159">
        <f t="shared" si="1"/>
        <v>2</v>
      </c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</row>
    <row r="102">
      <c r="A102" s="36"/>
      <c r="B102" s="156" t="s">
        <v>10</v>
      </c>
      <c r="C102" s="39">
        <v>1.0</v>
      </c>
      <c r="D102" s="179"/>
      <c r="E102" s="159">
        <f t="shared" si="1"/>
        <v>1</v>
      </c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</row>
    <row r="103">
      <c r="A103" s="36"/>
      <c r="B103" s="156" t="s">
        <v>11</v>
      </c>
      <c r="C103" s="39">
        <v>2.0</v>
      </c>
      <c r="D103" s="179"/>
      <c r="E103" s="159">
        <f t="shared" si="1"/>
        <v>2</v>
      </c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</row>
    <row r="104">
      <c r="A104" s="36"/>
      <c r="B104" s="162" t="s">
        <v>12</v>
      </c>
      <c r="C104" s="39">
        <v>8.0</v>
      </c>
      <c r="D104" s="179"/>
      <c r="E104" s="159">
        <f t="shared" si="1"/>
        <v>8</v>
      </c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</row>
    <row r="105">
      <c r="A105" s="36"/>
      <c r="B105" s="162" t="s">
        <v>13</v>
      </c>
      <c r="C105" s="39">
        <v>1.0</v>
      </c>
      <c r="D105" s="179"/>
      <c r="E105" s="159">
        <f t="shared" si="1"/>
        <v>1</v>
      </c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</row>
    <row r="106">
      <c r="A106" s="36"/>
      <c r="B106" s="162" t="s">
        <v>14</v>
      </c>
      <c r="C106" s="39">
        <v>2.0</v>
      </c>
      <c r="D106" s="179"/>
      <c r="E106" s="159">
        <f t="shared" si="1"/>
        <v>2</v>
      </c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</row>
    <row r="107">
      <c r="A107" s="36"/>
      <c r="B107" s="162" t="s">
        <v>15</v>
      </c>
      <c r="C107" s="39">
        <v>1.0</v>
      </c>
      <c r="D107" s="179"/>
      <c r="E107" s="159">
        <f t="shared" si="1"/>
        <v>1</v>
      </c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</row>
    <row r="108">
      <c r="A108" s="36"/>
      <c r="B108" s="162" t="s">
        <v>16</v>
      </c>
      <c r="C108" s="39">
        <v>0.0</v>
      </c>
      <c r="D108" s="179"/>
      <c r="E108" s="159">
        <f t="shared" si="1"/>
        <v>0</v>
      </c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</row>
    <row r="109">
      <c r="A109" s="36"/>
      <c r="B109" s="162" t="s">
        <v>17</v>
      </c>
      <c r="C109" s="39">
        <v>0.0</v>
      </c>
      <c r="D109" s="179"/>
      <c r="E109" s="159">
        <f t="shared" si="1"/>
        <v>0</v>
      </c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</row>
    <row r="110">
      <c r="A110" s="36"/>
      <c r="B110" s="156" t="s">
        <v>18</v>
      </c>
      <c r="C110" s="39">
        <v>0.0</v>
      </c>
      <c r="D110" s="179"/>
      <c r="E110" s="159">
        <f t="shared" si="1"/>
        <v>0</v>
      </c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</row>
    <row r="111">
      <c r="A111" s="36"/>
      <c r="B111" s="156" t="s">
        <v>19</v>
      </c>
      <c r="C111" s="39">
        <v>1.0</v>
      </c>
      <c r="D111" s="179"/>
      <c r="E111" s="159">
        <f t="shared" si="1"/>
        <v>1</v>
      </c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</row>
    <row r="112">
      <c r="A112" s="36"/>
      <c r="B112" s="156" t="s">
        <v>20</v>
      </c>
      <c r="C112" s="43">
        <v>0.0</v>
      </c>
      <c r="D112" s="179"/>
      <c r="E112" s="159">
        <f t="shared" si="1"/>
        <v>0</v>
      </c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</row>
    <row r="113">
      <c r="A113" s="36"/>
      <c r="B113" s="156" t="s">
        <v>21</v>
      </c>
      <c r="C113" s="43">
        <v>0.0</v>
      </c>
      <c r="D113" s="179"/>
      <c r="E113" s="159">
        <f t="shared" si="1"/>
        <v>0</v>
      </c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</row>
    <row r="114">
      <c r="A114" s="36"/>
      <c r="B114" s="156" t="s">
        <v>23</v>
      </c>
      <c r="C114" s="43">
        <v>0.0</v>
      </c>
      <c r="D114" s="179"/>
      <c r="E114" s="159">
        <f t="shared" si="1"/>
        <v>0</v>
      </c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</row>
    <row r="115">
      <c r="A115" s="36"/>
      <c r="B115" s="156" t="s">
        <v>24</v>
      </c>
      <c r="C115" s="43">
        <v>11.0</v>
      </c>
      <c r="D115" s="179"/>
      <c r="E115" s="159">
        <f t="shared" si="1"/>
        <v>11</v>
      </c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</row>
    <row r="116">
      <c r="A116" s="36"/>
      <c r="B116" s="156" t="s">
        <v>25</v>
      </c>
      <c r="C116" s="43">
        <v>8.0</v>
      </c>
      <c r="D116" s="180"/>
      <c r="E116" s="159">
        <f t="shared" si="1"/>
        <v>8</v>
      </c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</row>
    <row r="117">
      <c r="A117" s="36"/>
      <c r="B117" s="156" t="s">
        <v>26</v>
      </c>
      <c r="C117" s="43">
        <v>6.0</v>
      </c>
      <c r="D117" s="180"/>
      <c r="E117" s="159">
        <f t="shared" si="1"/>
        <v>6</v>
      </c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</row>
    <row r="118">
      <c r="A118" s="36"/>
      <c r="B118" s="156" t="s">
        <v>27</v>
      </c>
      <c r="C118" s="43">
        <v>11.0</v>
      </c>
      <c r="D118" s="180"/>
      <c r="E118" s="159">
        <f t="shared" si="1"/>
        <v>11</v>
      </c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</row>
    <row r="119">
      <c r="A119" s="36"/>
      <c r="B119" s="156" t="s">
        <v>28</v>
      </c>
      <c r="C119" s="43">
        <v>0.0</v>
      </c>
      <c r="D119" s="180"/>
      <c r="E119" s="159">
        <f t="shared" si="1"/>
        <v>0</v>
      </c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</row>
    <row r="120">
      <c r="A120" s="36"/>
      <c r="B120" s="165" t="s">
        <v>29</v>
      </c>
      <c r="C120" s="43">
        <v>0.0</v>
      </c>
      <c r="D120" s="180"/>
      <c r="E120" s="159">
        <f t="shared" si="1"/>
        <v>0</v>
      </c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</row>
    <row r="121">
      <c r="A121" s="36"/>
      <c r="B121" s="166" t="s">
        <v>30</v>
      </c>
      <c r="C121" s="43">
        <v>0.0</v>
      </c>
      <c r="D121" s="180"/>
      <c r="E121" s="159">
        <f t="shared" si="1"/>
        <v>0</v>
      </c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</row>
    <row r="122">
      <c r="A122" s="36"/>
      <c r="B122" s="167" t="s">
        <v>31</v>
      </c>
      <c r="C122" s="47">
        <v>0.0</v>
      </c>
      <c r="D122" s="180"/>
      <c r="E122" s="159">
        <f t="shared" si="1"/>
        <v>0</v>
      </c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</row>
    <row r="123">
      <c r="A123" s="36"/>
      <c r="B123" s="167" t="s">
        <v>32</v>
      </c>
      <c r="C123" s="47">
        <v>0.0</v>
      </c>
      <c r="D123" s="180"/>
      <c r="E123" s="159">
        <f t="shared" si="1"/>
        <v>0</v>
      </c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</row>
    <row r="124">
      <c r="A124" s="36"/>
      <c r="B124" s="167" t="s">
        <v>33</v>
      </c>
      <c r="C124" s="47">
        <v>0.0</v>
      </c>
      <c r="D124" s="180"/>
      <c r="E124" s="159">
        <f t="shared" si="1"/>
        <v>0</v>
      </c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</row>
    <row r="125">
      <c r="A125" s="91"/>
      <c r="B125" s="167" t="s">
        <v>34</v>
      </c>
      <c r="C125" s="53">
        <v>0.0</v>
      </c>
      <c r="D125" s="180"/>
      <c r="E125" s="159">
        <f t="shared" si="1"/>
        <v>0</v>
      </c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</row>
    <row r="126">
      <c r="A126" s="155">
        <v>46172.0</v>
      </c>
      <c r="B126" s="156" t="s">
        <v>4</v>
      </c>
      <c r="C126" s="29">
        <v>0.0</v>
      </c>
      <c r="D126" s="179"/>
      <c r="E126" s="159">
        <f t="shared" si="1"/>
        <v>0</v>
      </c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</row>
    <row r="127">
      <c r="A127" s="36"/>
      <c r="B127" s="156" t="s">
        <v>5</v>
      </c>
      <c r="C127" s="39">
        <v>0.0</v>
      </c>
      <c r="D127" s="179"/>
      <c r="E127" s="159">
        <f t="shared" si="1"/>
        <v>0</v>
      </c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</row>
    <row r="128">
      <c r="A128" s="36"/>
      <c r="B128" s="156" t="s">
        <v>6</v>
      </c>
      <c r="C128" s="39">
        <v>2.0</v>
      </c>
      <c r="D128" s="179"/>
      <c r="E128" s="159">
        <f t="shared" si="1"/>
        <v>2</v>
      </c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</row>
    <row r="129">
      <c r="A129" s="36"/>
      <c r="B129" s="156" t="s">
        <v>22</v>
      </c>
      <c r="C129" s="39">
        <v>1.0</v>
      </c>
      <c r="D129" s="179"/>
      <c r="E129" s="159">
        <f t="shared" si="1"/>
        <v>1</v>
      </c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</row>
    <row r="130">
      <c r="A130" s="36"/>
      <c r="B130" s="156" t="s">
        <v>7</v>
      </c>
      <c r="C130" s="39">
        <v>0.0</v>
      </c>
      <c r="D130" s="179"/>
      <c r="E130" s="159">
        <f t="shared" si="1"/>
        <v>0</v>
      </c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</row>
    <row r="131">
      <c r="A131" s="36"/>
      <c r="B131" s="162" t="s">
        <v>8</v>
      </c>
      <c r="C131" s="39">
        <v>6.0</v>
      </c>
      <c r="D131" s="179"/>
      <c r="E131" s="159">
        <f t="shared" si="1"/>
        <v>6</v>
      </c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</row>
    <row r="132">
      <c r="A132" s="36"/>
      <c r="B132" s="156" t="s">
        <v>9</v>
      </c>
      <c r="C132" s="39">
        <v>3.0</v>
      </c>
      <c r="D132" s="179"/>
      <c r="E132" s="159">
        <f t="shared" si="1"/>
        <v>3</v>
      </c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</row>
    <row r="133">
      <c r="A133" s="36"/>
      <c r="B133" s="156" t="s">
        <v>10</v>
      </c>
      <c r="C133" s="39">
        <v>1.0</v>
      </c>
      <c r="D133" s="179"/>
      <c r="E133" s="159">
        <f t="shared" si="1"/>
        <v>1</v>
      </c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</row>
    <row r="134">
      <c r="A134" s="36"/>
      <c r="B134" s="156" t="s">
        <v>11</v>
      </c>
      <c r="C134" s="39">
        <v>2.0</v>
      </c>
      <c r="D134" s="179"/>
      <c r="E134" s="159">
        <f t="shared" si="1"/>
        <v>2</v>
      </c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</row>
    <row r="135">
      <c r="A135" s="36"/>
      <c r="B135" s="162" t="s">
        <v>12</v>
      </c>
      <c r="C135" s="39">
        <v>4.0</v>
      </c>
      <c r="D135" s="179"/>
      <c r="E135" s="159">
        <f t="shared" si="1"/>
        <v>4</v>
      </c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</row>
    <row r="136">
      <c r="A136" s="36"/>
      <c r="B136" s="162" t="s">
        <v>13</v>
      </c>
      <c r="C136" s="39">
        <v>1.0</v>
      </c>
      <c r="D136" s="179"/>
      <c r="E136" s="159">
        <f t="shared" si="1"/>
        <v>1</v>
      </c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</row>
    <row r="137">
      <c r="A137" s="36"/>
      <c r="B137" s="162" t="s">
        <v>14</v>
      </c>
      <c r="C137" s="39">
        <v>0.0</v>
      </c>
      <c r="D137" s="179"/>
      <c r="E137" s="159">
        <f t="shared" si="1"/>
        <v>0</v>
      </c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</row>
    <row r="138">
      <c r="A138" s="36"/>
      <c r="B138" s="162" t="s">
        <v>15</v>
      </c>
      <c r="C138" s="39">
        <v>2.0</v>
      </c>
      <c r="D138" s="179"/>
      <c r="E138" s="159">
        <f t="shared" si="1"/>
        <v>2</v>
      </c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</row>
    <row r="139">
      <c r="A139" s="36"/>
      <c r="B139" s="162" t="s">
        <v>16</v>
      </c>
      <c r="C139" s="39">
        <v>0.0</v>
      </c>
      <c r="D139" s="179"/>
      <c r="E139" s="159">
        <f t="shared" si="1"/>
        <v>0</v>
      </c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</row>
    <row r="140">
      <c r="A140" s="36"/>
      <c r="B140" s="162" t="s">
        <v>17</v>
      </c>
      <c r="C140" s="39">
        <v>1.0</v>
      </c>
      <c r="D140" s="179"/>
      <c r="E140" s="159">
        <f t="shared" si="1"/>
        <v>1</v>
      </c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</row>
    <row r="141">
      <c r="A141" s="36"/>
      <c r="B141" s="156" t="s">
        <v>18</v>
      </c>
      <c r="C141" s="39">
        <v>2.0</v>
      </c>
      <c r="D141" s="179"/>
      <c r="E141" s="159">
        <f t="shared" si="1"/>
        <v>2</v>
      </c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</row>
    <row r="142">
      <c r="A142" s="36"/>
      <c r="B142" s="156" t="s">
        <v>19</v>
      </c>
      <c r="C142" s="39">
        <v>1.0</v>
      </c>
      <c r="D142" s="179"/>
      <c r="E142" s="159">
        <f t="shared" si="1"/>
        <v>1</v>
      </c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</row>
    <row r="143">
      <c r="A143" s="36"/>
      <c r="B143" s="156" t="s">
        <v>20</v>
      </c>
      <c r="C143" s="43">
        <v>1.0</v>
      </c>
      <c r="D143" s="179"/>
      <c r="E143" s="159">
        <f t="shared" si="1"/>
        <v>1</v>
      </c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</row>
    <row r="144">
      <c r="A144" s="36"/>
      <c r="B144" s="156" t="s">
        <v>21</v>
      </c>
      <c r="C144" s="43">
        <v>1.0</v>
      </c>
      <c r="D144" s="179"/>
      <c r="E144" s="159">
        <f t="shared" si="1"/>
        <v>1</v>
      </c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</row>
    <row r="145">
      <c r="A145" s="36"/>
      <c r="B145" s="156" t="s">
        <v>23</v>
      </c>
      <c r="C145" s="43">
        <v>0.0</v>
      </c>
      <c r="D145" s="179"/>
      <c r="E145" s="159">
        <f t="shared" si="1"/>
        <v>0</v>
      </c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</row>
    <row r="146">
      <c r="A146" s="36"/>
      <c r="B146" s="156" t="s">
        <v>24</v>
      </c>
      <c r="C146" s="43">
        <v>5.0</v>
      </c>
      <c r="D146" s="179"/>
      <c r="E146" s="159">
        <f t="shared" si="1"/>
        <v>5</v>
      </c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</row>
    <row r="147">
      <c r="A147" s="36"/>
      <c r="B147" s="156" t="s">
        <v>25</v>
      </c>
      <c r="C147" s="43">
        <v>8.0</v>
      </c>
      <c r="D147" s="180"/>
      <c r="E147" s="159">
        <f t="shared" si="1"/>
        <v>8</v>
      </c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</row>
    <row r="148">
      <c r="A148" s="36"/>
      <c r="B148" s="156" t="s">
        <v>26</v>
      </c>
      <c r="C148" s="43">
        <v>14.0</v>
      </c>
      <c r="D148" s="180"/>
      <c r="E148" s="159">
        <f t="shared" si="1"/>
        <v>14</v>
      </c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</row>
    <row r="149">
      <c r="A149" s="36"/>
      <c r="B149" s="156" t="s">
        <v>27</v>
      </c>
      <c r="C149" s="43">
        <v>13.0</v>
      </c>
      <c r="D149" s="180"/>
      <c r="E149" s="159">
        <f t="shared" si="1"/>
        <v>13</v>
      </c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</row>
    <row r="150">
      <c r="A150" s="36"/>
      <c r="B150" s="156" t="s">
        <v>28</v>
      </c>
      <c r="C150" s="43">
        <v>0.0</v>
      </c>
      <c r="D150" s="180"/>
      <c r="E150" s="159">
        <f t="shared" si="1"/>
        <v>0</v>
      </c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</row>
    <row r="151">
      <c r="A151" s="36"/>
      <c r="B151" s="165" t="s">
        <v>29</v>
      </c>
      <c r="C151" s="43">
        <v>0.0</v>
      </c>
      <c r="D151" s="180"/>
      <c r="E151" s="159">
        <f t="shared" si="1"/>
        <v>0</v>
      </c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</row>
    <row r="152">
      <c r="A152" s="36"/>
      <c r="B152" s="166" t="s">
        <v>30</v>
      </c>
      <c r="C152" s="43">
        <v>1.0</v>
      </c>
      <c r="D152" s="180"/>
      <c r="E152" s="159">
        <f t="shared" si="1"/>
        <v>1</v>
      </c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</row>
    <row r="153">
      <c r="A153" s="36"/>
      <c r="B153" s="167" t="s">
        <v>31</v>
      </c>
      <c r="C153" s="47">
        <v>0.0</v>
      </c>
      <c r="D153" s="180"/>
      <c r="E153" s="159">
        <f t="shared" si="1"/>
        <v>0</v>
      </c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</row>
    <row r="154">
      <c r="A154" s="36"/>
      <c r="B154" s="167" t="s">
        <v>32</v>
      </c>
      <c r="C154" s="47">
        <v>3.0</v>
      </c>
      <c r="D154" s="180"/>
      <c r="E154" s="159">
        <f t="shared" si="1"/>
        <v>3</v>
      </c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</row>
    <row r="155">
      <c r="A155" s="36"/>
      <c r="B155" s="167" t="s">
        <v>33</v>
      </c>
      <c r="C155" s="47">
        <v>0.0</v>
      </c>
      <c r="D155" s="180"/>
      <c r="E155" s="159">
        <f t="shared" si="1"/>
        <v>0</v>
      </c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</row>
    <row r="156">
      <c r="A156" s="91"/>
      <c r="B156" s="167" t="s">
        <v>34</v>
      </c>
      <c r="C156" s="53">
        <v>1.0</v>
      </c>
      <c r="D156" s="180"/>
      <c r="E156" s="159">
        <f t="shared" si="1"/>
        <v>1</v>
      </c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</row>
    <row r="157">
      <c r="A157" s="155">
        <v>46173.0</v>
      </c>
      <c r="B157" s="156" t="s">
        <v>4</v>
      </c>
      <c r="C157" s="29">
        <v>0.0</v>
      </c>
      <c r="D157" s="29">
        <v>0.0</v>
      </c>
      <c r="E157" s="159">
        <f t="shared" si="1"/>
        <v>0</v>
      </c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</row>
    <row r="158">
      <c r="A158" s="36"/>
      <c r="B158" s="156" t="s">
        <v>5</v>
      </c>
      <c r="C158" s="39">
        <v>0.0</v>
      </c>
      <c r="D158" s="39">
        <v>0.0</v>
      </c>
      <c r="E158" s="159">
        <f t="shared" si="1"/>
        <v>0</v>
      </c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</row>
    <row r="159">
      <c r="A159" s="36"/>
      <c r="B159" s="156" t="s">
        <v>6</v>
      </c>
      <c r="C159" s="39">
        <v>0.0</v>
      </c>
      <c r="D159" s="39">
        <v>0.0</v>
      </c>
      <c r="E159" s="159">
        <f t="shared" si="1"/>
        <v>0</v>
      </c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</row>
    <row r="160">
      <c r="A160" s="36"/>
      <c r="B160" s="156" t="s">
        <v>22</v>
      </c>
      <c r="C160" s="39">
        <v>0.0</v>
      </c>
      <c r="D160" s="39">
        <v>0.0</v>
      </c>
      <c r="E160" s="159">
        <f t="shared" si="1"/>
        <v>0</v>
      </c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</row>
    <row r="161">
      <c r="A161" s="36"/>
      <c r="B161" s="156" t="s">
        <v>7</v>
      </c>
      <c r="C161" s="39">
        <v>1.0</v>
      </c>
      <c r="D161" s="39">
        <v>0.0</v>
      </c>
      <c r="E161" s="159">
        <f t="shared" si="1"/>
        <v>1</v>
      </c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</row>
    <row r="162">
      <c r="A162" s="36"/>
      <c r="B162" s="162" t="s">
        <v>8</v>
      </c>
      <c r="C162" s="39">
        <v>12.0</v>
      </c>
      <c r="D162" s="39">
        <v>0.0</v>
      </c>
      <c r="E162" s="159">
        <f t="shared" si="1"/>
        <v>12</v>
      </c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</row>
    <row r="163">
      <c r="A163" s="36"/>
      <c r="B163" s="156" t="s">
        <v>9</v>
      </c>
      <c r="C163" s="39">
        <v>3.0</v>
      </c>
      <c r="D163" s="39">
        <v>0.0</v>
      </c>
      <c r="E163" s="159">
        <f t="shared" si="1"/>
        <v>3</v>
      </c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</row>
    <row r="164">
      <c r="A164" s="36"/>
      <c r="B164" s="156" t="s">
        <v>10</v>
      </c>
      <c r="C164" s="39">
        <v>4.0</v>
      </c>
      <c r="D164" s="39">
        <v>0.0</v>
      </c>
      <c r="E164" s="159">
        <f t="shared" si="1"/>
        <v>4</v>
      </c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</row>
    <row r="165">
      <c r="A165" s="36"/>
      <c r="B165" s="156" t="s">
        <v>11</v>
      </c>
      <c r="C165" s="39">
        <v>1.0</v>
      </c>
      <c r="D165" s="39">
        <v>0.0</v>
      </c>
      <c r="E165" s="159">
        <f t="shared" si="1"/>
        <v>1</v>
      </c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</row>
    <row r="166">
      <c r="A166" s="36"/>
      <c r="B166" s="162" t="s">
        <v>12</v>
      </c>
      <c r="C166" s="39">
        <v>10.0</v>
      </c>
      <c r="D166" s="39">
        <v>1.0</v>
      </c>
      <c r="E166" s="159">
        <f t="shared" si="1"/>
        <v>11</v>
      </c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</row>
    <row r="167">
      <c r="A167" s="36"/>
      <c r="B167" s="162" t="s">
        <v>13</v>
      </c>
      <c r="C167" s="39">
        <v>1.0</v>
      </c>
      <c r="D167" s="39">
        <v>0.0</v>
      </c>
      <c r="E167" s="159">
        <f t="shared" si="1"/>
        <v>1</v>
      </c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</row>
    <row r="168">
      <c r="A168" s="36"/>
      <c r="B168" s="162" t="s">
        <v>14</v>
      </c>
      <c r="C168" s="39">
        <v>1.0</v>
      </c>
      <c r="D168" s="39">
        <v>0.0</v>
      </c>
      <c r="E168" s="159">
        <f t="shared" si="1"/>
        <v>1</v>
      </c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</row>
    <row r="169">
      <c r="A169" s="36"/>
      <c r="B169" s="162" t="s">
        <v>15</v>
      </c>
      <c r="C169" s="39">
        <v>0.0</v>
      </c>
      <c r="D169" s="39">
        <v>0.0</v>
      </c>
      <c r="E169" s="159">
        <f t="shared" si="1"/>
        <v>0</v>
      </c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</row>
    <row r="170">
      <c r="A170" s="36"/>
      <c r="B170" s="162" t="s">
        <v>16</v>
      </c>
      <c r="C170" s="39">
        <v>3.0</v>
      </c>
      <c r="D170" s="39">
        <v>0.0</v>
      </c>
      <c r="E170" s="159">
        <f t="shared" si="1"/>
        <v>3</v>
      </c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</row>
    <row r="171">
      <c r="A171" s="36"/>
      <c r="B171" s="162" t="s">
        <v>17</v>
      </c>
      <c r="C171" s="39">
        <v>0.0</v>
      </c>
      <c r="D171" s="39">
        <v>0.0</v>
      </c>
      <c r="E171" s="159">
        <f t="shared" si="1"/>
        <v>0</v>
      </c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</row>
    <row r="172">
      <c r="A172" s="36"/>
      <c r="B172" s="156" t="s">
        <v>18</v>
      </c>
      <c r="C172" s="39">
        <v>3.0</v>
      </c>
      <c r="D172" s="39">
        <v>1.0</v>
      </c>
      <c r="E172" s="159">
        <f t="shared" si="1"/>
        <v>4</v>
      </c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</row>
    <row r="173">
      <c r="A173" s="36"/>
      <c r="B173" s="156" t="s">
        <v>19</v>
      </c>
      <c r="C173" s="39">
        <v>2.0</v>
      </c>
      <c r="D173" s="39">
        <v>0.0</v>
      </c>
      <c r="E173" s="159">
        <f t="shared" si="1"/>
        <v>2</v>
      </c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</row>
    <row r="174">
      <c r="A174" s="36"/>
      <c r="B174" s="156" t="s">
        <v>20</v>
      </c>
      <c r="C174" s="43">
        <v>2.0</v>
      </c>
      <c r="D174" s="43">
        <v>0.0</v>
      </c>
      <c r="E174" s="159">
        <f t="shared" si="1"/>
        <v>2</v>
      </c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</row>
    <row r="175">
      <c r="A175" s="36"/>
      <c r="B175" s="156" t="s">
        <v>21</v>
      </c>
      <c r="C175" s="43">
        <v>3.0</v>
      </c>
      <c r="D175" s="43">
        <v>1.0</v>
      </c>
      <c r="E175" s="159">
        <f t="shared" si="1"/>
        <v>4</v>
      </c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</row>
    <row r="176">
      <c r="A176" s="36"/>
      <c r="B176" s="156" t="s">
        <v>23</v>
      </c>
      <c r="C176" s="43">
        <v>0.0</v>
      </c>
      <c r="D176" s="43">
        <v>1.0</v>
      </c>
      <c r="E176" s="159">
        <f t="shared" si="1"/>
        <v>1</v>
      </c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</row>
    <row r="177">
      <c r="A177" s="36"/>
      <c r="B177" s="156" t="s">
        <v>24</v>
      </c>
      <c r="C177" s="43">
        <v>7.0</v>
      </c>
      <c r="D177" s="43">
        <v>3.0</v>
      </c>
      <c r="E177" s="159">
        <f t="shared" si="1"/>
        <v>10</v>
      </c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</row>
    <row r="178">
      <c r="A178" s="36"/>
      <c r="B178" s="156" t="s">
        <v>25</v>
      </c>
      <c r="C178" s="43">
        <v>7.0</v>
      </c>
      <c r="D178" s="43">
        <v>2.0</v>
      </c>
      <c r="E178" s="159">
        <f t="shared" si="1"/>
        <v>9</v>
      </c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</row>
    <row r="179">
      <c r="A179" s="36"/>
      <c r="B179" s="156" t="s">
        <v>26</v>
      </c>
      <c r="C179" s="43">
        <v>8.0</v>
      </c>
      <c r="D179" s="43">
        <v>2.0</v>
      </c>
      <c r="E179" s="159">
        <f t="shared" si="1"/>
        <v>10</v>
      </c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</row>
    <row r="180">
      <c r="A180" s="36"/>
      <c r="B180" s="156" t="s">
        <v>27</v>
      </c>
      <c r="C180" s="43">
        <v>21.0</v>
      </c>
      <c r="D180" s="43">
        <v>3.0</v>
      </c>
      <c r="E180" s="159">
        <f t="shared" si="1"/>
        <v>24</v>
      </c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</row>
    <row r="181">
      <c r="A181" s="36"/>
      <c r="B181" s="156" t="s">
        <v>28</v>
      </c>
      <c r="C181" s="43">
        <v>1.0</v>
      </c>
      <c r="D181" s="43">
        <v>0.0</v>
      </c>
      <c r="E181" s="159">
        <f t="shared" si="1"/>
        <v>1</v>
      </c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</row>
    <row r="182">
      <c r="A182" s="36"/>
      <c r="B182" s="165" t="s">
        <v>29</v>
      </c>
      <c r="C182" s="43">
        <v>1.0</v>
      </c>
      <c r="D182" s="43">
        <v>0.0</v>
      </c>
      <c r="E182" s="159">
        <f t="shared" si="1"/>
        <v>1</v>
      </c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</row>
    <row r="183">
      <c r="A183" s="36"/>
      <c r="B183" s="166" t="s">
        <v>30</v>
      </c>
      <c r="C183" s="43">
        <v>0.0</v>
      </c>
      <c r="D183" s="43">
        <v>0.0</v>
      </c>
      <c r="E183" s="159">
        <f t="shared" si="1"/>
        <v>0</v>
      </c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</row>
    <row r="184">
      <c r="A184" s="36"/>
      <c r="B184" s="167" t="s">
        <v>31</v>
      </c>
      <c r="C184" s="47">
        <v>0.0</v>
      </c>
      <c r="D184" s="47">
        <v>0.0</v>
      </c>
      <c r="E184" s="159">
        <f t="shared" si="1"/>
        <v>0</v>
      </c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</row>
    <row r="185">
      <c r="A185" s="36"/>
      <c r="B185" s="167" t="s">
        <v>32</v>
      </c>
      <c r="C185" s="47">
        <v>0.0</v>
      </c>
      <c r="D185" s="47">
        <v>0.0</v>
      </c>
      <c r="E185" s="159">
        <f t="shared" si="1"/>
        <v>0</v>
      </c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</row>
    <row r="186">
      <c r="A186" s="36"/>
      <c r="B186" s="167" t="s">
        <v>33</v>
      </c>
      <c r="C186" s="47">
        <v>0.0</v>
      </c>
      <c r="D186" s="47">
        <v>0.0</v>
      </c>
      <c r="E186" s="159">
        <f t="shared" si="1"/>
        <v>0</v>
      </c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</row>
    <row r="187">
      <c r="A187" s="91"/>
      <c r="B187" s="167" t="s">
        <v>34</v>
      </c>
      <c r="C187" s="53">
        <v>1.0</v>
      </c>
      <c r="D187" s="53">
        <v>0.0</v>
      </c>
      <c r="E187" s="159">
        <f t="shared" si="1"/>
        <v>1</v>
      </c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</row>
    <row r="188">
      <c r="A188" s="155">
        <v>46174.0</v>
      </c>
      <c r="B188" s="156" t="s">
        <v>4</v>
      </c>
      <c r="C188" s="29">
        <v>0.0</v>
      </c>
      <c r="D188" s="29">
        <v>0.0</v>
      </c>
      <c r="E188" s="159">
        <f t="shared" si="1"/>
        <v>0</v>
      </c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</row>
    <row r="189">
      <c r="A189" s="36"/>
      <c r="B189" s="156" t="s">
        <v>5</v>
      </c>
      <c r="C189" s="39">
        <v>0.0</v>
      </c>
      <c r="D189" s="39">
        <v>0.0</v>
      </c>
      <c r="E189" s="159">
        <f t="shared" si="1"/>
        <v>0</v>
      </c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</row>
    <row r="190">
      <c r="A190" s="36"/>
      <c r="B190" s="156" t="s">
        <v>6</v>
      </c>
      <c r="C190" s="39">
        <v>1.0</v>
      </c>
      <c r="D190" s="39">
        <v>0.0</v>
      </c>
      <c r="E190" s="159">
        <f t="shared" si="1"/>
        <v>1</v>
      </c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</row>
    <row r="191">
      <c r="A191" s="36"/>
      <c r="B191" s="156" t="s">
        <v>22</v>
      </c>
      <c r="C191" s="39">
        <v>0.0</v>
      </c>
      <c r="D191" s="39">
        <v>0.0</v>
      </c>
      <c r="E191" s="159">
        <f t="shared" si="1"/>
        <v>0</v>
      </c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</row>
    <row r="192">
      <c r="A192" s="36"/>
      <c r="B192" s="156" t="s">
        <v>7</v>
      </c>
      <c r="C192" s="39">
        <v>2.0</v>
      </c>
      <c r="D192" s="39">
        <v>0.0</v>
      </c>
      <c r="E192" s="159">
        <f t="shared" si="1"/>
        <v>2</v>
      </c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</row>
    <row r="193">
      <c r="A193" s="36"/>
      <c r="B193" s="162" t="s">
        <v>8</v>
      </c>
      <c r="C193" s="39">
        <v>8.0</v>
      </c>
      <c r="D193" s="39">
        <v>0.0</v>
      </c>
      <c r="E193" s="159">
        <f t="shared" si="1"/>
        <v>8</v>
      </c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</row>
    <row r="194">
      <c r="A194" s="36"/>
      <c r="B194" s="156" t="s">
        <v>9</v>
      </c>
      <c r="C194" s="39">
        <v>1.0</v>
      </c>
      <c r="D194" s="39">
        <v>0.0</v>
      </c>
      <c r="E194" s="159">
        <f t="shared" si="1"/>
        <v>1</v>
      </c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</row>
    <row r="195">
      <c r="A195" s="36"/>
      <c r="B195" s="156" t="s">
        <v>10</v>
      </c>
      <c r="C195" s="39">
        <v>3.0</v>
      </c>
      <c r="D195" s="39">
        <v>0.0</v>
      </c>
      <c r="E195" s="159">
        <f t="shared" si="1"/>
        <v>3</v>
      </c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</row>
    <row r="196">
      <c r="A196" s="36"/>
      <c r="B196" s="156" t="s">
        <v>11</v>
      </c>
      <c r="C196" s="39">
        <v>2.0</v>
      </c>
      <c r="D196" s="39">
        <v>0.0</v>
      </c>
      <c r="E196" s="159">
        <f t="shared" si="1"/>
        <v>2</v>
      </c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</row>
    <row r="197">
      <c r="A197" s="36"/>
      <c r="B197" s="162" t="s">
        <v>12</v>
      </c>
      <c r="C197" s="39">
        <v>11.0</v>
      </c>
      <c r="D197" s="39">
        <v>0.0</v>
      </c>
      <c r="E197" s="159">
        <f t="shared" si="1"/>
        <v>11</v>
      </c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</row>
    <row r="198">
      <c r="A198" s="36"/>
      <c r="B198" s="162" t="s">
        <v>13</v>
      </c>
      <c r="C198" s="39">
        <v>1.0</v>
      </c>
      <c r="D198" s="39">
        <v>0.0</v>
      </c>
      <c r="E198" s="159">
        <f t="shared" si="1"/>
        <v>1</v>
      </c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</row>
    <row r="199">
      <c r="A199" s="36"/>
      <c r="B199" s="162" t="s">
        <v>14</v>
      </c>
      <c r="C199" s="39">
        <v>1.0</v>
      </c>
      <c r="D199" s="39">
        <v>0.0</v>
      </c>
      <c r="E199" s="159">
        <f t="shared" si="1"/>
        <v>1</v>
      </c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</row>
    <row r="200">
      <c r="A200" s="36"/>
      <c r="B200" s="162" t="s">
        <v>15</v>
      </c>
      <c r="C200" s="39">
        <v>0.0</v>
      </c>
      <c r="D200" s="39">
        <v>0.0</v>
      </c>
      <c r="E200" s="159">
        <f t="shared" si="1"/>
        <v>0</v>
      </c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</row>
    <row r="201">
      <c r="A201" s="36"/>
      <c r="B201" s="162" t="s">
        <v>16</v>
      </c>
      <c r="C201" s="39">
        <v>0.0</v>
      </c>
      <c r="D201" s="39">
        <v>0.0</v>
      </c>
      <c r="E201" s="159">
        <f t="shared" si="1"/>
        <v>0</v>
      </c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</row>
    <row r="202">
      <c r="A202" s="36"/>
      <c r="B202" s="162" t="s">
        <v>17</v>
      </c>
      <c r="C202" s="39">
        <v>0.0</v>
      </c>
      <c r="D202" s="39">
        <v>0.0</v>
      </c>
      <c r="E202" s="159">
        <f t="shared" si="1"/>
        <v>0</v>
      </c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</row>
    <row r="203">
      <c r="A203" s="36"/>
      <c r="B203" s="156" t="s">
        <v>18</v>
      </c>
      <c r="C203" s="39">
        <v>0.0</v>
      </c>
      <c r="D203" s="39">
        <v>0.0</v>
      </c>
      <c r="E203" s="159">
        <f t="shared" si="1"/>
        <v>0</v>
      </c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</row>
    <row r="204">
      <c r="A204" s="36"/>
      <c r="B204" s="156" t="s">
        <v>19</v>
      </c>
      <c r="C204" s="39">
        <v>1.0</v>
      </c>
      <c r="D204" s="39">
        <v>0.0</v>
      </c>
      <c r="E204" s="159">
        <f t="shared" si="1"/>
        <v>1</v>
      </c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</row>
    <row r="205">
      <c r="A205" s="36"/>
      <c r="B205" s="156" t="s">
        <v>20</v>
      </c>
      <c r="C205" s="43">
        <v>0.0</v>
      </c>
      <c r="D205" s="43">
        <v>0.0</v>
      </c>
      <c r="E205" s="159">
        <f t="shared" si="1"/>
        <v>0</v>
      </c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</row>
    <row r="206">
      <c r="A206" s="36"/>
      <c r="B206" s="156" t="s">
        <v>21</v>
      </c>
      <c r="C206" s="43">
        <v>0.0</v>
      </c>
      <c r="D206" s="43">
        <v>0.0</v>
      </c>
      <c r="E206" s="159">
        <f t="shared" si="1"/>
        <v>0</v>
      </c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</row>
    <row r="207">
      <c r="A207" s="36"/>
      <c r="B207" s="156" t="s">
        <v>23</v>
      </c>
      <c r="C207" s="43">
        <v>1.0</v>
      </c>
      <c r="D207" s="43">
        <v>0.0</v>
      </c>
      <c r="E207" s="159">
        <f t="shared" si="1"/>
        <v>1</v>
      </c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</row>
    <row r="208">
      <c r="A208" s="36"/>
      <c r="B208" s="156" t="s">
        <v>24</v>
      </c>
      <c r="C208" s="43">
        <v>14.0</v>
      </c>
      <c r="D208" s="43">
        <v>0.0</v>
      </c>
      <c r="E208" s="159">
        <f t="shared" si="1"/>
        <v>14</v>
      </c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</row>
    <row r="209">
      <c r="A209" s="36"/>
      <c r="B209" s="156" t="s">
        <v>25</v>
      </c>
      <c r="C209" s="43">
        <v>10.0</v>
      </c>
      <c r="D209" s="43">
        <v>0.0</v>
      </c>
      <c r="E209" s="159">
        <f t="shared" si="1"/>
        <v>10</v>
      </c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</row>
    <row r="210">
      <c r="A210" s="36"/>
      <c r="B210" s="156" t="s">
        <v>26</v>
      </c>
      <c r="C210" s="43">
        <v>5.0</v>
      </c>
      <c r="D210" s="43">
        <v>0.0</v>
      </c>
      <c r="E210" s="159">
        <f t="shared" si="1"/>
        <v>5</v>
      </c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</row>
    <row r="211">
      <c r="A211" s="36"/>
      <c r="B211" s="156" t="s">
        <v>27</v>
      </c>
      <c r="C211" s="43">
        <v>17.0</v>
      </c>
      <c r="D211" s="43">
        <v>0.0</v>
      </c>
      <c r="E211" s="159">
        <f t="shared" si="1"/>
        <v>17</v>
      </c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</row>
    <row r="212">
      <c r="A212" s="36"/>
      <c r="B212" s="156" t="s">
        <v>28</v>
      </c>
      <c r="C212" s="43">
        <v>0.0</v>
      </c>
      <c r="D212" s="43">
        <v>0.0</v>
      </c>
      <c r="E212" s="159">
        <f t="shared" si="1"/>
        <v>0</v>
      </c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</row>
    <row r="213">
      <c r="A213" s="36"/>
      <c r="B213" s="165" t="s">
        <v>29</v>
      </c>
      <c r="C213" s="43">
        <v>0.0</v>
      </c>
      <c r="D213" s="43">
        <v>0.0</v>
      </c>
      <c r="E213" s="159">
        <f t="shared" si="1"/>
        <v>0</v>
      </c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</row>
    <row r="214">
      <c r="A214" s="36"/>
      <c r="B214" s="166" t="s">
        <v>30</v>
      </c>
      <c r="C214" s="43">
        <v>4.0</v>
      </c>
      <c r="D214" s="43">
        <v>1.0</v>
      </c>
      <c r="E214" s="159">
        <f t="shared" si="1"/>
        <v>5</v>
      </c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</row>
    <row r="215">
      <c r="A215" s="36"/>
      <c r="B215" s="167" t="s">
        <v>31</v>
      </c>
      <c r="C215" s="47">
        <v>0.0</v>
      </c>
      <c r="D215" s="47">
        <v>0.0</v>
      </c>
      <c r="E215" s="159">
        <f t="shared" si="1"/>
        <v>0</v>
      </c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</row>
    <row r="216">
      <c r="A216" s="36"/>
      <c r="B216" s="167" t="s">
        <v>32</v>
      </c>
      <c r="C216" s="47">
        <v>4.0</v>
      </c>
      <c r="D216" s="47">
        <v>0.0</v>
      </c>
      <c r="E216" s="159">
        <f t="shared" si="1"/>
        <v>4</v>
      </c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</row>
    <row r="217">
      <c r="A217" s="36"/>
      <c r="B217" s="167" t="s">
        <v>33</v>
      </c>
      <c r="C217" s="47">
        <v>2.0</v>
      </c>
      <c r="D217" s="47">
        <v>0.0</v>
      </c>
      <c r="E217" s="159">
        <f t="shared" si="1"/>
        <v>2</v>
      </c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</row>
    <row r="218">
      <c r="A218" s="91"/>
      <c r="B218" s="167" t="s">
        <v>34</v>
      </c>
      <c r="C218" s="53">
        <v>0.0</v>
      </c>
      <c r="D218" s="53">
        <v>0.0</v>
      </c>
      <c r="E218" s="159">
        <f t="shared" si="1"/>
        <v>0</v>
      </c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</row>
    <row r="219">
      <c r="A219" s="155">
        <v>46175.0</v>
      </c>
      <c r="B219" s="156" t="s">
        <v>4</v>
      </c>
      <c r="C219" s="29">
        <v>0.0</v>
      </c>
      <c r="D219" s="179"/>
      <c r="E219" s="159">
        <f t="shared" si="1"/>
        <v>0</v>
      </c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</row>
    <row r="220">
      <c r="A220" s="36"/>
      <c r="B220" s="156" t="s">
        <v>5</v>
      </c>
      <c r="C220" s="39">
        <v>0.0</v>
      </c>
      <c r="D220" s="179"/>
      <c r="E220" s="159">
        <f t="shared" si="1"/>
        <v>0</v>
      </c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</row>
    <row r="221">
      <c r="A221" s="36"/>
      <c r="B221" s="156" t="s">
        <v>6</v>
      </c>
      <c r="C221" s="39">
        <v>0.0</v>
      </c>
      <c r="D221" s="179"/>
      <c r="E221" s="159">
        <f t="shared" si="1"/>
        <v>0</v>
      </c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</row>
    <row r="222">
      <c r="A222" s="36"/>
      <c r="B222" s="156" t="s">
        <v>22</v>
      </c>
      <c r="C222" s="39">
        <v>0.0</v>
      </c>
      <c r="D222" s="179"/>
      <c r="E222" s="159">
        <f t="shared" si="1"/>
        <v>0</v>
      </c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</row>
    <row r="223">
      <c r="A223" s="36"/>
      <c r="B223" s="156" t="s">
        <v>7</v>
      </c>
      <c r="C223" s="39">
        <v>2.0</v>
      </c>
      <c r="D223" s="179"/>
      <c r="E223" s="159">
        <f t="shared" si="1"/>
        <v>2</v>
      </c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</row>
    <row r="224">
      <c r="A224" s="36"/>
      <c r="B224" s="162" t="s">
        <v>8</v>
      </c>
      <c r="C224" s="39">
        <v>14.0</v>
      </c>
      <c r="D224" s="179"/>
      <c r="E224" s="159">
        <f t="shared" si="1"/>
        <v>14</v>
      </c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</row>
    <row r="225">
      <c r="A225" s="36"/>
      <c r="B225" s="156" t="s">
        <v>9</v>
      </c>
      <c r="C225" s="39">
        <v>1.0</v>
      </c>
      <c r="D225" s="179"/>
      <c r="E225" s="159">
        <f t="shared" si="1"/>
        <v>1</v>
      </c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</row>
    <row r="226">
      <c r="A226" s="36"/>
      <c r="B226" s="156" t="s">
        <v>10</v>
      </c>
      <c r="C226" s="39">
        <v>2.0</v>
      </c>
      <c r="D226" s="179"/>
      <c r="E226" s="159">
        <f t="shared" si="1"/>
        <v>2</v>
      </c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</row>
    <row r="227">
      <c r="A227" s="36"/>
      <c r="B227" s="156" t="s">
        <v>11</v>
      </c>
      <c r="C227" s="39">
        <v>0.0</v>
      </c>
      <c r="D227" s="179"/>
      <c r="E227" s="159">
        <f t="shared" si="1"/>
        <v>0</v>
      </c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</row>
    <row r="228">
      <c r="A228" s="36"/>
      <c r="B228" s="162" t="s">
        <v>12</v>
      </c>
      <c r="C228" s="39">
        <v>14.0</v>
      </c>
      <c r="D228" s="179"/>
      <c r="E228" s="159">
        <f t="shared" si="1"/>
        <v>14</v>
      </c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</row>
    <row r="229">
      <c r="A229" s="36"/>
      <c r="B229" s="162" t="s">
        <v>13</v>
      </c>
      <c r="C229" s="39">
        <v>4.0</v>
      </c>
      <c r="D229" s="179"/>
      <c r="E229" s="159">
        <f t="shared" si="1"/>
        <v>4</v>
      </c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</row>
    <row r="230">
      <c r="A230" s="36"/>
      <c r="B230" s="162" t="s">
        <v>14</v>
      </c>
      <c r="C230" s="39">
        <v>1.0</v>
      </c>
      <c r="D230" s="179"/>
      <c r="E230" s="159">
        <f t="shared" si="1"/>
        <v>1</v>
      </c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</row>
    <row r="231">
      <c r="A231" s="36"/>
      <c r="B231" s="162" t="s">
        <v>15</v>
      </c>
      <c r="C231" s="39">
        <v>4.0</v>
      </c>
      <c r="D231" s="179"/>
      <c r="E231" s="159">
        <f t="shared" si="1"/>
        <v>4</v>
      </c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</row>
    <row r="232">
      <c r="A232" s="36"/>
      <c r="B232" s="162" t="s">
        <v>16</v>
      </c>
      <c r="C232" s="39">
        <v>0.0</v>
      </c>
      <c r="D232" s="179"/>
      <c r="E232" s="159">
        <f t="shared" si="1"/>
        <v>0</v>
      </c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</row>
    <row r="233">
      <c r="A233" s="36"/>
      <c r="B233" s="162" t="s">
        <v>17</v>
      </c>
      <c r="C233" s="39">
        <v>0.0</v>
      </c>
      <c r="D233" s="179"/>
      <c r="E233" s="159">
        <f t="shared" si="1"/>
        <v>0</v>
      </c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</row>
    <row r="234">
      <c r="A234" s="36"/>
      <c r="B234" s="156" t="s">
        <v>18</v>
      </c>
      <c r="C234" s="39">
        <v>3.0</v>
      </c>
      <c r="D234" s="179"/>
      <c r="E234" s="159">
        <f t="shared" si="1"/>
        <v>3</v>
      </c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</row>
    <row r="235">
      <c r="A235" s="36"/>
      <c r="B235" s="156" t="s">
        <v>19</v>
      </c>
      <c r="C235" s="39">
        <v>1.0</v>
      </c>
      <c r="D235" s="179"/>
      <c r="E235" s="159">
        <f t="shared" si="1"/>
        <v>1</v>
      </c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</row>
    <row r="236">
      <c r="A236" s="36"/>
      <c r="B236" s="156" t="s">
        <v>20</v>
      </c>
      <c r="C236" s="43">
        <v>0.0</v>
      </c>
      <c r="D236" s="179"/>
      <c r="E236" s="159">
        <f t="shared" si="1"/>
        <v>0</v>
      </c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</row>
    <row r="237">
      <c r="A237" s="36"/>
      <c r="B237" s="156" t="s">
        <v>21</v>
      </c>
      <c r="C237" s="43">
        <v>0.0</v>
      </c>
      <c r="D237" s="179"/>
      <c r="E237" s="159">
        <f t="shared" si="1"/>
        <v>0</v>
      </c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</row>
    <row r="238">
      <c r="A238" s="36"/>
      <c r="B238" s="156" t="s">
        <v>23</v>
      </c>
      <c r="C238" s="43">
        <v>4.0</v>
      </c>
      <c r="D238" s="179"/>
      <c r="E238" s="159">
        <f t="shared" si="1"/>
        <v>4</v>
      </c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</row>
    <row r="239">
      <c r="A239" s="36"/>
      <c r="B239" s="156" t="s">
        <v>24</v>
      </c>
      <c r="C239" s="43">
        <v>8.0</v>
      </c>
      <c r="D239" s="179"/>
      <c r="E239" s="159">
        <f t="shared" si="1"/>
        <v>8</v>
      </c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</row>
    <row r="240">
      <c r="A240" s="36"/>
      <c r="B240" s="156" t="s">
        <v>25</v>
      </c>
      <c r="C240" s="43">
        <v>17.0</v>
      </c>
      <c r="D240" s="180"/>
      <c r="E240" s="159">
        <f t="shared" si="1"/>
        <v>17</v>
      </c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</row>
    <row r="241">
      <c r="A241" s="36"/>
      <c r="B241" s="156" t="s">
        <v>26</v>
      </c>
      <c r="C241" s="43">
        <v>25.0</v>
      </c>
      <c r="D241" s="180"/>
      <c r="E241" s="159">
        <f t="shared" si="1"/>
        <v>25</v>
      </c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</row>
    <row r="242">
      <c r="A242" s="36"/>
      <c r="B242" s="156" t="s">
        <v>27</v>
      </c>
      <c r="C242" s="43">
        <v>26.0</v>
      </c>
      <c r="D242" s="180"/>
      <c r="E242" s="159">
        <f t="shared" si="1"/>
        <v>26</v>
      </c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</row>
    <row r="243">
      <c r="A243" s="36"/>
      <c r="B243" s="156" t="s">
        <v>28</v>
      </c>
      <c r="C243" s="43">
        <v>0.0</v>
      </c>
      <c r="D243" s="180"/>
      <c r="E243" s="159">
        <f t="shared" si="1"/>
        <v>0</v>
      </c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</row>
    <row r="244">
      <c r="A244" s="36"/>
      <c r="B244" s="165" t="s">
        <v>29</v>
      </c>
      <c r="C244" s="43">
        <v>0.0</v>
      </c>
      <c r="D244" s="180"/>
      <c r="E244" s="159">
        <f t="shared" si="1"/>
        <v>0</v>
      </c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</row>
    <row r="245">
      <c r="A245" s="36"/>
      <c r="B245" s="166" t="s">
        <v>30</v>
      </c>
      <c r="C245" s="43">
        <v>0.0</v>
      </c>
      <c r="D245" s="180"/>
      <c r="E245" s="159">
        <f t="shared" si="1"/>
        <v>0</v>
      </c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</row>
    <row r="246">
      <c r="A246" s="36"/>
      <c r="B246" s="167" t="s">
        <v>31</v>
      </c>
      <c r="C246" s="47">
        <v>2.0</v>
      </c>
      <c r="D246" s="180"/>
      <c r="E246" s="159">
        <f t="shared" si="1"/>
        <v>2</v>
      </c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</row>
    <row r="247">
      <c r="A247" s="36"/>
      <c r="B247" s="167" t="s">
        <v>32</v>
      </c>
      <c r="C247" s="47">
        <v>0.0</v>
      </c>
      <c r="D247" s="180"/>
      <c r="E247" s="159">
        <f t="shared" si="1"/>
        <v>0</v>
      </c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</row>
    <row r="248">
      <c r="A248" s="36"/>
      <c r="B248" s="167" t="s">
        <v>33</v>
      </c>
      <c r="C248" s="47">
        <v>0.0</v>
      </c>
      <c r="D248" s="180"/>
      <c r="E248" s="159">
        <f t="shared" si="1"/>
        <v>0</v>
      </c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</row>
    <row r="249">
      <c r="A249" s="91"/>
      <c r="B249" s="167" t="s">
        <v>34</v>
      </c>
      <c r="C249" s="53">
        <v>0.0</v>
      </c>
      <c r="D249" s="180"/>
      <c r="E249" s="159">
        <f t="shared" si="1"/>
        <v>0</v>
      </c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</row>
    <row r="250">
      <c r="A250" s="155">
        <v>46176.0</v>
      </c>
      <c r="B250" s="156" t="s">
        <v>4</v>
      </c>
      <c r="C250" s="29">
        <v>0.0</v>
      </c>
      <c r="D250" s="179"/>
      <c r="E250" s="159">
        <f t="shared" si="1"/>
        <v>0</v>
      </c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</row>
    <row r="251">
      <c r="A251" s="36"/>
      <c r="B251" s="156" t="s">
        <v>5</v>
      </c>
      <c r="C251" s="39">
        <v>0.0</v>
      </c>
      <c r="D251" s="179"/>
      <c r="E251" s="159">
        <f t="shared" si="1"/>
        <v>0</v>
      </c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</row>
    <row r="252">
      <c r="A252" s="36"/>
      <c r="B252" s="156" t="s">
        <v>6</v>
      </c>
      <c r="C252" s="39">
        <v>1.0</v>
      </c>
      <c r="D252" s="179"/>
      <c r="E252" s="159">
        <f t="shared" si="1"/>
        <v>1</v>
      </c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</row>
    <row r="253">
      <c r="A253" s="36"/>
      <c r="B253" s="156" t="s">
        <v>22</v>
      </c>
      <c r="C253" s="39">
        <v>1.0</v>
      </c>
      <c r="D253" s="179"/>
      <c r="E253" s="159">
        <f t="shared" si="1"/>
        <v>1</v>
      </c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</row>
    <row r="254">
      <c r="A254" s="36"/>
      <c r="B254" s="156" t="s">
        <v>7</v>
      </c>
      <c r="C254" s="39">
        <v>1.0</v>
      </c>
      <c r="D254" s="179"/>
      <c r="E254" s="159">
        <f t="shared" si="1"/>
        <v>1</v>
      </c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</row>
    <row r="255">
      <c r="A255" s="36"/>
      <c r="B255" s="162" t="s">
        <v>8</v>
      </c>
      <c r="C255" s="39">
        <v>6.0</v>
      </c>
      <c r="D255" s="179"/>
      <c r="E255" s="159">
        <f t="shared" si="1"/>
        <v>6</v>
      </c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</row>
    <row r="256">
      <c r="A256" s="36"/>
      <c r="B256" s="156" t="s">
        <v>9</v>
      </c>
      <c r="C256" s="39">
        <v>1.0</v>
      </c>
      <c r="D256" s="179"/>
      <c r="E256" s="159">
        <f t="shared" si="1"/>
        <v>1</v>
      </c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</row>
    <row r="257">
      <c r="A257" s="36"/>
      <c r="B257" s="156" t="s">
        <v>10</v>
      </c>
      <c r="C257" s="39">
        <v>3.0</v>
      </c>
      <c r="D257" s="179"/>
      <c r="E257" s="159">
        <f t="shared" si="1"/>
        <v>3</v>
      </c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</row>
    <row r="258">
      <c r="A258" s="36"/>
      <c r="B258" s="156" t="s">
        <v>11</v>
      </c>
      <c r="C258" s="39">
        <v>0.0</v>
      </c>
      <c r="D258" s="179"/>
      <c r="E258" s="159">
        <f t="shared" si="1"/>
        <v>0</v>
      </c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</row>
    <row r="259">
      <c r="A259" s="36"/>
      <c r="B259" s="162" t="s">
        <v>12</v>
      </c>
      <c r="C259" s="39">
        <v>9.0</v>
      </c>
      <c r="D259" s="179"/>
      <c r="E259" s="159">
        <f t="shared" si="1"/>
        <v>9</v>
      </c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</row>
    <row r="260">
      <c r="A260" s="36"/>
      <c r="B260" s="162" t="s">
        <v>13</v>
      </c>
      <c r="C260" s="39">
        <v>0.0</v>
      </c>
      <c r="D260" s="179"/>
      <c r="E260" s="159">
        <f t="shared" si="1"/>
        <v>0</v>
      </c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</row>
    <row r="261">
      <c r="A261" s="36"/>
      <c r="B261" s="162" t="s">
        <v>14</v>
      </c>
      <c r="C261" s="39">
        <v>0.0</v>
      </c>
      <c r="D261" s="179"/>
      <c r="E261" s="159">
        <f t="shared" si="1"/>
        <v>0</v>
      </c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</row>
    <row r="262">
      <c r="A262" s="36"/>
      <c r="B262" s="162" t="s">
        <v>15</v>
      </c>
      <c r="C262" s="39">
        <v>0.0</v>
      </c>
      <c r="D262" s="179"/>
      <c r="E262" s="159">
        <f t="shared" si="1"/>
        <v>0</v>
      </c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</row>
    <row r="263">
      <c r="A263" s="36"/>
      <c r="B263" s="162" t="s">
        <v>16</v>
      </c>
      <c r="C263" s="39">
        <v>0.0</v>
      </c>
      <c r="D263" s="179"/>
      <c r="E263" s="159">
        <f t="shared" si="1"/>
        <v>0</v>
      </c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</row>
    <row r="264">
      <c r="A264" s="36"/>
      <c r="B264" s="162" t="s">
        <v>17</v>
      </c>
      <c r="C264" s="39">
        <v>2.0</v>
      </c>
      <c r="D264" s="179"/>
      <c r="E264" s="159">
        <f t="shared" si="1"/>
        <v>2</v>
      </c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</row>
    <row r="265">
      <c r="A265" s="36"/>
      <c r="B265" s="156" t="s">
        <v>18</v>
      </c>
      <c r="C265" s="39">
        <v>2.0</v>
      </c>
      <c r="D265" s="179"/>
      <c r="E265" s="159">
        <f t="shared" si="1"/>
        <v>2</v>
      </c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</row>
    <row r="266">
      <c r="A266" s="36"/>
      <c r="B266" s="156" t="s">
        <v>19</v>
      </c>
      <c r="C266" s="39">
        <v>5.0</v>
      </c>
      <c r="D266" s="179"/>
      <c r="E266" s="159">
        <f t="shared" si="1"/>
        <v>5</v>
      </c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</row>
    <row r="267">
      <c r="A267" s="36"/>
      <c r="B267" s="156" t="s">
        <v>20</v>
      </c>
      <c r="C267" s="43">
        <v>0.0</v>
      </c>
      <c r="D267" s="179"/>
      <c r="E267" s="159">
        <f t="shared" si="1"/>
        <v>0</v>
      </c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</row>
    <row r="268">
      <c r="A268" s="36"/>
      <c r="B268" s="156" t="s">
        <v>21</v>
      </c>
      <c r="C268" s="43">
        <v>0.0</v>
      </c>
      <c r="D268" s="179"/>
      <c r="E268" s="159">
        <f t="shared" si="1"/>
        <v>0</v>
      </c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</row>
    <row r="269">
      <c r="A269" s="36"/>
      <c r="B269" s="156" t="s">
        <v>23</v>
      </c>
      <c r="C269" s="43">
        <v>0.0</v>
      </c>
      <c r="D269" s="179"/>
      <c r="E269" s="159">
        <f t="shared" si="1"/>
        <v>0</v>
      </c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</row>
    <row r="270">
      <c r="A270" s="36"/>
      <c r="B270" s="156" t="s">
        <v>24</v>
      </c>
      <c r="C270" s="43">
        <v>10.0</v>
      </c>
      <c r="D270" s="179"/>
      <c r="E270" s="159">
        <f t="shared" si="1"/>
        <v>10</v>
      </c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</row>
    <row r="271">
      <c r="A271" s="36"/>
      <c r="B271" s="156" t="s">
        <v>25</v>
      </c>
      <c r="C271" s="43">
        <v>11.0</v>
      </c>
      <c r="D271" s="180"/>
      <c r="E271" s="159">
        <f t="shared" si="1"/>
        <v>11</v>
      </c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</row>
    <row r="272">
      <c r="A272" s="36"/>
      <c r="B272" s="156" t="s">
        <v>26</v>
      </c>
      <c r="C272" s="43">
        <v>10.0</v>
      </c>
      <c r="D272" s="180"/>
      <c r="E272" s="159">
        <f t="shared" si="1"/>
        <v>10</v>
      </c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</row>
    <row r="273">
      <c r="A273" s="36"/>
      <c r="B273" s="156" t="s">
        <v>27</v>
      </c>
      <c r="C273" s="43">
        <v>21.0</v>
      </c>
      <c r="D273" s="180"/>
      <c r="E273" s="159">
        <f t="shared" si="1"/>
        <v>21</v>
      </c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</row>
    <row r="274">
      <c r="A274" s="36"/>
      <c r="B274" s="156" t="s">
        <v>28</v>
      </c>
      <c r="C274" s="43">
        <v>0.0</v>
      </c>
      <c r="D274" s="180"/>
      <c r="E274" s="159">
        <f t="shared" si="1"/>
        <v>0</v>
      </c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</row>
    <row r="275">
      <c r="A275" s="36"/>
      <c r="B275" s="165" t="s">
        <v>29</v>
      </c>
      <c r="C275" s="43">
        <v>0.0</v>
      </c>
      <c r="D275" s="180"/>
      <c r="E275" s="159">
        <f t="shared" si="1"/>
        <v>0</v>
      </c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</row>
    <row r="276">
      <c r="A276" s="36"/>
      <c r="B276" s="166" t="s">
        <v>30</v>
      </c>
      <c r="C276" s="43">
        <v>1.0</v>
      </c>
      <c r="D276" s="180"/>
      <c r="E276" s="159">
        <f t="shared" si="1"/>
        <v>1</v>
      </c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</row>
    <row r="277">
      <c r="A277" s="36"/>
      <c r="B277" s="167" t="s">
        <v>31</v>
      </c>
      <c r="C277" s="47">
        <v>0.0</v>
      </c>
      <c r="D277" s="180"/>
      <c r="E277" s="159">
        <f t="shared" si="1"/>
        <v>0</v>
      </c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</row>
    <row r="278">
      <c r="A278" s="36"/>
      <c r="B278" s="167" t="s">
        <v>32</v>
      </c>
      <c r="C278" s="47">
        <v>4.0</v>
      </c>
      <c r="D278" s="180"/>
      <c r="E278" s="159">
        <f t="shared" si="1"/>
        <v>4</v>
      </c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</row>
    <row r="279">
      <c r="A279" s="36"/>
      <c r="B279" s="167" t="s">
        <v>33</v>
      </c>
      <c r="C279" s="47">
        <v>0.0</v>
      </c>
      <c r="D279" s="180"/>
      <c r="E279" s="159">
        <f t="shared" si="1"/>
        <v>0</v>
      </c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</row>
    <row r="280">
      <c r="A280" s="91"/>
      <c r="B280" s="167" t="s">
        <v>34</v>
      </c>
      <c r="C280" s="53">
        <v>3.0</v>
      </c>
      <c r="D280" s="180"/>
      <c r="E280" s="159">
        <f t="shared" si="1"/>
        <v>3</v>
      </c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</row>
    <row r="281">
      <c r="A281" s="155">
        <v>46177.0</v>
      </c>
      <c r="B281" s="156" t="s">
        <v>4</v>
      </c>
      <c r="C281" s="157">
        <v>1.0</v>
      </c>
      <c r="D281" s="157">
        <v>0.0</v>
      </c>
      <c r="E281" s="159">
        <f t="shared" si="1"/>
        <v>1</v>
      </c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</row>
    <row r="282">
      <c r="A282" s="36"/>
      <c r="B282" s="156" t="s">
        <v>5</v>
      </c>
      <c r="C282" s="157">
        <v>0.0</v>
      </c>
      <c r="D282" s="157">
        <v>0.0</v>
      </c>
      <c r="E282" s="159">
        <f t="shared" si="1"/>
        <v>0</v>
      </c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</row>
    <row r="283">
      <c r="A283" s="36"/>
      <c r="B283" s="156" t="s">
        <v>6</v>
      </c>
      <c r="C283" s="157">
        <v>1.0</v>
      </c>
      <c r="D283" s="157">
        <v>0.0</v>
      </c>
      <c r="E283" s="159">
        <f t="shared" si="1"/>
        <v>1</v>
      </c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</row>
    <row r="284">
      <c r="A284" s="36"/>
      <c r="B284" s="156" t="s">
        <v>22</v>
      </c>
      <c r="C284" s="157">
        <v>0.0</v>
      </c>
      <c r="D284" s="157">
        <v>0.0</v>
      </c>
      <c r="E284" s="159">
        <f t="shared" si="1"/>
        <v>0</v>
      </c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</row>
    <row r="285">
      <c r="A285" s="36"/>
      <c r="B285" s="156" t="s">
        <v>7</v>
      </c>
      <c r="C285" s="157">
        <v>2.0</v>
      </c>
      <c r="D285" s="157">
        <v>0.0</v>
      </c>
      <c r="E285" s="159">
        <f t="shared" si="1"/>
        <v>2</v>
      </c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</row>
    <row r="286">
      <c r="A286" s="36"/>
      <c r="B286" s="162" t="s">
        <v>8</v>
      </c>
      <c r="C286" s="157">
        <v>4.0</v>
      </c>
      <c r="D286" s="157">
        <v>0.0</v>
      </c>
      <c r="E286" s="159">
        <f t="shared" si="1"/>
        <v>4</v>
      </c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</row>
    <row r="287">
      <c r="A287" s="36"/>
      <c r="B287" s="156" t="s">
        <v>9</v>
      </c>
      <c r="C287" s="157">
        <v>0.0</v>
      </c>
      <c r="D287" s="157">
        <v>0.0</v>
      </c>
      <c r="E287" s="159">
        <f t="shared" si="1"/>
        <v>0</v>
      </c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</row>
    <row r="288">
      <c r="A288" s="36"/>
      <c r="B288" s="156" t="s">
        <v>10</v>
      </c>
      <c r="C288" s="157">
        <v>3.0</v>
      </c>
      <c r="D288" s="157">
        <v>0.0</v>
      </c>
      <c r="E288" s="159">
        <f t="shared" si="1"/>
        <v>3</v>
      </c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</row>
    <row r="289">
      <c r="A289" s="36"/>
      <c r="B289" s="156" t="s">
        <v>11</v>
      </c>
      <c r="C289" s="157">
        <v>2.0</v>
      </c>
      <c r="D289" s="157">
        <v>0.0</v>
      </c>
      <c r="E289" s="159">
        <f t="shared" si="1"/>
        <v>2</v>
      </c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</row>
    <row r="290">
      <c r="A290" s="36"/>
      <c r="B290" s="162" t="s">
        <v>12</v>
      </c>
      <c r="C290" s="157">
        <v>2.0</v>
      </c>
      <c r="D290" s="157">
        <v>0.0</v>
      </c>
      <c r="E290" s="159">
        <f t="shared" si="1"/>
        <v>2</v>
      </c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</row>
    <row r="291">
      <c r="A291" s="36"/>
      <c r="B291" s="162" t="s">
        <v>13</v>
      </c>
      <c r="C291" s="157">
        <v>0.0</v>
      </c>
      <c r="D291" s="157">
        <v>0.0</v>
      </c>
      <c r="E291" s="159">
        <f t="shared" si="1"/>
        <v>0</v>
      </c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</row>
    <row r="292">
      <c r="A292" s="36"/>
      <c r="B292" s="162" t="s">
        <v>14</v>
      </c>
      <c r="C292" s="157">
        <v>1.0</v>
      </c>
      <c r="D292" s="157">
        <v>0.0</v>
      </c>
      <c r="E292" s="159">
        <f t="shared" si="1"/>
        <v>1</v>
      </c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</row>
    <row r="293">
      <c r="A293" s="36"/>
      <c r="B293" s="162" t="s">
        <v>15</v>
      </c>
      <c r="C293" s="157">
        <v>1.0</v>
      </c>
      <c r="D293" s="157">
        <v>0.0</v>
      </c>
      <c r="E293" s="159">
        <f t="shared" si="1"/>
        <v>1</v>
      </c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</row>
    <row r="294">
      <c r="A294" s="36"/>
      <c r="B294" s="162" t="s">
        <v>16</v>
      </c>
      <c r="C294" s="157">
        <v>2.0</v>
      </c>
      <c r="D294" s="157">
        <v>0.0</v>
      </c>
      <c r="E294" s="159">
        <f t="shared" si="1"/>
        <v>2</v>
      </c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</row>
    <row r="295">
      <c r="A295" s="36"/>
      <c r="B295" s="162" t="s">
        <v>17</v>
      </c>
      <c r="C295" s="157">
        <v>2.0</v>
      </c>
      <c r="D295" s="157">
        <v>0.0</v>
      </c>
      <c r="E295" s="159">
        <f t="shared" si="1"/>
        <v>2</v>
      </c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</row>
    <row r="296">
      <c r="A296" s="36"/>
      <c r="B296" s="156" t="s">
        <v>18</v>
      </c>
      <c r="C296" s="157">
        <v>1.0</v>
      </c>
      <c r="D296" s="157">
        <v>0.0</v>
      </c>
      <c r="E296" s="159">
        <f t="shared" si="1"/>
        <v>1</v>
      </c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</row>
    <row r="297">
      <c r="A297" s="36"/>
      <c r="B297" s="156" t="s">
        <v>19</v>
      </c>
      <c r="C297" s="157">
        <v>1.0</v>
      </c>
      <c r="D297" s="157">
        <v>0.0</v>
      </c>
      <c r="E297" s="159">
        <f t="shared" si="1"/>
        <v>1</v>
      </c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</row>
    <row r="298">
      <c r="A298" s="36"/>
      <c r="B298" s="156" t="s">
        <v>20</v>
      </c>
      <c r="C298" s="157">
        <v>0.0</v>
      </c>
      <c r="D298" s="157">
        <v>0.0</v>
      </c>
      <c r="E298" s="159">
        <f t="shared" si="1"/>
        <v>0</v>
      </c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</row>
    <row r="299">
      <c r="A299" s="36"/>
      <c r="B299" s="156" t="s">
        <v>21</v>
      </c>
      <c r="C299" s="157">
        <v>1.0</v>
      </c>
      <c r="D299" s="157">
        <v>0.0</v>
      </c>
      <c r="E299" s="159">
        <f t="shared" si="1"/>
        <v>1</v>
      </c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</row>
    <row r="300">
      <c r="A300" s="36"/>
      <c r="B300" s="156" t="s">
        <v>23</v>
      </c>
      <c r="C300" s="157">
        <v>1.0</v>
      </c>
      <c r="D300" s="157">
        <v>0.0</v>
      </c>
      <c r="E300" s="159">
        <f t="shared" si="1"/>
        <v>1</v>
      </c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</row>
    <row r="301">
      <c r="A301" s="36"/>
      <c r="B301" s="156" t="s">
        <v>24</v>
      </c>
      <c r="C301" s="157">
        <v>6.0</v>
      </c>
      <c r="D301" s="157">
        <v>0.0</v>
      </c>
      <c r="E301" s="159">
        <f t="shared" si="1"/>
        <v>6</v>
      </c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</row>
    <row r="302">
      <c r="A302" s="36"/>
      <c r="B302" s="156" t="s">
        <v>25</v>
      </c>
      <c r="C302" s="163">
        <v>17.0</v>
      </c>
      <c r="D302" s="163">
        <v>0.0</v>
      </c>
      <c r="E302" s="159">
        <f t="shared" si="1"/>
        <v>17</v>
      </c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</row>
    <row r="303">
      <c r="A303" s="36"/>
      <c r="B303" s="156" t="s">
        <v>26</v>
      </c>
      <c r="C303" s="163">
        <v>13.0</v>
      </c>
      <c r="D303" s="163">
        <v>0.0</v>
      </c>
      <c r="E303" s="159">
        <f t="shared" si="1"/>
        <v>13</v>
      </c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</row>
    <row r="304">
      <c r="A304" s="36"/>
      <c r="B304" s="156" t="s">
        <v>27</v>
      </c>
      <c r="C304" s="163">
        <v>28.0</v>
      </c>
      <c r="D304" s="163">
        <v>0.0</v>
      </c>
      <c r="E304" s="159">
        <f t="shared" si="1"/>
        <v>28</v>
      </c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</row>
    <row r="305">
      <c r="A305" s="36"/>
      <c r="B305" s="156" t="s">
        <v>28</v>
      </c>
      <c r="C305" s="163">
        <v>1.0</v>
      </c>
      <c r="D305" s="163">
        <v>0.0</v>
      </c>
      <c r="E305" s="159">
        <f t="shared" si="1"/>
        <v>1</v>
      </c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</row>
    <row r="306">
      <c r="A306" s="36"/>
      <c r="B306" s="165" t="s">
        <v>29</v>
      </c>
      <c r="C306" s="163">
        <v>0.0</v>
      </c>
      <c r="D306" s="163">
        <v>0.0</v>
      </c>
      <c r="E306" s="159">
        <f t="shared" si="1"/>
        <v>0</v>
      </c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</row>
    <row r="307">
      <c r="A307" s="36"/>
      <c r="B307" s="166" t="s">
        <v>30</v>
      </c>
      <c r="C307" s="163">
        <v>1.0</v>
      </c>
      <c r="D307" s="163">
        <v>3.0</v>
      </c>
      <c r="E307" s="159">
        <f t="shared" si="1"/>
        <v>4</v>
      </c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</row>
    <row r="308">
      <c r="A308" s="36"/>
      <c r="B308" s="167" t="s">
        <v>31</v>
      </c>
      <c r="C308" s="163">
        <v>0.0</v>
      </c>
      <c r="D308" s="163">
        <v>0.0</v>
      </c>
      <c r="E308" s="159">
        <f t="shared" si="1"/>
        <v>0</v>
      </c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</row>
    <row r="309">
      <c r="A309" s="36"/>
      <c r="B309" s="167" t="s">
        <v>32</v>
      </c>
      <c r="C309" s="163">
        <v>12.0</v>
      </c>
      <c r="D309" s="163">
        <v>0.0</v>
      </c>
      <c r="E309" s="159">
        <f t="shared" si="1"/>
        <v>12</v>
      </c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</row>
    <row r="310">
      <c r="A310" s="36"/>
      <c r="B310" s="167" t="s">
        <v>33</v>
      </c>
      <c r="C310" s="163">
        <v>2.0</v>
      </c>
      <c r="D310" s="163">
        <v>0.0</v>
      </c>
      <c r="E310" s="159">
        <f t="shared" si="1"/>
        <v>2</v>
      </c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</row>
    <row r="311">
      <c r="A311" s="91"/>
      <c r="B311" s="167" t="s">
        <v>34</v>
      </c>
      <c r="C311" s="163">
        <v>1.0</v>
      </c>
      <c r="D311" s="163">
        <v>0.0</v>
      </c>
      <c r="E311" s="159">
        <f t="shared" si="1"/>
        <v>1</v>
      </c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</row>
    <row r="312">
      <c r="A312" s="155">
        <v>46178.0</v>
      </c>
      <c r="B312" s="156" t="s">
        <v>4</v>
      </c>
      <c r="C312" s="157">
        <v>1.0</v>
      </c>
      <c r="D312" s="179"/>
      <c r="E312" s="159">
        <f t="shared" si="1"/>
        <v>1</v>
      </c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</row>
    <row r="313">
      <c r="A313" s="36"/>
      <c r="B313" s="156" t="s">
        <v>5</v>
      </c>
      <c r="C313" s="157">
        <v>0.0</v>
      </c>
      <c r="D313" s="179"/>
      <c r="E313" s="159">
        <f t="shared" si="1"/>
        <v>0</v>
      </c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</row>
    <row r="314">
      <c r="A314" s="36"/>
      <c r="B314" s="156" t="s">
        <v>6</v>
      </c>
      <c r="C314" s="157">
        <v>1.0</v>
      </c>
      <c r="D314" s="179"/>
      <c r="E314" s="159">
        <f t="shared" si="1"/>
        <v>1</v>
      </c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</row>
    <row r="315">
      <c r="A315" s="36"/>
      <c r="B315" s="156" t="s">
        <v>22</v>
      </c>
      <c r="C315" s="157">
        <v>0.0</v>
      </c>
      <c r="D315" s="179"/>
      <c r="E315" s="159">
        <f t="shared" si="1"/>
        <v>0</v>
      </c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</row>
    <row r="316">
      <c r="A316" s="36"/>
      <c r="B316" s="156" t="s">
        <v>7</v>
      </c>
      <c r="C316" s="157">
        <v>0.0</v>
      </c>
      <c r="D316" s="179"/>
      <c r="E316" s="159">
        <f t="shared" si="1"/>
        <v>0</v>
      </c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</row>
    <row r="317">
      <c r="A317" s="36"/>
      <c r="B317" s="162" t="s">
        <v>8</v>
      </c>
      <c r="C317" s="157">
        <v>8.0</v>
      </c>
      <c r="D317" s="179"/>
      <c r="E317" s="159">
        <f t="shared" si="1"/>
        <v>8</v>
      </c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</row>
    <row r="318">
      <c r="A318" s="36"/>
      <c r="B318" s="156" t="s">
        <v>9</v>
      </c>
      <c r="C318" s="157">
        <v>2.0</v>
      </c>
      <c r="D318" s="179"/>
      <c r="E318" s="159">
        <f t="shared" si="1"/>
        <v>2</v>
      </c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</row>
    <row r="319">
      <c r="A319" s="36"/>
      <c r="B319" s="156" t="s">
        <v>10</v>
      </c>
      <c r="C319" s="157">
        <v>2.0</v>
      </c>
      <c r="D319" s="179"/>
      <c r="E319" s="159">
        <f t="shared" si="1"/>
        <v>2</v>
      </c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</row>
    <row r="320">
      <c r="A320" s="36"/>
      <c r="B320" s="156" t="s">
        <v>11</v>
      </c>
      <c r="C320" s="157">
        <v>2.0</v>
      </c>
      <c r="D320" s="179"/>
      <c r="E320" s="159">
        <f t="shared" si="1"/>
        <v>2</v>
      </c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</row>
    <row r="321">
      <c r="A321" s="36"/>
      <c r="B321" s="162" t="s">
        <v>12</v>
      </c>
      <c r="C321" s="157">
        <v>6.0</v>
      </c>
      <c r="D321" s="179"/>
      <c r="E321" s="159">
        <f t="shared" si="1"/>
        <v>6</v>
      </c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</row>
    <row r="322">
      <c r="A322" s="36"/>
      <c r="B322" s="162" t="s">
        <v>13</v>
      </c>
      <c r="C322" s="157">
        <v>1.0</v>
      </c>
      <c r="D322" s="179"/>
      <c r="E322" s="159">
        <f t="shared" si="1"/>
        <v>1</v>
      </c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</row>
    <row r="323">
      <c r="A323" s="36"/>
      <c r="B323" s="162" t="s">
        <v>14</v>
      </c>
      <c r="C323" s="157">
        <v>0.0</v>
      </c>
      <c r="D323" s="179"/>
      <c r="E323" s="159">
        <f t="shared" si="1"/>
        <v>0</v>
      </c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</row>
    <row r="324">
      <c r="A324" s="36"/>
      <c r="B324" s="162" t="s">
        <v>15</v>
      </c>
      <c r="C324" s="157">
        <v>3.0</v>
      </c>
      <c r="D324" s="179"/>
      <c r="E324" s="159">
        <f t="shared" si="1"/>
        <v>3</v>
      </c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</row>
    <row r="325">
      <c r="A325" s="36"/>
      <c r="B325" s="162" t="s">
        <v>16</v>
      </c>
      <c r="C325" s="157">
        <v>1.0</v>
      </c>
      <c r="D325" s="179"/>
      <c r="E325" s="159">
        <f t="shared" si="1"/>
        <v>1</v>
      </c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</row>
    <row r="326">
      <c r="A326" s="36"/>
      <c r="B326" s="162" t="s">
        <v>17</v>
      </c>
      <c r="C326" s="157">
        <v>2.0</v>
      </c>
      <c r="D326" s="179"/>
      <c r="E326" s="159">
        <f t="shared" si="1"/>
        <v>2</v>
      </c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</row>
    <row r="327">
      <c r="A327" s="36"/>
      <c r="B327" s="156" t="s">
        <v>18</v>
      </c>
      <c r="C327" s="157">
        <v>0.0</v>
      </c>
      <c r="D327" s="179"/>
      <c r="E327" s="159">
        <f t="shared" si="1"/>
        <v>0</v>
      </c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</row>
    <row r="328">
      <c r="A328" s="36"/>
      <c r="B328" s="156" t="s">
        <v>19</v>
      </c>
      <c r="C328" s="157">
        <v>1.0</v>
      </c>
      <c r="D328" s="179"/>
      <c r="E328" s="159">
        <f t="shared" si="1"/>
        <v>1</v>
      </c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</row>
    <row r="329">
      <c r="A329" s="36"/>
      <c r="B329" s="156" t="s">
        <v>20</v>
      </c>
      <c r="C329" s="157">
        <v>0.0</v>
      </c>
      <c r="D329" s="179"/>
      <c r="E329" s="159">
        <f t="shared" si="1"/>
        <v>0</v>
      </c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</row>
    <row r="330">
      <c r="A330" s="36"/>
      <c r="B330" s="156" t="s">
        <v>21</v>
      </c>
      <c r="C330" s="157">
        <v>1.0</v>
      </c>
      <c r="D330" s="179"/>
      <c r="E330" s="159">
        <f t="shared" si="1"/>
        <v>1</v>
      </c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</row>
    <row r="331">
      <c r="A331" s="36"/>
      <c r="B331" s="156" t="s">
        <v>23</v>
      </c>
      <c r="C331" s="157">
        <v>0.0</v>
      </c>
      <c r="D331" s="179"/>
      <c r="E331" s="159">
        <f t="shared" si="1"/>
        <v>0</v>
      </c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</row>
    <row r="332">
      <c r="A332" s="36"/>
      <c r="B332" s="156" t="s">
        <v>24</v>
      </c>
      <c r="C332" s="157">
        <v>2.0</v>
      </c>
      <c r="D332" s="179"/>
      <c r="E332" s="159">
        <f t="shared" si="1"/>
        <v>2</v>
      </c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</row>
    <row r="333">
      <c r="A333" s="36"/>
      <c r="B333" s="156" t="s">
        <v>25</v>
      </c>
      <c r="C333" s="163">
        <v>11.0</v>
      </c>
      <c r="D333" s="180"/>
      <c r="E333" s="159">
        <f t="shared" si="1"/>
        <v>11</v>
      </c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</row>
    <row r="334">
      <c r="A334" s="36"/>
      <c r="B334" s="156" t="s">
        <v>26</v>
      </c>
      <c r="C334" s="163">
        <v>13.0</v>
      </c>
      <c r="D334" s="180"/>
      <c r="E334" s="159">
        <f t="shared" si="1"/>
        <v>13</v>
      </c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</row>
    <row r="335">
      <c r="A335" s="36"/>
      <c r="B335" s="156" t="s">
        <v>27</v>
      </c>
      <c r="C335" s="163">
        <v>11.0</v>
      </c>
      <c r="D335" s="180"/>
      <c r="E335" s="159">
        <f t="shared" si="1"/>
        <v>11</v>
      </c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</row>
    <row r="336">
      <c r="A336" s="36"/>
      <c r="B336" s="156" t="s">
        <v>28</v>
      </c>
      <c r="C336" s="163">
        <v>1.0</v>
      </c>
      <c r="D336" s="180"/>
      <c r="E336" s="159">
        <f t="shared" si="1"/>
        <v>1</v>
      </c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</row>
    <row r="337">
      <c r="A337" s="36"/>
      <c r="B337" s="165" t="s">
        <v>29</v>
      </c>
      <c r="C337" s="163">
        <v>0.0</v>
      </c>
      <c r="D337" s="180"/>
      <c r="E337" s="159">
        <f t="shared" si="1"/>
        <v>0</v>
      </c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</row>
    <row r="338">
      <c r="A338" s="36"/>
      <c r="B338" s="166" t="s">
        <v>30</v>
      </c>
      <c r="C338" s="163">
        <v>0.0</v>
      </c>
      <c r="D338" s="180"/>
      <c r="E338" s="159">
        <f t="shared" si="1"/>
        <v>0</v>
      </c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</row>
    <row r="339">
      <c r="A339" s="36"/>
      <c r="B339" s="167" t="s">
        <v>31</v>
      </c>
      <c r="C339" s="163">
        <v>0.0</v>
      </c>
      <c r="D339" s="180"/>
      <c r="E339" s="159">
        <f t="shared" si="1"/>
        <v>0</v>
      </c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</row>
    <row r="340">
      <c r="A340" s="36"/>
      <c r="B340" s="167" t="s">
        <v>32</v>
      </c>
      <c r="C340" s="163">
        <v>0.0</v>
      </c>
      <c r="D340" s="180"/>
      <c r="E340" s="159">
        <f t="shared" si="1"/>
        <v>0</v>
      </c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</row>
    <row r="341">
      <c r="A341" s="36"/>
      <c r="B341" s="167" t="s">
        <v>33</v>
      </c>
      <c r="C341" s="163">
        <v>0.0</v>
      </c>
      <c r="D341" s="180"/>
      <c r="E341" s="159">
        <f t="shared" si="1"/>
        <v>0</v>
      </c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</row>
    <row r="342">
      <c r="A342" s="91"/>
      <c r="B342" s="167" t="s">
        <v>34</v>
      </c>
      <c r="C342" s="163">
        <v>3.0</v>
      </c>
      <c r="D342" s="180"/>
      <c r="E342" s="159">
        <f t="shared" si="1"/>
        <v>3</v>
      </c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</row>
    <row r="343">
      <c r="A343" s="155">
        <v>46179.0</v>
      </c>
      <c r="B343" s="156" t="s">
        <v>4</v>
      </c>
      <c r="C343" s="157">
        <v>0.0</v>
      </c>
      <c r="D343" s="179"/>
      <c r="E343" s="159">
        <f t="shared" si="1"/>
        <v>0</v>
      </c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</row>
    <row r="344">
      <c r="A344" s="36"/>
      <c r="B344" s="156" t="s">
        <v>5</v>
      </c>
      <c r="C344" s="157">
        <v>0.0</v>
      </c>
      <c r="D344" s="179"/>
      <c r="E344" s="159">
        <f t="shared" si="1"/>
        <v>0</v>
      </c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</row>
    <row r="345">
      <c r="A345" s="36"/>
      <c r="B345" s="156" t="s">
        <v>6</v>
      </c>
      <c r="C345" s="157">
        <v>2.0</v>
      </c>
      <c r="D345" s="179"/>
      <c r="E345" s="159">
        <f t="shared" si="1"/>
        <v>2</v>
      </c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</row>
    <row r="346">
      <c r="A346" s="36"/>
      <c r="B346" s="156" t="s">
        <v>22</v>
      </c>
      <c r="C346" s="157">
        <v>1.0</v>
      </c>
      <c r="D346" s="179"/>
      <c r="E346" s="159">
        <f t="shared" si="1"/>
        <v>1</v>
      </c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</row>
    <row r="347">
      <c r="A347" s="36"/>
      <c r="B347" s="156" t="s">
        <v>7</v>
      </c>
      <c r="C347" s="157">
        <v>0.0</v>
      </c>
      <c r="D347" s="179"/>
      <c r="E347" s="159">
        <f t="shared" si="1"/>
        <v>0</v>
      </c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</row>
    <row r="348">
      <c r="A348" s="36"/>
      <c r="B348" s="162" t="s">
        <v>8</v>
      </c>
      <c r="C348" s="157">
        <v>16.0</v>
      </c>
      <c r="D348" s="179"/>
      <c r="E348" s="159">
        <f t="shared" si="1"/>
        <v>16</v>
      </c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</row>
    <row r="349">
      <c r="A349" s="36"/>
      <c r="B349" s="156" t="s">
        <v>9</v>
      </c>
      <c r="C349" s="157">
        <v>0.0</v>
      </c>
      <c r="D349" s="179"/>
      <c r="E349" s="159">
        <f t="shared" si="1"/>
        <v>0</v>
      </c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</row>
    <row r="350">
      <c r="A350" s="36"/>
      <c r="B350" s="156" t="s">
        <v>10</v>
      </c>
      <c r="C350" s="157">
        <v>2.0</v>
      </c>
      <c r="D350" s="179"/>
      <c r="E350" s="159">
        <f t="shared" si="1"/>
        <v>2</v>
      </c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</row>
    <row r="351">
      <c r="A351" s="36"/>
      <c r="B351" s="156" t="s">
        <v>11</v>
      </c>
      <c r="C351" s="157">
        <v>4.0</v>
      </c>
      <c r="D351" s="179"/>
      <c r="E351" s="159">
        <f t="shared" si="1"/>
        <v>4</v>
      </c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</row>
    <row r="352">
      <c r="A352" s="36"/>
      <c r="B352" s="162" t="s">
        <v>12</v>
      </c>
      <c r="C352" s="157">
        <v>15.0</v>
      </c>
      <c r="D352" s="179"/>
      <c r="E352" s="159">
        <f t="shared" si="1"/>
        <v>15</v>
      </c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</row>
    <row r="353">
      <c r="A353" s="36"/>
      <c r="B353" s="162" t="s">
        <v>13</v>
      </c>
      <c r="C353" s="157">
        <v>2.0</v>
      </c>
      <c r="D353" s="179"/>
      <c r="E353" s="159">
        <f t="shared" si="1"/>
        <v>2</v>
      </c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</row>
    <row r="354">
      <c r="A354" s="36"/>
      <c r="B354" s="162" t="s">
        <v>14</v>
      </c>
      <c r="C354" s="157">
        <v>4.0</v>
      </c>
      <c r="D354" s="179"/>
      <c r="E354" s="159">
        <f t="shared" si="1"/>
        <v>4</v>
      </c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</row>
    <row r="355">
      <c r="A355" s="36"/>
      <c r="B355" s="162" t="s">
        <v>15</v>
      </c>
      <c r="C355" s="157">
        <v>4.0</v>
      </c>
      <c r="D355" s="179"/>
      <c r="E355" s="159">
        <f t="shared" si="1"/>
        <v>4</v>
      </c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</row>
    <row r="356">
      <c r="A356" s="36"/>
      <c r="B356" s="162" t="s">
        <v>16</v>
      </c>
      <c r="C356" s="157">
        <v>1.0</v>
      </c>
      <c r="D356" s="179"/>
      <c r="E356" s="159">
        <f t="shared" si="1"/>
        <v>1</v>
      </c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</row>
    <row r="357">
      <c r="A357" s="36"/>
      <c r="B357" s="162" t="s">
        <v>17</v>
      </c>
      <c r="C357" s="157">
        <v>0.0</v>
      </c>
      <c r="D357" s="179"/>
      <c r="E357" s="159">
        <f t="shared" si="1"/>
        <v>0</v>
      </c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</row>
    <row r="358">
      <c r="A358" s="36"/>
      <c r="B358" s="156" t="s">
        <v>18</v>
      </c>
      <c r="C358" s="157">
        <v>2.0</v>
      </c>
      <c r="D358" s="179"/>
      <c r="E358" s="159">
        <f t="shared" si="1"/>
        <v>2</v>
      </c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</row>
    <row r="359">
      <c r="A359" s="36"/>
      <c r="B359" s="156" t="s">
        <v>19</v>
      </c>
      <c r="C359" s="157">
        <v>1.0</v>
      </c>
      <c r="D359" s="179"/>
      <c r="E359" s="159">
        <f t="shared" si="1"/>
        <v>1</v>
      </c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</row>
    <row r="360">
      <c r="A360" s="36"/>
      <c r="B360" s="156" t="s">
        <v>20</v>
      </c>
      <c r="C360" s="157">
        <v>0.0</v>
      </c>
      <c r="D360" s="179"/>
      <c r="E360" s="159">
        <f t="shared" si="1"/>
        <v>0</v>
      </c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</row>
    <row r="361">
      <c r="A361" s="36"/>
      <c r="B361" s="156" t="s">
        <v>21</v>
      </c>
      <c r="C361" s="157">
        <v>1.0</v>
      </c>
      <c r="D361" s="179"/>
      <c r="E361" s="159">
        <f t="shared" si="1"/>
        <v>1</v>
      </c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</row>
    <row r="362">
      <c r="A362" s="36"/>
      <c r="B362" s="156" t="s">
        <v>23</v>
      </c>
      <c r="C362" s="157">
        <v>1.0</v>
      </c>
      <c r="D362" s="179"/>
      <c r="E362" s="159">
        <f t="shared" si="1"/>
        <v>1</v>
      </c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</row>
    <row r="363">
      <c r="A363" s="36"/>
      <c r="B363" s="156" t="s">
        <v>24</v>
      </c>
      <c r="C363" s="157">
        <v>14.0</v>
      </c>
      <c r="D363" s="179"/>
      <c r="E363" s="159">
        <f t="shared" si="1"/>
        <v>14</v>
      </c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</row>
    <row r="364">
      <c r="A364" s="36"/>
      <c r="B364" s="156" t="s">
        <v>25</v>
      </c>
      <c r="C364" s="163">
        <v>21.0</v>
      </c>
      <c r="D364" s="180"/>
      <c r="E364" s="159">
        <f t="shared" si="1"/>
        <v>21</v>
      </c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</row>
    <row r="365">
      <c r="A365" s="36"/>
      <c r="B365" s="156" t="s">
        <v>26</v>
      </c>
      <c r="C365" s="163">
        <v>16.0</v>
      </c>
      <c r="D365" s="180"/>
      <c r="E365" s="159">
        <f t="shared" si="1"/>
        <v>16</v>
      </c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</row>
    <row r="366">
      <c r="A366" s="36"/>
      <c r="B366" s="156" t="s">
        <v>27</v>
      </c>
      <c r="C366" s="163">
        <v>23.0</v>
      </c>
      <c r="D366" s="180"/>
      <c r="E366" s="159">
        <f t="shared" si="1"/>
        <v>23</v>
      </c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</row>
    <row r="367">
      <c r="A367" s="36"/>
      <c r="B367" s="156" t="s">
        <v>28</v>
      </c>
      <c r="C367" s="163">
        <v>0.0</v>
      </c>
      <c r="D367" s="180"/>
      <c r="E367" s="159">
        <f t="shared" si="1"/>
        <v>0</v>
      </c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</row>
    <row r="368">
      <c r="A368" s="36"/>
      <c r="B368" s="165" t="s">
        <v>29</v>
      </c>
      <c r="C368" s="163">
        <v>0.0</v>
      </c>
      <c r="D368" s="180"/>
      <c r="E368" s="159">
        <f t="shared" si="1"/>
        <v>0</v>
      </c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</row>
    <row r="369">
      <c r="A369" s="36"/>
      <c r="B369" s="166" t="s">
        <v>30</v>
      </c>
      <c r="C369" s="163">
        <v>4.0</v>
      </c>
      <c r="D369" s="180"/>
      <c r="E369" s="159">
        <f t="shared" si="1"/>
        <v>4</v>
      </c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</row>
    <row r="370">
      <c r="A370" s="36"/>
      <c r="B370" s="167" t="s">
        <v>31</v>
      </c>
      <c r="C370" s="163">
        <v>0.0</v>
      </c>
      <c r="D370" s="180"/>
      <c r="E370" s="159">
        <f t="shared" si="1"/>
        <v>0</v>
      </c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</row>
    <row r="371">
      <c r="A371" s="36"/>
      <c r="B371" s="167" t="s">
        <v>32</v>
      </c>
      <c r="C371" s="163">
        <v>0.0</v>
      </c>
      <c r="D371" s="180"/>
      <c r="E371" s="159">
        <f t="shared" si="1"/>
        <v>0</v>
      </c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</row>
    <row r="372">
      <c r="A372" s="36"/>
      <c r="B372" s="167" t="s">
        <v>33</v>
      </c>
      <c r="C372" s="163">
        <v>0.0</v>
      </c>
      <c r="D372" s="180"/>
      <c r="E372" s="159">
        <f t="shared" si="1"/>
        <v>0</v>
      </c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</row>
    <row r="373">
      <c r="A373" s="91"/>
      <c r="B373" s="167" t="s">
        <v>34</v>
      </c>
      <c r="C373" s="163">
        <v>0.0</v>
      </c>
      <c r="D373" s="180"/>
      <c r="E373" s="159">
        <f t="shared" si="1"/>
        <v>0</v>
      </c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</row>
    <row r="374">
      <c r="A374" s="155">
        <v>46180.0</v>
      </c>
      <c r="B374" s="156" t="s">
        <v>4</v>
      </c>
      <c r="C374" s="157">
        <v>0.0</v>
      </c>
      <c r="D374" s="179"/>
      <c r="E374" s="159">
        <f t="shared" si="1"/>
        <v>0</v>
      </c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</row>
    <row r="375">
      <c r="A375" s="36"/>
      <c r="B375" s="156" t="s">
        <v>5</v>
      </c>
      <c r="C375" s="157">
        <v>0.0</v>
      </c>
      <c r="D375" s="179"/>
      <c r="E375" s="159">
        <f t="shared" si="1"/>
        <v>0</v>
      </c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</row>
    <row r="376">
      <c r="A376" s="36"/>
      <c r="B376" s="156" t="s">
        <v>6</v>
      </c>
      <c r="C376" s="157">
        <v>2.0</v>
      </c>
      <c r="D376" s="179"/>
      <c r="E376" s="159">
        <f t="shared" si="1"/>
        <v>2</v>
      </c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</row>
    <row r="377">
      <c r="A377" s="36"/>
      <c r="B377" s="156" t="s">
        <v>22</v>
      </c>
      <c r="C377" s="157">
        <v>1.0</v>
      </c>
      <c r="D377" s="179"/>
      <c r="E377" s="159">
        <f t="shared" si="1"/>
        <v>1</v>
      </c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</row>
    <row r="378">
      <c r="A378" s="36"/>
      <c r="B378" s="156" t="s">
        <v>7</v>
      </c>
      <c r="C378" s="157">
        <v>1.0</v>
      </c>
      <c r="D378" s="179"/>
      <c r="E378" s="159">
        <f t="shared" si="1"/>
        <v>1</v>
      </c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</row>
    <row r="379">
      <c r="A379" s="36"/>
      <c r="B379" s="162" t="s">
        <v>8</v>
      </c>
      <c r="C379" s="157">
        <v>10.0</v>
      </c>
      <c r="D379" s="179"/>
      <c r="E379" s="159">
        <f t="shared" si="1"/>
        <v>10</v>
      </c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</row>
    <row r="380">
      <c r="A380" s="36"/>
      <c r="B380" s="156" t="s">
        <v>9</v>
      </c>
      <c r="C380" s="157">
        <v>3.0</v>
      </c>
      <c r="D380" s="179"/>
      <c r="E380" s="159">
        <f t="shared" si="1"/>
        <v>3</v>
      </c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</row>
    <row r="381">
      <c r="A381" s="36"/>
      <c r="B381" s="156" t="s">
        <v>10</v>
      </c>
      <c r="C381" s="157">
        <v>0.0</v>
      </c>
      <c r="D381" s="179"/>
      <c r="E381" s="159">
        <f t="shared" si="1"/>
        <v>0</v>
      </c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</row>
    <row r="382">
      <c r="A382" s="36"/>
      <c r="B382" s="156" t="s">
        <v>11</v>
      </c>
      <c r="C382" s="157">
        <v>6.0</v>
      </c>
      <c r="D382" s="179"/>
      <c r="E382" s="159">
        <f t="shared" si="1"/>
        <v>6</v>
      </c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</row>
    <row r="383">
      <c r="A383" s="36"/>
      <c r="B383" s="162" t="s">
        <v>12</v>
      </c>
      <c r="C383" s="157">
        <v>8.0</v>
      </c>
      <c r="D383" s="179"/>
      <c r="E383" s="159">
        <f t="shared" si="1"/>
        <v>8</v>
      </c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</row>
    <row r="384">
      <c r="A384" s="36"/>
      <c r="B384" s="162" t="s">
        <v>13</v>
      </c>
      <c r="C384" s="157">
        <v>1.0</v>
      </c>
      <c r="D384" s="179"/>
      <c r="E384" s="159">
        <f t="shared" si="1"/>
        <v>1</v>
      </c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</row>
    <row r="385">
      <c r="A385" s="36"/>
      <c r="B385" s="162" t="s">
        <v>14</v>
      </c>
      <c r="C385" s="157">
        <v>4.0</v>
      </c>
      <c r="D385" s="179"/>
      <c r="E385" s="159">
        <f t="shared" si="1"/>
        <v>4</v>
      </c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</row>
    <row r="386">
      <c r="A386" s="36"/>
      <c r="B386" s="162" t="s">
        <v>15</v>
      </c>
      <c r="C386" s="157">
        <v>0.0</v>
      </c>
      <c r="D386" s="179"/>
      <c r="E386" s="159">
        <f t="shared" si="1"/>
        <v>0</v>
      </c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</row>
    <row r="387">
      <c r="A387" s="36"/>
      <c r="B387" s="162" t="s">
        <v>16</v>
      </c>
      <c r="C387" s="157">
        <v>3.0</v>
      </c>
      <c r="D387" s="179"/>
      <c r="E387" s="159">
        <f t="shared" si="1"/>
        <v>3</v>
      </c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</row>
    <row r="388">
      <c r="A388" s="36"/>
      <c r="B388" s="162" t="s">
        <v>17</v>
      </c>
      <c r="C388" s="157">
        <v>0.0</v>
      </c>
      <c r="D388" s="179"/>
      <c r="E388" s="159">
        <f t="shared" si="1"/>
        <v>0</v>
      </c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</row>
    <row r="389">
      <c r="A389" s="36"/>
      <c r="B389" s="156" t="s">
        <v>18</v>
      </c>
      <c r="C389" s="157">
        <v>2.0</v>
      </c>
      <c r="D389" s="179"/>
      <c r="E389" s="159">
        <f t="shared" si="1"/>
        <v>2</v>
      </c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</row>
    <row r="390">
      <c r="A390" s="36"/>
      <c r="B390" s="156" t="s">
        <v>19</v>
      </c>
      <c r="C390" s="157">
        <v>8.0</v>
      </c>
      <c r="D390" s="179"/>
      <c r="E390" s="159">
        <f t="shared" si="1"/>
        <v>8</v>
      </c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</row>
    <row r="391">
      <c r="A391" s="36"/>
      <c r="B391" s="156" t="s">
        <v>20</v>
      </c>
      <c r="C391" s="157">
        <v>0.0</v>
      </c>
      <c r="D391" s="179"/>
      <c r="E391" s="159">
        <f t="shared" si="1"/>
        <v>0</v>
      </c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</row>
    <row r="392">
      <c r="A392" s="36"/>
      <c r="B392" s="156" t="s">
        <v>21</v>
      </c>
      <c r="C392" s="157">
        <v>1.0</v>
      </c>
      <c r="D392" s="179"/>
      <c r="E392" s="159">
        <f t="shared" si="1"/>
        <v>1</v>
      </c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</row>
    <row r="393">
      <c r="A393" s="36"/>
      <c r="B393" s="156" t="s">
        <v>23</v>
      </c>
      <c r="C393" s="157">
        <v>1.0</v>
      </c>
      <c r="D393" s="179"/>
      <c r="E393" s="159">
        <f t="shared" si="1"/>
        <v>1</v>
      </c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</row>
    <row r="394">
      <c r="A394" s="36"/>
      <c r="B394" s="156" t="s">
        <v>24</v>
      </c>
      <c r="C394" s="157">
        <v>14.0</v>
      </c>
      <c r="D394" s="179"/>
      <c r="E394" s="159">
        <f t="shared" si="1"/>
        <v>14</v>
      </c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</row>
    <row r="395">
      <c r="A395" s="36"/>
      <c r="B395" s="156" t="s">
        <v>25</v>
      </c>
      <c r="C395" s="163">
        <v>12.0</v>
      </c>
      <c r="D395" s="180"/>
      <c r="E395" s="159">
        <f t="shared" si="1"/>
        <v>12</v>
      </c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</row>
    <row r="396">
      <c r="A396" s="36"/>
      <c r="B396" s="156" t="s">
        <v>26</v>
      </c>
      <c r="C396" s="163">
        <v>7.0</v>
      </c>
      <c r="D396" s="180"/>
      <c r="E396" s="159">
        <f t="shared" si="1"/>
        <v>7</v>
      </c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</row>
    <row r="397">
      <c r="A397" s="36"/>
      <c r="B397" s="156" t="s">
        <v>27</v>
      </c>
      <c r="C397" s="163">
        <v>20.0</v>
      </c>
      <c r="D397" s="180"/>
      <c r="E397" s="159">
        <f t="shared" si="1"/>
        <v>20</v>
      </c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</row>
    <row r="398">
      <c r="A398" s="36"/>
      <c r="B398" s="156" t="s">
        <v>28</v>
      </c>
      <c r="C398" s="163">
        <v>0.0</v>
      </c>
      <c r="D398" s="180"/>
      <c r="E398" s="159">
        <f t="shared" si="1"/>
        <v>0</v>
      </c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</row>
    <row r="399">
      <c r="A399" s="36"/>
      <c r="B399" s="165" t="s">
        <v>29</v>
      </c>
      <c r="C399" s="163">
        <v>0.0</v>
      </c>
      <c r="D399" s="180"/>
      <c r="E399" s="159">
        <f t="shared" si="1"/>
        <v>0</v>
      </c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</row>
    <row r="400">
      <c r="A400" s="36"/>
      <c r="B400" s="166" t="s">
        <v>30</v>
      </c>
      <c r="C400" s="163">
        <v>1.0</v>
      </c>
      <c r="D400" s="180"/>
      <c r="E400" s="159">
        <f t="shared" si="1"/>
        <v>1</v>
      </c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</row>
    <row r="401">
      <c r="A401" s="36"/>
      <c r="B401" s="167" t="s">
        <v>31</v>
      </c>
      <c r="C401" s="163">
        <v>0.0</v>
      </c>
      <c r="D401" s="180"/>
      <c r="E401" s="159">
        <f t="shared" si="1"/>
        <v>0</v>
      </c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</row>
    <row r="402">
      <c r="A402" s="36"/>
      <c r="B402" s="167" t="s">
        <v>32</v>
      </c>
      <c r="C402" s="163">
        <v>3.0</v>
      </c>
      <c r="D402" s="180"/>
      <c r="E402" s="159">
        <f t="shared" si="1"/>
        <v>3</v>
      </c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</row>
    <row r="403">
      <c r="A403" s="36"/>
      <c r="B403" s="167" t="s">
        <v>33</v>
      </c>
      <c r="C403" s="163">
        <v>0.0</v>
      </c>
      <c r="D403" s="180"/>
      <c r="E403" s="159">
        <f t="shared" si="1"/>
        <v>0</v>
      </c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</row>
    <row r="404">
      <c r="A404" s="91"/>
      <c r="B404" s="167" t="s">
        <v>34</v>
      </c>
      <c r="C404" s="163">
        <v>1.0</v>
      </c>
      <c r="D404" s="180"/>
      <c r="E404" s="159">
        <f t="shared" si="1"/>
        <v>1</v>
      </c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</row>
    <row r="405">
      <c r="A405" s="155">
        <v>46181.0</v>
      </c>
      <c r="B405" s="156" t="s">
        <v>4</v>
      </c>
      <c r="C405" s="157">
        <v>1.0</v>
      </c>
      <c r="D405" s="179"/>
      <c r="E405" s="159">
        <f t="shared" si="1"/>
        <v>1</v>
      </c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</row>
    <row r="406">
      <c r="A406" s="36"/>
      <c r="B406" s="156" t="s">
        <v>5</v>
      </c>
      <c r="C406" s="157">
        <v>0.0</v>
      </c>
      <c r="D406" s="179"/>
      <c r="E406" s="159">
        <f t="shared" si="1"/>
        <v>0</v>
      </c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</row>
    <row r="407">
      <c r="A407" s="36"/>
      <c r="B407" s="156" t="s">
        <v>6</v>
      </c>
      <c r="C407" s="157">
        <v>0.0</v>
      </c>
      <c r="D407" s="179"/>
      <c r="E407" s="159">
        <f t="shared" si="1"/>
        <v>0</v>
      </c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</row>
    <row r="408">
      <c r="A408" s="36"/>
      <c r="B408" s="156" t="s">
        <v>22</v>
      </c>
      <c r="C408" s="157">
        <v>0.0</v>
      </c>
      <c r="D408" s="179"/>
      <c r="E408" s="159">
        <f t="shared" si="1"/>
        <v>0</v>
      </c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</row>
    <row r="409">
      <c r="A409" s="36"/>
      <c r="B409" s="156" t="s">
        <v>7</v>
      </c>
      <c r="C409" s="157">
        <v>0.0</v>
      </c>
      <c r="D409" s="179"/>
      <c r="E409" s="159">
        <f t="shared" si="1"/>
        <v>0</v>
      </c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</row>
    <row r="410">
      <c r="A410" s="36"/>
      <c r="B410" s="162" t="s">
        <v>8</v>
      </c>
      <c r="C410" s="157">
        <v>2.0</v>
      </c>
      <c r="D410" s="179"/>
      <c r="E410" s="159">
        <f t="shared" si="1"/>
        <v>2</v>
      </c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</row>
    <row r="411">
      <c r="A411" s="36"/>
      <c r="B411" s="156" t="s">
        <v>9</v>
      </c>
      <c r="C411" s="157">
        <v>2.0</v>
      </c>
      <c r="D411" s="179"/>
      <c r="E411" s="159">
        <f t="shared" si="1"/>
        <v>2</v>
      </c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</row>
    <row r="412">
      <c r="A412" s="36"/>
      <c r="B412" s="156" t="s">
        <v>10</v>
      </c>
      <c r="C412" s="157">
        <v>1.0</v>
      </c>
      <c r="D412" s="179"/>
      <c r="E412" s="159">
        <f t="shared" si="1"/>
        <v>1</v>
      </c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</row>
    <row r="413">
      <c r="A413" s="36"/>
      <c r="B413" s="156" t="s">
        <v>11</v>
      </c>
      <c r="C413" s="157">
        <v>1.0</v>
      </c>
      <c r="D413" s="179"/>
      <c r="E413" s="159">
        <f t="shared" si="1"/>
        <v>1</v>
      </c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</row>
    <row r="414">
      <c r="A414" s="36"/>
      <c r="B414" s="162" t="s">
        <v>12</v>
      </c>
      <c r="C414" s="157">
        <v>2.0</v>
      </c>
      <c r="D414" s="179"/>
      <c r="E414" s="159">
        <f t="shared" si="1"/>
        <v>2</v>
      </c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</row>
    <row r="415">
      <c r="A415" s="36"/>
      <c r="B415" s="162" t="s">
        <v>13</v>
      </c>
      <c r="C415" s="157">
        <v>0.0</v>
      </c>
      <c r="D415" s="179"/>
      <c r="E415" s="159">
        <f t="shared" si="1"/>
        <v>0</v>
      </c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</row>
    <row r="416">
      <c r="A416" s="36"/>
      <c r="B416" s="162" t="s">
        <v>14</v>
      </c>
      <c r="C416" s="157">
        <v>0.0</v>
      </c>
      <c r="D416" s="179"/>
      <c r="E416" s="159">
        <f t="shared" si="1"/>
        <v>0</v>
      </c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</row>
    <row r="417">
      <c r="A417" s="36"/>
      <c r="B417" s="162" t="s">
        <v>15</v>
      </c>
      <c r="C417" s="157">
        <v>1.0</v>
      </c>
      <c r="D417" s="179"/>
      <c r="E417" s="159">
        <f t="shared" si="1"/>
        <v>1</v>
      </c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</row>
    <row r="418">
      <c r="A418" s="36"/>
      <c r="B418" s="162" t="s">
        <v>16</v>
      </c>
      <c r="C418" s="157">
        <v>0.0</v>
      </c>
      <c r="D418" s="179"/>
      <c r="E418" s="159">
        <f t="shared" si="1"/>
        <v>0</v>
      </c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</row>
    <row r="419">
      <c r="A419" s="36"/>
      <c r="B419" s="162" t="s">
        <v>17</v>
      </c>
      <c r="C419" s="157">
        <v>1.0</v>
      </c>
      <c r="D419" s="179"/>
      <c r="E419" s="159">
        <f t="shared" si="1"/>
        <v>1</v>
      </c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</row>
    <row r="420">
      <c r="A420" s="36"/>
      <c r="B420" s="156" t="s">
        <v>18</v>
      </c>
      <c r="C420" s="157">
        <v>3.0</v>
      </c>
      <c r="D420" s="179"/>
      <c r="E420" s="159">
        <f t="shared" si="1"/>
        <v>3</v>
      </c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</row>
    <row r="421">
      <c r="A421" s="36"/>
      <c r="B421" s="156" t="s">
        <v>19</v>
      </c>
      <c r="C421" s="157">
        <v>3.0</v>
      </c>
      <c r="D421" s="179"/>
      <c r="E421" s="159">
        <f t="shared" si="1"/>
        <v>3</v>
      </c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</row>
    <row r="422">
      <c r="A422" s="36"/>
      <c r="B422" s="156" t="s">
        <v>20</v>
      </c>
      <c r="C422" s="157">
        <v>0.0</v>
      </c>
      <c r="D422" s="179"/>
      <c r="E422" s="159">
        <f t="shared" si="1"/>
        <v>0</v>
      </c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</row>
    <row r="423">
      <c r="A423" s="36"/>
      <c r="B423" s="156" t="s">
        <v>21</v>
      </c>
      <c r="C423" s="157">
        <v>1.0</v>
      </c>
      <c r="D423" s="179"/>
      <c r="E423" s="159">
        <f t="shared" si="1"/>
        <v>1</v>
      </c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</row>
    <row r="424">
      <c r="A424" s="36"/>
      <c r="B424" s="156" t="s">
        <v>23</v>
      </c>
      <c r="C424" s="157">
        <v>0.0</v>
      </c>
      <c r="D424" s="179"/>
      <c r="E424" s="159">
        <f t="shared" si="1"/>
        <v>0</v>
      </c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</row>
    <row r="425">
      <c r="A425" s="36"/>
      <c r="B425" s="156" t="s">
        <v>24</v>
      </c>
      <c r="C425" s="157">
        <v>5.0</v>
      </c>
      <c r="D425" s="179"/>
      <c r="E425" s="159">
        <f t="shared" si="1"/>
        <v>5</v>
      </c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</row>
    <row r="426">
      <c r="A426" s="36"/>
      <c r="B426" s="156" t="s">
        <v>25</v>
      </c>
      <c r="C426" s="163">
        <v>7.0</v>
      </c>
      <c r="D426" s="180"/>
      <c r="E426" s="159">
        <f t="shared" si="1"/>
        <v>7</v>
      </c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</row>
    <row r="427">
      <c r="A427" s="36"/>
      <c r="B427" s="156" t="s">
        <v>26</v>
      </c>
      <c r="C427" s="163">
        <v>10.0</v>
      </c>
      <c r="D427" s="180"/>
      <c r="E427" s="159">
        <f t="shared" si="1"/>
        <v>10</v>
      </c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</row>
    <row r="428">
      <c r="A428" s="36"/>
      <c r="B428" s="156" t="s">
        <v>27</v>
      </c>
      <c r="C428" s="163">
        <v>13.0</v>
      </c>
      <c r="D428" s="180"/>
      <c r="E428" s="159">
        <f t="shared" si="1"/>
        <v>13</v>
      </c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</row>
    <row r="429">
      <c r="A429" s="36"/>
      <c r="B429" s="156" t="s">
        <v>28</v>
      </c>
      <c r="C429" s="163">
        <v>0.0</v>
      </c>
      <c r="D429" s="180"/>
      <c r="E429" s="159">
        <f t="shared" si="1"/>
        <v>0</v>
      </c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</row>
    <row r="430">
      <c r="A430" s="36"/>
      <c r="B430" s="165" t="s">
        <v>29</v>
      </c>
      <c r="C430" s="163">
        <v>0.0</v>
      </c>
      <c r="D430" s="180"/>
      <c r="E430" s="159">
        <f t="shared" si="1"/>
        <v>0</v>
      </c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</row>
    <row r="431">
      <c r="A431" s="36"/>
      <c r="B431" s="166" t="s">
        <v>30</v>
      </c>
      <c r="C431" s="163">
        <v>0.0</v>
      </c>
      <c r="D431" s="180"/>
      <c r="E431" s="159">
        <f t="shared" si="1"/>
        <v>0</v>
      </c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</row>
    <row r="432">
      <c r="A432" s="36"/>
      <c r="B432" s="167" t="s">
        <v>31</v>
      </c>
      <c r="C432" s="163">
        <v>0.0</v>
      </c>
      <c r="D432" s="180"/>
      <c r="E432" s="159">
        <f t="shared" si="1"/>
        <v>0</v>
      </c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</row>
    <row r="433">
      <c r="A433" s="36"/>
      <c r="B433" s="167" t="s">
        <v>32</v>
      </c>
      <c r="C433" s="163">
        <v>2.0</v>
      </c>
      <c r="D433" s="180"/>
      <c r="E433" s="159">
        <f t="shared" si="1"/>
        <v>2</v>
      </c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</row>
    <row r="434">
      <c r="A434" s="36"/>
      <c r="B434" s="167" t="s">
        <v>33</v>
      </c>
      <c r="C434" s="163">
        <v>1.0</v>
      </c>
      <c r="D434" s="180"/>
      <c r="E434" s="159">
        <f t="shared" si="1"/>
        <v>1</v>
      </c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</row>
    <row r="435">
      <c r="A435" s="91"/>
      <c r="B435" s="167" t="s">
        <v>34</v>
      </c>
      <c r="C435" s="163">
        <v>5.0</v>
      </c>
      <c r="D435" s="180"/>
      <c r="E435" s="159">
        <f t="shared" si="1"/>
        <v>5</v>
      </c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</row>
    <row r="436">
      <c r="A436" s="155">
        <v>46182.0</v>
      </c>
      <c r="B436" s="156" t="s">
        <v>4</v>
      </c>
      <c r="C436" s="157">
        <v>1.0</v>
      </c>
      <c r="D436" s="179"/>
      <c r="E436" s="159">
        <f t="shared" si="1"/>
        <v>1</v>
      </c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</row>
    <row r="437">
      <c r="A437" s="36"/>
      <c r="B437" s="156" t="s">
        <v>5</v>
      </c>
      <c r="C437" s="157">
        <v>0.0</v>
      </c>
      <c r="D437" s="179"/>
      <c r="E437" s="159">
        <f t="shared" si="1"/>
        <v>0</v>
      </c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</row>
    <row r="438">
      <c r="A438" s="36"/>
      <c r="B438" s="156" t="s">
        <v>6</v>
      </c>
      <c r="C438" s="157">
        <v>0.0</v>
      </c>
      <c r="D438" s="179"/>
      <c r="E438" s="159">
        <f t="shared" si="1"/>
        <v>0</v>
      </c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</row>
    <row r="439">
      <c r="A439" s="36"/>
      <c r="B439" s="156" t="s">
        <v>22</v>
      </c>
      <c r="C439" s="157">
        <v>0.0</v>
      </c>
      <c r="D439" s="179"/>
      <c r="E439" s="159">
        <f t="shared" si="1"/>
        <v>0</v>
      </c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</row>
    <row r="440">
      <c r="A440" s="36"/>
      <c r="B440" s="156" t="s">
        <v>7</v>
      </c>
      <c r="C440" s="157">
        <v>2.0</v>
      </c>
      <c r="D440" s="179"/>
      <c r="E440" s="159">
        <f t="shared" si="1"/>
        <v>2</v>
      </c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</row>
    <row r="441">
      <c r="A441" s="36"/>
      <c r="B441" s="162" t="s">
        <v>8</v>
      </c>
      <c r="C441" s="157">
        <v>2.0</v>
      </c>
      <c r="D441" s="179"/>
      <c r="E441" s="159">
        <f t="shared" si="1"/>
        <v>2</v>
      </c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</row>
    <row r="442">
      <c r="A442" s="36"/>
      <c r="B442" s="156" t="s">
        <v>9</v>
      </c>
      <c r="C442" s="157">
        <v>3.0</v>
      </c>
      <c r="D442" s="179"/>
      <c r="E442" s="159">
        <f t="shared" si="1"/>
        <v>3</v>
      </c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</row>
    <row r="443">
      <c r="A443" s="36"/>
      <c r="B443" s="156" t="s">
        <v>10</v>
      </c>
      <c r="C443" s="157">
        <v>2.0</v>
      </c>
      <c r="D443" s="179"/>
      <c r="E443" s="159">
        <f t="shared" si="1"/>
        <v>2</v>
      </c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</row>
    <row r="444">
      <c r="A444" s="36"/>
      <c r="B444" s="156" t="s">
        <v>11</v>
      </c>
      <c r="C444" s="157">
        <v>0.0</v>
      </c>
      <c r="D444" s="179"/>
      <c r="E444" s="159">
        <f t="shared" si="1"/>
        <v>0</v>
      </c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</row>
    <row r="445">
      <c r="A445" s="36"/>
      <c r="B445" s="162" t="s">
        <v>12</v>
      </c>
      <c r="C445" s="157">
        <v>2.0</v>
      </c>
      <c r="D445" s="179"/>
      <c r="E445" s="159">
        <f t="shared" si="1"/>
        <v>2</v>
      </c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</row>
    <row r="446">
      <c r="A446" s="36"/>
      <c r="B446" s="162" t="s">
        <v>13</v>
      </c>
      <c r="C446" s="157">
        <v>0.0</v>
      </c>
      <c r="D446" s="179"/>
      <c r="E446" s="159">
        <f t="shared" si="1"/>
        <v>0</v>
      </c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</row>
    <row r="447">
      <c r="A447" s="36"/>
      <c r="B447" s="162" t="s">
        <v>14</v>
      </c>
      <c r="C447" s="157">
        <v>1.0</v>
      </c>
      <c r="D447" s="179"/>
      <c r="E447" s="159">
        <f t="shared" si="1"/>
        <v>1</v>
      </c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</row>
    <row r="448">
      <c r="A448" s="36"/>
      <c r="B448" s="162" t="s">
        <v>15</v>
      </c>
      <c r="C448" s="157">
        <v>0.0</v>
      </c>
      <c r="D448" s="179"/>
      <c r="E448" s="159">
        <f t="shared" si="1"/>
        <v>0</v>
      </c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</row>
    <row r="449">
      <c r="A449" s="36"/>
      <c r="B449" s="162" t="s">
        <v>16</v>
      </c>
      <c r="C449" s="157">
        <v>1.0</v>
      </c>
      <c r="D449" s="179"/>
      <c r="E449" s="159">
        <f t="shared" si="1"/>
        <v>1</v>
      </c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</row>
    <row r="450">
      <c r="A450" s="36"/>
      <c r="B450" s="162" t="s">
        <v>17</v>
      </c>
      <c r="C450" s="157">
        <v>1.0</v>
      </c>
      <c r="D450" s="179"/>
      <c r="E450" s="159">
        <f t="shared" si="1"/>
        <v>1</v>
      </c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</row>
    <row r="451">
      <c r="A451" s="36"/>
      <c r="B451" s="156" t="s">
        <v>18</v>
      </c>
      <c r="C451" s="157">
        <v>0.0</v>
      </c>
      <c r="D451" s="179"/>
      <c r="E451" s="159">
        <f t="shared" si="1"/>
        <v>0</v>
      </c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</row>
    <row r="452">
      <c r="A452" s="36"/>
      <c r="B452" s="156" t="s">
        <v>19</v>
      </c>
      <c r="C452" s="157">
        <v>1.0</v>
      </c>
      <c r="D452" s="179"/>
      <c r="E452" s="159">
        <f t="shared" si="1"/>
        <v>1</v>
      </c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</row>
    <row r="453">
      <c r="A453" s="36"/>
      <c r="B453" s="156" t="s">
        <v>20</v>
      </c>
      <c r="C453" s="157">
        <v>0.0</v>
      </c>
      <c r="D453" s="179"/>
      <c r="E453" s="159">
        <f t="shared" si="1"/>
        <v>0</v>
      </c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</row>
    <row r="454">
      <c r="A454" s="36"/>
      <c r="B454" s="156" t="s">
        <v>21</v>
      </c>
      <c r="C454" s="157">
        <v>1.0</v>
      </c>
      <c r="D454" s="179"/>
      <c r="E454" s="159">
        <f t="shared" si="1"/>
        <v>1</v>
      </c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</row>
    <row r="455">
      <c r="A455" s="36"/>
      <c r="B455" s="156" t="s">
        <v>23</v>
      </c>
      <c r="C455" s="157">
        <v>0.0</v>
      </c>
      <c r="D455" s="179"/>
      <c r="E455" s="159">
        <f t="shared" si="1"/>
        <v>0</v>
      </c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</row>
    <row r="456">
      <c r="A456" s="36"/>
      <c r="B456" s="156" t="s">
        <v>24</v>
      </c>
      <c r="C456" s="157">
        <v>4.0</v>
      </c>
      <c r="D456" s="179"/>
      <c r="E456" s="159">
        <f t="shared" si="1"/>
        <v>4</v>
      </c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</row>
    <row r="457">
      <c r="A457" s="36"/>
      <c r="B457" s="156" t="s">
        <v>25</v>
      </c>
      <c r="C457" s="163">
        <v>9.0</v>
      </c>
      <c r="D457" s="180"/>
      <c r="E457" s="159">
        <f t="shared" si="1"/>
        <v>9</v>
      </c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</row>
    <row r="458">
      <c r="A458" s="36"/>
      <c r="B458" s="156" t="s">
        <v>26</v>
      </c>
      <c r="C458" s="163">
        <v>4.0</v>
      </c>
      <c r="D458" s="180"/>
      <c r="E458" s="159">
        <f t="shared" si="1"/>
        <v>4</v>
      </c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</row>
    <row r="459">
      <c r="A459" s="36"/>
      <c r="B459" s="156" t="s">
        <v>27</v>
      </c>
      <c r="C459" s="163">
        <v>11.0</v>
      </c>
      <c r="D459" s="180"/>
      <c r="E459" s="159">
        <f t="shared" si="1"/>
        <v>11</v>
      </c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</row>
    <row r="460">
      <c r="A460" s="36"/>
      <c r="B460" s="156" t="s">
        <v>28</v>
      </c>
      <c r="C460" s="163">
        <v>1.0</v>
      </c>
      <c r="D460" s="180"/>
      <c r="E460" s="159">
        <f t="shared" si="1"/>
        <v>1</v>
      </c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</row>
    <row r="461">
      <c r="A461" s="36"/>
      <c r="B461" s="165" t="s">
        <v>29</v>
      </c>
      <c r="C461" s="163">
        <v>0.0</v>
      </c>
      <c r="D461" s="180"/>
      <c r="E461" s="159">
        <f t="shared" si="1"/>
        <v>0</v>
      </c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</row>
    <row r="462">
      <c r="A462" s="36"/>
      <c r="B462" s="166" t="s">
        <v>30</v>
      </c>
      <c r="C462" s="163">
        <v>0.0</v>
      </c>
      <c r="D462" s="180"/>
      <c r="E462" s="159">
        <f t="shared" si="1"/>
        <v>0</v>
      </c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</row>
    <row r="463">
      <c r="A463" s="36"/>
      <c r="B463" s="167" t="s">
        <v>31</v>
      </c>
      <c r="C463" s="163">
        <v>0.0</v>
      </c>
      <c r="D463" s="180"/>
      <c r="E463" s="159">
        <f t="shared" si="1"/>
        <v>0</v>
      </c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</row>
    <row r="464">
      <c r="A464" s="36"/>
      <c r="B464" s="167" t="s">
        <v>32</v>
      </c>
      <c r="C464" s="163">
        <v>3.0</v>
      </c>
      <c r="D464" s="180"/>
      <c r="E464" s="159">
        <f t="shared" si="1"/>
        <v>3</v>
      </c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</row>
    <row r="465">
      <c r="A465" s="36"/>
      <c r="B465" s="167" t="s">
        <v>33</v>
      </c>
      <c r="C465" s="163">
        <v>0.0</v>
      </c>
      <c r="D465" s="180"/>
      <c r="E465" s="159">
        <f t="shared" si="1"/>
        <v>0</v>
      </c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</row>
    <row r="466">
      <c r="A466" s="91"/>
      <c r="B466" s="167" t="s">
        <v>34</v>
      </c>
      <c r="C466" s="163">
        <v>0.0</v>
      </c>
      <c r="D466" s="180"/>
      <c r="E466" s="159">
        <f t="shared" si="1"/>
        <v>0</v>
      </c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</row>
    <row r="467">
      <c r="A467" s="155">
        <v>46183.0</v>
      </c>
      <c r="B467" s="156" t="s">
        <v>4</v>
      </c>
      <c r="C467" s="157">
        <v>0.0</v>
      </c>
      <c r="D467" s="179"/>
      <c r="E467" s="159">
        <f t="shared" si="1"/>
        <v>0</v>
      </c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</row>
    <row r="468">
      <c r="A468" s="36"/>
      <c r="B468" s="156" t="s">
        <v>5</v>
      </c>
      <c r="C468" s="157">
        <v>0.0</v>
      </c>
      <c r="D468" s="179"/>
      <c r="E468" s="159">
        <f t="shared" si="1"/>
        <v>0</v>
      </c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</row>
    <row r="469">
      <c r="A469" s="36"/>
      <c r="B469" s="156" t="s">
        <v>6</v>
      </c>
      <c r="C469" s="157">
        <v>1.0</v>
      </c>
      <c r="D469" s="179"/>
      <c r="E469" s="159">
        <f t="shared" si="1"/>
        <v>1</v>
      </c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</row>
    <row r="470">
      <c r="A470" s="36"/>
      <c r="B470" s="156" t="s">
        <v>22</v>
      </c>
      <c r="C470" s="157">
        <v>0.0</v>
      </c>
      <c r="D470" s="179"/>
      <c r="E470" s="159">
        <f t="shared" si="1"/>
        <v>0</v>
      </c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</row>
    <row r="471">
      <c r="A471" s="36"/>
      <c r="B471" s="156" t="s">
        <v>7</v>
      </c>
      <c r="C471" s="157">
        <v>0.0</v>
      </c>
      <c r="D471" s="179"/>
      <c r="E471" s="159">
        <f t="shared" si="1"/>
        <v>0</v>
      </c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</row>
    <row r="472">
      <c r="A472" s="36"/>
      <c r="B472" s="162" t="s">
        <v>8</v>
      </c>
      <c r="C472" s="157">
        <v>4.0</v>
      </c>
      <c r="D472" s="179"/>
      <c r="E472" s="159">
        <f t="shared" si="1"/>
        <v>4</v>
      </c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</row>
    <row r="473">
      <c r="A473" s="36"/>
      <c r="B473" s="156" t="s">
        <v>9</v>
      </c>
      <c r="C473" s="157">
        <v>0.0</v>
      </c>
      <c r="D473" s="179"/>
      <c r="E473" s="159">
        <f t="shared" si="1"/>
        <v>0</v>
      </c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</row>
    <row r="474">
      <c r="A474" s="36"/>
      <c r="B474" s="156" t="s">
        <v>10</v>
      </c>
      <c r="C474" s="157">
        <v>0.0</v>
      </c>
      <c r="D474" s="179"/>
      <c r="E474" s="159">
        <f t="shared" si="1"/>
        <v>0</v>
      </c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</row>
    <row r="475">
      <c r="A475" s="36"/>
      <c r="B475" s="156" t="s">
        <v>11</v>
      </c>
      <c r="C475" s="157">
        <v>2.0</v>
      </c>
      <c r="D475" s="179"/>
      <c r="E475" s="159">
        <f t="shared" si="1"/>
        <v>2</v>
      </c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</row>
    <row r="476">
      <c r="A476" s="36"/>
      <c r="B476" s="162" t="s">
        <v>12</v>
      </c>
      <c r="C476" s="157">
        <v>2.0</v>
      </c>
      <c r="D476" s="179"/>
      <c r="E476" s="159">
        <f t="shared" si="1"/>
        <v>2</v>
      </c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</row>
    <row r="477">
      <c r="A477" s="36"/>
      <c r="B477" s="162" t="s">
        <v>13</v>
      </c>
      <c r="C477" s="157">
        <v>1.0</v>
      </c>
      <c r="D477" s="179"/>
      <c r="E477" s="159">
        <f t="shared" si="1"/>
        <v>1</v>
      </c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</row>
    <row r="478">
      <c r="A478" s="36"/>
      <c r="B478" s="162" t="s">
        <v>14</v>
      </c>
      <c r="C478" s="157">
        <v>2.0</v>
      </c>
      <c r="D478" s="179"/>
      <c r="E478" s="159">
        <f t="shared" si="1"/>
        <v>2</v>
      </c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</row>
    <row r="479">
      <c r="A479" s="36"/>
      <c r="B479" s="162" t="s">
        <v>15</v>
      </c>
      <c r="C479" s="157">
        <v>1.0</v>
      </c>
      <c r="D479" s="179"/>
      <c r="E479" s="159">
        <f t="shared" si="1"/>
        <v>1</v>
      </c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</row>
    <row r="480">
      <c r="A480" s="36"/>
      <c r="B480" s="162" t="s">
        <v>16</v>
      </c>
      <c r="C480" s="157">
        <v>0.0</v>
      </c>
      <c r="D480" s="179"/>
      <c r="E480" s="159">
        <f t="shared" si="1"/>
        <v>0</v>
      </c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</row>
    <row r="481">
      <c r="A481" s="36"/>
      <c r="B481" s="162" t="s">
        <v>17</v>
      </c>
      <c r="C481" s="157">
        <v>1.0</v>
      </c>
      <c r="D481" s="179"/>
      <c r="E481" s="159">
        <f t="shared" si="1"/>
        <v>1</v>
      </c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</row>
    <row r="482">
      <c r="A482" s="36"/>
      <c r="B482" s="156" t="s">
        <v>18</v>
      </c>
      <c r="C482" s="157">
        <v>0.0</v>
      </c>
      <c r="D482" s="179"/>
      <c r="E482" s="159">
        <f t="shared" si="1"/>
        <v>0</v>
      </c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</row>
    <row r="483">
      <c r="A483" s="36"/>
      <c r="B483" s="156" t="s">
        <v>19</v>
      </c>
      <c r="C483" s="157">
        <v>1.0</v>
      </c>
      <c r="D483" s="179"/>
      <c r="E483" s="159">
        <f t="shared" si="1"/>
        <v>1</v>
      </c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</row>
    <row r="484">
      <c r="A484" s="36"/>
      <c r="B484" s="156" t="s">
        <v>20</v>
      </c>
      <c r="C484" s="157">
        <v>0.0</v>
      </c>
      <c r="D484" s="179"/>
      <c r="E484" s="159">
        <f t="shared" si="1"/>
        <v>0</v>
      </c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</row>
    <row r="485">
      <c r="A485" s="36"/>
      <c r="B485" s="156" t="s">
        <v>21</v>
      </c>
      <c r="C485" s="157">
        <v>0.0</v>
      </c>
      <c r="D485" s="179"/>
      <c r="E485" s="159">
        <f t="shared" si="1"/>
        <v>0</v>
      </c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</row>
    <row r="486">
      <c r="A486" s="36"/>
      <c r="B486" s="156" t="s">
        <v>23</v>
      </c>
      <c r="C486" s="157">
        <v>0.0</v>
      </c>
      <c r="D486" s="179"/>
      <c r="E486" s="159">
        <f t="shared" si="1"/>
        <v>0</v>
      </c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</row>
    <row r="487">
      <c r="A487" s="36"/>
      <c r="B487" s="156" t="s">
        <v>24</v>
      </c>
      <c r="C487" s="157">
        <v>13.0</v>
      </c>
      <c r="D487" s="179"/>
      <c r="E487" s="159">
        <f t="shared" si="1"/>
        <v>13</v>
      </c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</row>
    <row r="488">
      <c r="A488" s="36"/>
      <c r="B488" s="156" t="s">
        <v>25</v>
      </c>
      <c r="C488" s="163">
        <v>7.0</v>
      </c>
      <c r="D488" s="180"/>
      <c r="E488" s="159">
        <f t="shared" si="1"/>
        <v>7</v>
      </c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</row>
    <row r="489">
      <c r="A489" s="36"/>
      <c r="B489" s="156" t="s">
        <v>26</v>
      </c>
      <c r="C489" s="163">
        <v>7.0</v>
      </c>
      <c r="D489" s="180"/>
      <c r="E489" s="159">
        <f t="shared" si="1"/>
        <v>7</v>
      </c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</row>
    <row r="490">
      <c r="A490" s="36"/>
      <c r="B490" s="156" t="s">
        <v>27</v>
      </c>
      <c r="C490" s="163">
        <v>9.0</v>
      </c>
      <c r="D490" s="180"/>
      <c r="E490" s="159">
        <f t="shared" si="1"/>
        <v>9</v>
      </c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</row>
    <row r="491">
      <c r="A491" s="36"/>
      <c r="B491" s="156" t="s">
        <v>28</v>
      </c>
      <c r="C491" s="163">
        <v>0.0</v>
      </c>
      <c r="D491" s="180"/>
      <c r="E491" s="159">
        <f t="shared" si="1"/>
        <v>0</v>
      </c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</row>
    <row r="492">
      <c r="A492" s="36"/>
      <c r="B492" s="165" t="s">
        <v>29</v>
      </c>
      <c r="C492" s="163">
        <v>0.0</v>
      </c>
      <c r="D492" s="180"/>
      <c r="E492" s="159">
        <f t="shared" si="1"/>
        <v>0</v>
      </c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</row>
    <row r="493">
      <c r="A493" s="36"/>
      <c r="B493" s="166" t="s">
        <v>30</v>
      </c>
      <c r="C493" s="163">
        <v>0.0</v>
      </c>
      <c r="D493" s="180"/>
      <c r="E493" s="159">
        <f t="shared" si="1"/>
        <v>0</v>
      </c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</row>
    <row r="494">
      <c r="A494" s="36"/>
      <c r="B494" s="167" t="s">
        <v>31</v>
      </c>
      <c r="C494" s="163">
        <v>1.0</v>
      </c>
      <c r="D494" s="180"/>
      <c r="E494" s="159">
        <f t="shared" si="1"/>
        <v>1</v>
      </c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</row>
    <row r="495">
      <c r="A495" s="36"/>
      <c r="B495" s="167" t="s">
        <v>32</v>
      </c>
      <c r="C495" s="163">
        <v>3.0</v>
      </c>
      <c r="D495" s="180"/>
      <c r="E495" s="159">
        <f t="shared" si="1"/>
        <v>3</v>
      </c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</row>
    <row r="496">
      <c r="A496" s="36"/>
      <c r="B496" s="167" t="s">
        <v>33</v>
      </c>
      <c r="C496" s="163">
        <v>0.0</v>
      </c>
      <c r="D496" s="180"/>
      <c r="E496" s="159">
        <f t="shared" si="1"/>
        <v>0</v>
      </c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</row>
    <row r="497">
      <c r="A497" s="91"/>
      <c r="B497" s="167" t="s">
        <v>34</v>
      </c>
      <c r="C497" s="163">
        <v>2.0</v>
      </c>
      <c r="D497" s="180"/>
      <c r="E497" s="159">
        <f t="shared" si="1"/>
        <v>2</v>
      </c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</row>
    <row r="498">
      <c r="A498" s="155">
        <v>46184.0</v>
      </c>
      <c r="B498" s="156" t="s">
        <v>4</v>
      </c>
      <c r="C498" s="157">
        <v>0.0</v>
      </c>
      <c r="D498" s="157">
        <v>0.0</v>
      </c>
      <c r="E498" s="159">
        <f t="shared" si="1"/>
        <v>0</v>
      </c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</row>
    <row r="499">
      <c r="A499" s="36"/>
      <c r="B499" s="156" t="s">
        <v>5</v>
      </c>
      <c r="C499" s="157">
        <v>1.0</v>
      </c>
      <c r="D499" s="157">
        <v>0.0</v>
      </c>
      <c r="E499" s="159">
        <f t="shared" si="1"/>
        <v>1</v>
      </c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</row>
    <row r="500">
      <c r="A500" s="36"/>
      <c r="B500" s="156" t="s">
        <v>6</v>
      </c>
      <c r="C500" s="157">
        <v>1.0</v>
      </c>
      <c r="D500" s="157">
        <v>0.0</v>
      </c>
      <c r="E500" s="159">
        <f t="shared" si="1"/>
        <v>1</v>
      </c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</row>
    <row r="501">
      <c r="A501" s="36"/>
      <c r="B501" s="156" t="s">
        <v>22</v>
      </c>
      <c r="C501" s="157">
        <v>0.0</v>
      </c>
      <c r="D501" s="157">
        <v>0.0</v>
      </c>
      <c r="E501" s="159">
        <f t="shared" si="1"/>
        <v>0</v>
      </c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</row>
    <row r="502">
      <c r="A502" s="36"/>
      <c r="B502" s="156" t="s">
        <v>7</v>
      </c>
      <c r="C502" s="157">
        <v>0.0</v>
      </c>
      <c r="D502" s="157">
        <v>0.0</v>
      </c>
      <c r="E502" s="159">
        <f t="shared" si="1"/>
        <v>0</v>
      </c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</row>
    <row r="503">
      <c r="A503" s="36"/>
      <c r="B503" s="162" t="s">
        <v>8</v>
      </c>
      <c r="C503" s="157">
        <v>4.0</v>
      </c>
      <c r="D503" s="157">
        <v>0.0</v>
      </c>
      <c r="E503" s="159">
        <f t="shared" si="1"/>
        <v>4</v>
      </c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</row>
    <row r="504">
      <c r="A504" s="36"/>
      <c r="B504" s="156" t="s">
        <v>9</v>
      </c>
      <c r="C504" s="157">
        <v>0.0</v>
      </c>
      <c r="D504" s="157">
        <v>0.0</v>
      </c>
      <c r="E504" s="159">
        <f t="shared" si="1"/>
        <v>0</v>
      </c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</row>
    <row r="505">
      <c r="A505" s="36"/>
      <c r="B505" s="156" t="s">
        <v>10</v>
      </c>
      <c r="C505" s="157">
        <v>0.0</v>
      </c>
      <c r="D505" s="157">
        <v>0.0</v>
      </c>
      <c r="E505" s="159">
        <f t="shared" si="1"/>
        <v>0</v>
      </c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</row>
    <row r="506">
      <c r="A506" s="36"/>
      <c r="B506" s="156" t="s">
        <v>11</v>
      </c>
      <c r="C506" s="157">
        <v>1.0</v>
      </c>
      <c r="D506" s="157">
        <v>0.0</v>
      </c>
      <c r="E506" s="159">
        <f t="shared" si="1"/>
        <v>1</v>
      </c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</row>
    <row r="507">
      <c r="A507" s="36"/>
      <c r="B507" s="162" t="s">
        <v>12</v>
      </c>
      <c r="C507" s="157">
        <v>4.0</v>
      </c>
      <c r="D507" s="157">
        <v>0.0</v>
      </c>
      <c r="E507" s="159">
        <f t="shared" si="1"/>
        <v>4</v>
      </c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</row>
    <row r="508">
      <c r="A508" s="36"/>
      <c r="B508" s="162" t="s">
        <v>13</v>
      </c>
      <c r="C508" s="157">
        <v>1.0</v>
      </c>
      <c r="D508" s="157">
        <v>0.0</v>
      </c>
      <c r="E508" s="159">
        <f t="shared" si="1"/>
        <v>1</v>
      </c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</row>
    <row r="509">
      <c r="A509" s="36"/>
      <c r="B509" s="162" t="s">
        <v>14</v>
      </c>
      <c r="C509" s="157">
        <v>2.0</v>
      </c>
      <c r="D509" s="157">
        <v>0.0</v>
      </c>
      <c r="E509" s="159">
        <f t="shared" si="1"/>
        <v>2</v>
      </c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</row>
    <row r="510">
      <c r="A510" s="36"/>
      <c r="B510" s="162" t="s">
        <v>15</v>
      </c>
      <c r="C510" s="157">
        <v>2.0</v>
      </c>
      <c r="D510" s="157">
        <v>0.0</v>
      </c>
      <c r="E510" s="159">
        <f t="shared" si="1"/>
        <v>2</v>
      </c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</row>
    <row r="511">
      <c r="A511" s="36"/>
      <c r="B511" s="162" t="s">
        <v>16</v>
      </c>
      <c r="C511" s="157">
        <v>1.0</v>
      </c>
      <c r="D511" s="157">
        <v>0.0</v>
      </c>
      <c r="E511" s="159">
        <f t="shared" si="1"/>
        <v>1</v>
      </c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</row>
    <row r="512">
      <c r="A512" s="36"/>
      <c r="B512" s="162" t="s">
        <v>17</v>
      </c>
      <c r="C512" s="157">
        <v>0.0</v>
      </c>
      <c r="D512" s="157">
        <v>0.0</v>
      </c>
      <c r="E512" s="159">
        <f t="shared" si="1"/>
        <v>0</v>
      </c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</row>
    <row r="513">
      <c r="A513" s="36"/>
      <c r="B513" s="156" t="s">
        <v>18</v>
      </c>
      <c r="C513" s="157">
        <v>0.0</v>
      </c>
      <c r="D513" s="157">
        <v>0.0</v>
      </c>
      <c r="E513" s="159">
        <f t="shared" si="1"/>
        <v>0</v>
      </c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</row>
    <row r="514">
      <c r="A514" s="36"/>
      <c r="B514" s="156" t="s">
        <v>19</v>
      </c>
      <c r="C514" s="157">
        <v>1.0</v>
      </c>
      <c r="D514" s="157">
        <v>0.0</v>
      </c>
      <c r="E514" s="159">
        <f t="shared" si="1"/>
        <v>1</v>
      </c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</row>
    <row r="515">
      <c r="A515" s="36"/>
      <c r="B515" s="156" t="s">
        <v>20</v>
      </c>
      <c r="C515" s="157">
        <v>1.0</v>
      </c>
      <c r="D515" s="157">
        <v>0.0</v>
      </c>
      <c r="E515" s="159">
        <f t="shared" si="1"/>
        <v>1</v>
      </c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</row>
    <row r="516">
      <c r="A516" s="36"/>
      <c r="B516" s="156" t="s">
        <v>21</v>
      </c>
      <c r="C516" s="157">
        <v>0.0</v>
      </c>
      <c r="D516" s="157">
        <v>0.0</v>
      </c>
      <c r="E516" s="159">
        <f t="shared" si="1"/>
        <v>0</v>
      </c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</row>
    <row r="517">
      <c r="A517" s="36"/>
      <c r="B517" s="156" t="s">
        <v>23</v>
      </c>
      <c r="C517" s="157">
        <v>1.0</v>
      </c>
      <c r="D517" s="157">
        <v>0.0</v>
      </c>
      <c r="E517" s="159">
        <f t="shared" si="1"/>
        <v>1</v>
      </c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</row>
    <row r="518">
      <c r="A518" s="36"/>
      <c r="B518" s="156" t="s">
        <v>24</v>
      </c>
      <c r="C518" s="157">
        <v>2.0</v>
      </c>
      <c r="D518" s="157">
        <v>0.0</v>
      </c>
      <c r="E518" s="159">
        <f t="shared" si="1"/>
        <v>2</v>
      </c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</row>
    <row r="519">
      <c r="A519" s="36"/>
      <c r="B519" s="156" t="s">
        <v>25</v>
      </c>
      <c r="C519" s="163">
        <v>12.0</v>
      </c>
      <c r="D519" s="163">
        <v>0.0</v>
      </c>
      <c r="E519" s="159">
        <f t="shared" si="1"/>
        <v>12</v>
      </c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</row>
    <row r="520">
      <c r="A520" s="36"/>
      <c r="B520" s="156" t="s">
        <v>26</v>
      </c>
      <c r="C520" s="163">
        <v>3.0</v>
      </c>
      <c r="D520" s="163">
        <v>0.0</v>
      </c>
      <c r="E520" s="159">
        <f t="shared" si="1"/>
        <v>3</v>
      </c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</row>
    <row r="521">
      <c r="A521" s="36"/>
      <c r="B521" s="156" t="s">
        <v>27</v>
      </c>
      <c r="C521" s="163">
        <v>9.0</v>
      </c>
      <c r="D521" s="163">
        <v>0.0</v>
      </c>
      <c r="E521" s="159">
        <f t="shared" si="1"/>
        <v>9</v>
      </c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</row>
    <row r="522">
      <c r="A522" s="36"/>
      <c r="B522" s="156" t="s">
        <v>28</v>
      </c>
      <c r="C522" s="163">
        <v>0.0</v>
      </c>
      <c r="D522" s="163">
        <v>0.0</v>
      </c>
      <c r="E522" s="159">
        <f t="shared" si="1"/>
        <v>0</v>
      </c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</row>
    <row r="523">
      <c r="A523" s="36"/>
      <c r="B523" s="165" t="s">
        <v>29</v>
      </c>
      <c r="C523" s="163">
        <v>0.0</v>
      </c>
      <c r="D523" s="163">
        <v>0.0</v>
      </c>
      <c r="E523" s="159">
        <f t="shared" si="1"/>
        <v>0</v>
      </c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</row>
    <row r="524">
      <c r="A524" s="36"/>
      <c r="B524" s="166" t="s">
        <v>30</v>
      </c>
      <c r="C524" s="163">
        <v>0.0</v>
      </c>
      <c r="D524" s="163">
        <v>4.0</v>
      </c>
      <c r="E524" s="159">
        <f t="shared" si="1"/>
        <v>4</v>
      </c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</row>
    <row r="525">
      <c r="A525" s="36"/>
      <c r="B525" s="167" t="s">
        <v>31</v>
      </c>
      <c r="C525" s="163">
        <v>1.0</v>
      </c>
      <c r="D525" s="163">
        <v>0.0</v>
      </c>
      <c r="E525" s="159">
        <f t="shared" si="1"/>
        <v>1</v>
      </c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</row>
    <row r="526">
      <c r="A526" s="36"/>
      <c r="B526" s="167" t="s">
        <v>32</v>
      </c>
      <c r="C526" s="163">
        <v>0.0</v>
      </c>
      <c r="D526" s="163">
        <v>0.0</v>
      </c>
      <c r="E526" s="159">
        <f t="shared" si="1"/>
        <v>0</v>
      </c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</row>
    <row r="527">
      <c r="A527" s="36"/>
      <c r="B527" s="167" t="s">
        <v>33</v>
      </c>
      <c r="C527" s="163">
        <v>1.0</v>
      </c>
      <c r="D527" s="163">
        <v>0.0</v>
      </c>
      <c r="E527" s="159">
        <f t="shared" si="1"/>
        <v>1</v>
      </c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</row>
    <row r="528">
      <c r="A528" s="91"/>
      <c r="B528" s="167" t="s">
        <v>34</v>
      </c>
      <c r="C528" s="163">
        <v>0.0</v>
      </c>
      <c r="D528" s="163">
        <v>0.0</v>
      </c>
      <c r="E528" s="159">
        <f t="shared" si="1"/>
        <v>0</v>
      </c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</row>
    <row r="529">
      <c r="A529" s="155">
        <v>46185.0</v>
      </c>
      <c r="B529" s="156" t="s">
        <v>4</v>
      </c>
      <c r="C529" s="157">
        <v>0.0</v>
      </c>
      <c r="D529" s="179"/>
      <c r="E529" s="159">
        <f t="shared" si="1"/>
        <v>0</v>
      </c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</row>
    <row r="530">
      <c r="A530" s="36"/>
      <c r="B530" s="156" t="s">
        <v>5</v>
      </c>
      <c r="C530" s="157">
        <v>0.0</v>
      </c>
      <c r="D530" s="179"/>
      <c r="E530" s="159">
        <f t="shared" si="1"/>
        <v>0</v>
      </c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</row>
    <row r="531">
      <c r="A531" s="36"/>
      <c r="B531" s="156" t="s">
        <v>6</v>
      </c>
      <c r="C531" s="157">
        <v>0.0</v>
      </c>
      <c r="D531" s="179"/>
      <c r="E531" s="159">
        <f t="shared" si="1"/>
        <v>0</v>
      </c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</row>
    <row r="532">
      <c r="A532" s="36"/>
      <c r="B532" s="156" t="s">
        <v>22</v>
      </c>
      <c r="C532" s="157">
        <v>1.0</v>
      </c>
      <c r="D532" s="179"/>
      <c r="E532" s="159">
        <f t="shared" si="1"/>
        <v>1</v>
      </c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</row>
    <row r="533">
      <c r="A533" s="36"/>
      <c r="B533" s="156" t="s">
        <v>7</v>
      </c>
      <c r="C533" s="157">
        <v>0.0</v>
      </c>
      <c r="D533" s="179"/>
      <c r="E533" s="159">
        <f t="shared" si="1"/>
        <v>0</v>
      </c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</row>
    <row r="534">
      <c r="A534" s="36"/>
      <c r="B534" s="162" t="s">
        <v>8</v>
      </c>
      <c r="C534" s="157">
        <v>6.0</v>
      </c>
      <c r="D534" s="179"/>
      <c r="E534" s="159">
        <f t="shared" si="1"/>
        <v>6</v>
      </c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</row>
    <row r="535">
      <c r="A535" s="36"/>
      <c r="B535" s="156" t="s">
        <v>9</v>
      </c>
      <c r="C535" s="157">
        <v>0.0</v>
      </c>
      <c r="D535" s="179"/>
      <c r="E535" s="159">
        <f t="shared" si="1"/>
        <v>0</v>
      </c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</row>
    <row r="536">
      <c r="A536" s="36"/>
      <c r="B536" s="156" t="s">
        <v>10</v>
      </c>
      <c r="C536" s="157">
        <v>1.0</v>
      </c>
      <c r="D536" s="179"/>
      <c r="E536" s="159">
        <f t="shared" si="1"/>
        <v>1</v>
      </c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</row>
    <row r="537">
      <c r="A537" s="36"/>
      <c r="B537" s="156" t="s">
        <v>11</v>
      </c>
      <c r="C537" s="157">
        <v>0.0</v>
      </c>
      <c r="D537" s="179"/>
      <c r="E537" s="159">
        <f t="shared" si="1"/>
        <v>0</v>
      </c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</row>
    <row r="538">
      <c r="A538" s="36"/>
      <c r="B538" s="162" t="s">
        <v>12</v>
      </c>
      <c r="C538" s="157">
        <v>6.0</v>
      </c>
      <c r="D538" s="179"/>
      <c r="E538" s="159">
        <f t="shared" si="1"/>
        <v>6</v>
      </c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</row>
    <row r="539">
      <c r="A539" s="36"/>
      <c r="B539" s="162" t="s">
        <v>13</v>
      </c>
      <c r="C539" s="157">
        <v>0.0</v>
      </c>
      <c r="D539" s="179"/>
      <c r="E539" s="159">
        <f t="shared" si="1"/>
        <v>0</v>
      </c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</row>
    <row r="540">
      <c r="A540" s="36"/>
      <c r="B540" s="162" t="s">
        <v>14</v>
      </c>
      <c r="C540" s="157">
        <v>2.0</v>
      </c>
      <c r="D540" s="179"/>
      <c r="E540" s="159">
        <f t="shared" si="1"/>
        <v>2</v>
      </c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</row>
    <row r="541">
      <c r="A541" s="36"/>
      <c r="B541" s="162" t="s">
        <v>15</v>
      </c>
      <c r="C541" s="157">
        <v>2.0</v>
      </c>
      <c r="D541" s="179"/>
      <c r="E541" s="159">
        <f t="shared" si="1"/>
        <v>2</v>
      </c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</row>
    <row r="542">
      <c r="A542" s="36"/>
      <c r="B542" s="162" t="s">
        <v>16</v>
      </c>
      <c r="C542" s="157">
        <v>8.0</v>
      </c>
      <c r="D542" s="179"/>
      <c r="E542" s="159">
        <f t="shared" si="1"/>
        <v>8</v>
      </c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</row>
    <row r="543">
      <c r="A543" s="36"/>
      <c r="B543" s="162" t="s">
        <v>17</v>
      </c>
      <c r="C543" s="157">
        <v>0.0</v>
      </c>
      <c r="D543" s="179"/>
      <c r="E543" s="159">
        <f t="shared" si="1"/>
        <v>0</v>
      </c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</row>
    <row r="544">
      <c r="A544" s="36"/>
      <c r="B544" s="156" t="s">
        <v>18</v>
      </c>
      <c r="C544" s="157">
        <v>1.0</v>
      </c>
      <c r="D544" s="179"/>
      <c r="E544" s="159">
        <f t="shared" si="1"/>
        <v>1</v>
      </c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</row>
    <row r="545">
      <c r="A545" s="36"/>
      <c r="B545" s="156" t="s">
        <v>19</v>
      </c>
      <c r="C545" s="157">
        <v>3.0</v>
      </c>
      <c r="D545" s="179"/>
      <c r="E545" s="159">
        <f t="shared" si="1"/>
        <v>3</v>
      </c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</row>
    <row r="546">
      <c r="A546" s="36"/>
      <c r="B546" s="156" t="s">
        <v>20</v>
      </c>
      <c r="C546" s="157">
        <v>0.0</v>
      </c>
      <c r="D546" s="179"/>
      <c r="E546" s="159">
        <f t="shared" si="1"/>
        <v>0</v>
      </c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</row>
    <row r="547">
      <c r="A547" s="36"/>
      <c r="B547" s="156" t="s">
        <v>21</v>
      </c>
      <c r="C547" s="157">
        <v>0.0</v>
      </c>
      <c r="D547" s="179"/>
      <c r="E547" s="159">
        <f t="shared" si="1"/>
        <v>0</v>
      </c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</row>
    <row r="548">
      <c r="A548" s="36"/>
      <c r="B548" s="156" t="s">
        <v>23</v>
      </c>
      <c r="C548" s="157">
        <v>0.0</v>
      </c>
      <c r="D548" s="179"/>
      <c r="E548" s="159">
        <f t="shared" si="1"/>
        <v>0</v>
      </c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</row>
    <row r="549">
      <c r="A549" s="36"/>
      <c r="B549" s="156" t="s">
        <v>24</v>
      </c>
      <c r="C549" s="157">
        <v>6.0</v>
      </c>
      <c r="D549" s="179"/>
      <c r="E549" s="159">
        <f t="shared" si="1"/>
        <v>6</v>
      </c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</row>
    <row r="550">
      <c r="A550" s="36"/>
      <c r="B550" s="156" t="s">
        <v>25</v>
      </c>
      <c r="C550" s="163">
        <v>19.0</v>
      </c>
      <c r="D550" s="180"/>
      <c r="E550" s="159">
        <f t="shared" si="1"/>
        <v>19</v>
      </c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</row>
    <row r="551">
      <c r="A551" s="36"/>
      <c r="B551" s="156" t="s">
        <v>26</v>
      </c>
      <c r="C551" s="163">
        <v>7.0</v>
      </c>
      <c r="D551" s="180"/>
      <c r="E551" s="159">
        <f t="shared" si="1"/>
        <v>7</v>
      </c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</row>
    <row r="552">
      <c r="A552" s="36"/>
      <c r="B552" s="156" t="s">
        <v>27</v>
      </c>
      <c r="C552" s="163">
        <v>25.0</v>
      </c>
      <c r="D552" s="180"/>
      <c r="E552" s="159">
        <f t="shared" si="1"/>
        <v>25</v>
      </c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</row>
    <row r="553">
      <c r="A553" s="36"/>
      <c r="B553" s="156" t="s">
        <v>28</v>
      </c>
      <c r="C553" s="163">
        <v>6.0</v>
      </c>
      <c r="D553" s="180"/>
      <c r="E553" s="159">
        <f t="shared" si="1"/>
        <v>6</v>
      </c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</row>
    <row r="554">
      <c r="A554" s="36"/>
      <c r="B554" s="165" t="s">
        <v>29</v>
      </c>
      <c r="C554" s="163">
        <v>0.0</v>
      </c>
      <c r="D554" s="180"/>
      <c r="E554" s="159">
        <f t="shared" si="1"/>
        <v>0</v>
      </c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</row>
    <row r="555">
      <c r="A555" s="36"/>
      <c r="B555" s="166" t="s">
        <v>30</v>
      </c>
      <c r="C555" s="163">
        <v>2.0</v>
      </c>
      <c r="D555" s="180"/>
      <c r="E555" s="159">
        <f t="shared" si="1"/>
        <v>2</v>
      </c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</row>
    <row r="556">
      <c r="A556" s="36"/>
      <c r="B556" s="167" t="s">
        <v>31</v>
      </c>
      <c r="C556" s="163">
        <v>1.0</v>
      </c>
      <c r="D556" s="180"/>
      <c r="E556" s="159">
        <f t="shared" si="1"/>
        <v>1</v>
      </c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</row>
    <row r="557">
      <c r="A557" s="36"/>
      <c r="B557" s="167" t="s">
        <v>32</v>
      </c>
      <c r="C557" s="163">
        <v>0.0</v>
      </c>
      <c r="D557" s="180"/>
      <c r="E557" s="159">
        <f t="shared" si="1"/>
        <v>0</v>
      </c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</row>
    <row r="558">
      <c r="A558" s="36"/>
      <c r="B558" s="167" t="s">
        <v>33</v>
      </c>
      <c r="C558" s="163">
        <v>0.0</v>
      </c>
      <c r="D558" s="180"/>
      <c r="E558" s="159">
        <f t="shared" si="1"/>
        <v>0</v>
      </c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</row>
    <row r="559">
      <c r="A559" s="91"/>
      <c r="B559" s="167" t="s">
        <v>34</v>
      </c>
      <c r="C559" s="163">
        <v>15.0</v>
      </c>
      <c r="D559" s="180"/>
      <c r="E559" s="159">
        <f t="shared" si="1"/>
        <v>15</v>
      </c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</row>
    <row r="560">
      <c r="A560" s="155">
        <v>46186.0</v>
      </c>
      <c r="B560" s="156" t="s">
        <v>4</v>
      </c>
      <c r="C560" s="157">
        <v>0.0</v>
      </c>
      <c r="D560" s="179"/>
      <c r="E560" s="159">
        <f t="shared" si="1"/>
        <v>0</v>
      </c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</row>
    <row r="561">
      <c r="A561" s="36"/>
      <c r="B561" s="156" t="s">
        <v>5</v>
      </c>
      <c r="C561" s="157">
        <v>0.0</v>
      </c>
      <c r="D561" s="179"/>
      <c r="E561" s="159">
        <f t="shared" si="1"/>
        <v>0</v>
      </c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</row>
    <row r="562">
      <c r="A562" s="36"/>
      <c r="B562" s="156" t="s">
        <v>6</v>
      </c>
      <c r="C562" s="157">
        <v>1.0</v>
      </c>
      <c r="D562" s="179"/>
      <c r="E562" s="159">
        <f t="shared" si="1"/>
        <v>1</v>
      </c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</row>
    <row r="563">
      <c r="A563" s="36"/>
      <c r="B563" s="156" t="s">
        <v>22</v>
      </c>
      <c r="C563" s="157">
        <v>0.0</v>
      </c>
      <c r="D563" s="179"/>
      <c r="E563" s="159">
        <f t="shared" si="1"/>
        <v>0</v>
      </c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</row>
    <row r="564">
      <c r="A564" s="36"/>
      <c r="B564" s="156" t="s">
        <v>7</v>
      </c>
      <c r="C564" s="157">
        <v>1.0</v>
      </c>
      <c r="D564" s="179"/>
      <c r="E564" s="159">
        <f t="shared" si="1"/>
        <v>1</v>
      </c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</row>
    <row r="565">
      <c r="A565" s="36"/>
      <c r="B565" s="162" t="s">
        <v>8</v>
      </c>
      <c r="C565" s="157">
        <v>2.0</v>
      </c>
      <c r="D565" s="179"/>
      <c r="E565" s="159">
        <f t="shared" si="1"/>
        <v>2</v>
      </c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</row>
    <row r="566">
      <c r="A566" s="36"/>
      <c r="B566" s="156" t="s">
        <v>9</v>
      </c>
      <c r="C566" s="157">
        <v>1.0</v>
      </c>
      <c r="D566" s="179"/>
      <c r="E566" s="159">
        <f t="shared" si="1"/>
        <v>1</v>
      </c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</row>
    <row r="567">
      <c r="A567" s="36"/>
      <c r="B567" s="156" t="s">
        <v>10</v>
      </c>
      <c r="C567" s="157">
        <v>0.0</v>
      </c>
      <c r="D567" s="179"/>
      <c r="E567" s="159">
        <f t="shared" si="1"/>
        <v>0</v>
      </c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</row>
    <row r="568">
      <c r="A568" s="36"/>
      <c r="B568" s="156" t="s">
        <v>11</v>
      </c>
      <c r="C568" s="157">
        <v>1.0</v>
      </c>
      <c r="D568" s="179"/>
      <c r="E568" s="159">
        <f t="shared" si="1"/>
        <v>1</v>
      </c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</row>
    <row r="569">
      <c r="A569" s="36"/>
      <c r="B569" s="162" t="s">
        <v>12</v>
      </c>
      <c r="C569" s="157">
        <v>2.0</v>
      </c>
      <c r="D569" s="179"/>
      <c r="E569" s="159">
        <f t="shared" si="1"/>
        <v>2</v>
      </c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</row>
    <row r="570">
      <c r="A570" s="36"/>
      <c r="B570" s="162" t="s">
        <v>13</v>
      </c>
      <c r="C570" s="157">
        <v>0.0</v>
      </c>
      <c r="D570" s="179"/>
      <c r="E570" s="159">
        <f t="shared" si="1"/>
        <v>0</v>
      </c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</row>
    <row r="571">
      <c r="A571" s="36"/>
      <c r="B571" s="162" t="s">
        <v>14</v>
      </c>
      <c r="C571" s="157">
        <v>1.0</v>
      </c>
      <c r="D571" s="179"/>
      <c r="E571" s="159">
        <f t="shared" si="1"/>
        <v>1</v>
      </c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</row>
    <row r="572">
      <c r="A572" s="36"/>
      <c r="B572" s="162" t="s">
        <v>15</v>
      </c>
      <c r="C572" s="157">
        <v>0.0</v>
      </c>
      <c r="D572" s="179"/>
      <c r="E572" s="159">
        <f t="shared" si="1"/>
        <v>0</v>
      </c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</row>
    <row r="573">
      <c r="A573" s="36"/>
      <c r="B573" s="162" t="s">
        <v>16</v>
      </c>
      <c r="C573" s="157">
        <v>1.0</v>
      </c>
      <c r="D573" s="179"/>
      <c r="E573" s="159">
        <f t="shared" si="1"/>
        <v>1</v>
      </c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</row>
    <row r="574">
      <c r="A574" s="36"/>
      <c r="B574" s="162" t="s">
        <v>17</v>
      </c>
      <c r="C574" s="157">
        <v>0.0</v>
      </c>
      <c r="D574" s="179"/>
      <c r="E574" s="159">
        <f t="shared" si="1"/>
        <v>0</v>
      </c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</row>
    <row r="575">
      <c r="A575" s="36"/>
      <c r="B575" s="156" t="s">
        <v>18</v>
      </c>
      <c r="C575" s="157">
        <v>4.0</v>
      </c>
      <c r="D575" s="179"/>
      <c r="E575" s="159">
        <f t="shared" si="1"/>
        <v>4</v>
      </c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</row>
    <row r="576">
      <c r="A576" s="36"/>
      <c r="B576" s="156" t="s">
        <v>19</v>
      </c>
      <c r="C576" s="157">
        <v>0.0</v>
      </c>
      <c r="D576" s="179"/>
      <c r="E576" s="159">
        <f t="shared" si="1"/>
        <v>0</v>
      </c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</row>
    <row r="577">
      <c r="A577" s="36"/>
      <c r="B577" s="156" t="s">
        <v>20</v>
      </c>
      <c r="C577" s="157">
        <v>0.0</v>
      </c>
      <c r="D577" s="179"/>
      <c r="E577" s="159">
        <f t="shared" si="1"/>
        <v>0</v>
      </c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</row>
    <row r="578">
      <c r="A578" s="36"/>
      <c r="B578" s="156" t="s">
        <v>21</v>
      </c>
      <c r="C578" s="157">
        <v>0.0</v>
      </c>
      <c r="D578" s="179"/>
      <c r="E578" s="159">
        <f t="shared" si="1"/>
        <v>0</v>
      </c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</row>
    <row r="579">
      <c r="A579" s="36"/>
      <c r="B579" s="156" t="s">
        <v>23</v>
      </c>
      <c r="C579" s="157">
        <v>0.0</v>
      </c>
      <c r="D579" s="179"/>
      <c r="E579" s="159">
        <f t="shared" si="1"/>
        <v>0</v>
      </c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</row>
    <row r="580">
      <c r="A580" s="36"/>
      <c r="B580" s="156" t="s">
        <v>24</v>
      </c>
      <c r="C580" s="157">
        <v>12.0</v>
      </c>
      <c r="D580" s="179"/>
      <c r="E580" s="159">
        <f t="shared" si="1"/>
        <v>12</v>
      </c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</row>
    <row r="581">
      <c r="A581" s="36"/>
      <c r="B581" s="156" t="s">
        <v>25</v>
      </c>
      <c r="C581" s="163">
        <v>13.0</v>
      </c>
      <c r="D581" s="180"/>
      <c r="E581" s="159">
        <f t="shared" si="1"/>
        <v>13</v>
      </c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</row>
    <row r="582">
      <c r="A582" s="36"/>
      <c r="B582" s="156" t="s">
        <v>26</v>
      </c>
      <c r="C582" s="163">
        <v>12.0</v>
      </c>
      <c r="D582" s="180"/>
      <c r="E582" s="159">
        <f t="shared" si="1"/>
        <v>12</v>
      </c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</row>
    <row r="583">
      <c r="A583" s="36"/>
      <c r="B583" s="156" t="s">
        <v>27</v>
      </c>
      <c r="C583" s="163">
        <v>16.0</v>
      </c>
      <c r="D583" s="180"/>
      <c r="E583" s="159">
        <f t="shared" si="1"/>
        <v>16</v>
      </c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</row>
    <row r="584">
      <c r="A584" s="36"/>
      <c r="B584" s="156" t="s">
        <v>28</v>
      </c>
      <c r="C584" s="163">
        <v>1.0</v>
      </c>
      <c r="D584" s="180"/>
      <c r="E584" s="159">
        <f t="shared" si="1"/>
        <v>1</v>
      </c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</row>
    <row r="585">
      <c r="A585" s="36"/>
      <c r="B585" s="165" t="s">
        <v>29</v>
      </c>
      <c r="C585" s="163">
        <v>0.0</v>
      </c>
      <c r="D585" s="180"/>
      <c r="E585" s="159">
        <f t="shared" si="1"/>
        <v>0</v>
      </c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</row>
    <row r="586">
      <c r="A586" s="36"/>
      <c r="B586" s="166" t="s">
        <v>30</v>
      </c>
      <c r="C586" s="163">
        <v>3.0</v>
      </c>
      <c r="D586" s="180"/>
      <c r="E586" s="159">
        <f t="shared" si="1"/>
        <v>3</v>
      </c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</row>
    <row r="587">
      <c r="A587" s="36"/>
      <c r="B587" s="167" t="s">
        <v>31</v>
      </c>
      <c r="C587" s="163">
        <v>0.0</v>
      </c>
      <c r="D587" s="180"/>
      <c r="E587" s="159">
        <f t="shared" si="1"/>
        <v>0</v>
      </c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</row>
    <row r="588">
      <c r="A588" s="36"/>
      <c r="B588" s="167" t="s">
        <v>32</v>
      </c>
      <c r="C588" s="163">
        <v>6.0</v>
      </c>
      <c r="D588" s="180"/>
      <c r="E588" s="159">
        <f t="shared" si="1"/>
        <v>6</v>
      </c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</row>
    <row r="589">
      <c r="A589" s="36"/>
      <c r="B589" s="167" t="s">
        <v>33</v>
      </c>
      <c r="C589" s="163">
        <v>0.0</v>
      </c>
      <c r="D589" s="180"/>
      <c r="E589" s="159">
        <f t="shared" si="1"/>
        <v>0</v>
      </c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</row>
    <row r="590">
      <c r="A590" s="91"/>
      <c r="B590" s="167" t="s">
        <v>34</v>
      </c>
      <c r="C590" s="163">
        <v>2.0</v>
      </c>
      <c r="D590" s="180"/>
      <c r="E590" s="159">
        <f t="shared" si="1"/>
        <v>2</v>
      </c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</row>
    <row r="591">
      <c r="A591" s="155">
        <v>46187.0</v>
      </c>
      <c r="B591" s="156" t="s">
        <v>4</v>
      </c>
      <c r="C591" s="157">
        <v>0.0</v>
      </c>
      <c r="D591" s="179"/>
      <c r="E591" s="159">
        <f t="shared" si="1"/>
        <v>0</v>
      </c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</row>
    <row r="592">
      <c r="A592" s="36"/>
      <c r="B592" s="156" t="s">
        <v>5</v>
      </c>
      <c r="C592" s="157">
        <v>0.0</v>
      </c>
      <c r="D592" s="179"/>
      <c r="E592" s="159">
        <f t="shared" si="1"/>
        <v>0</v>
      </c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</row>
    <row r="593">
      <c r="A593" s="36"/>
      <c r="B593" s="156" t="s">
        <v>6</v>
      </c>
      <c r="C593" s="157">
        <v>2.0</v>
      </c>
      <c r="D593" s="179"/>
      <c r="E593" s="159">
        <f t="shared" si="1"/>
        <v>2</v>
      </c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</row>
    <row r="594">
      <c r="A594" s="36"/>
      <c r="B594" s="156" t="s">
        <v>22</v>
      </c>
      <c r="C594" s="157">
        <v>1.0</v>
      </c>
      <c r="D594" s="179"/>
      <c r="E594" s="159">
        <f t="shared" si="1"/>
        <v>1</v>
      </c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</row>
    <row r="595">
      <c r="A595" s="36"/>
      <c r="B595" s="156" t="s">
        <v>7</v>
      </c>
      <c r="C595" s="157">
        <v>0.0</v>
      </c>
      <c r="D595" s="179"/>
      <c r="E595" s="159">
        <f t="shared" si="1"/>
        <v>0</v>
      </c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</row>
    <row r="596">
      <c r="A596" s="36"/>
      <c r="B596" s="162" t="s">
        <v>8</v>
      </c>
      <c r="C596" s="157">
        <v>10.0</v>
      </c>
      <c r="D596" s="179"/>
      <c r="E596" s="159">
        <f t="shared" si="1"/>
        <v>10</v>
      </c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</row>
    <row r="597">
      <c r="A597" s="36"/>
      <c r="B597" s="156" t="s">
        <v>9</v>
      </c>
      <c r="C597" s="157">
        <v>4.0</v>
      </c>
      <c r="D597" s="179"/>
      <c r="E597" s="159">
        <f t="shared" si="1"/>
        <v>4</v>
      </c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</row>
    <row r="598">
      <c r="A598" s="36"/>
      <c r="B598" s="156" t="s">
        <v>10</v>
      </c>
      <c r="C598" s="157">
        <v>2.0</v>
      </c>
      <c r="D598" s="179"/>
      <c r="E598" s="159">
        <f t="shared" si="1"/>
        <v>2</v>
      </c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</row>
    <row r="599">
      <c r="A599" s="36"/>
      <c r="B599" s="156" t="s">
        <v>11</v>
      </c>
      <c r="C599" s="157">
        <v>0.0</v>
      </c>
      <c r="D599" s="179"/>
      <c r="E599" s="159">
        <f t="shared" si="1"/>
        <v>0</v>
      </c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</row>
    <row r="600">
      <c r="A600" s="36"/>
      <c r="B600" s="162" t="s">
        <v>12</v>
      </c>
      <c r="C600" s="157">
        <v>9.0</v>
      </c>
      <c r="D600" s="179"/>
      <c r="E600" s="159">
        <f t="shared" si="1"/>
        <v>9</v>
      </c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</row>
    <row r="601">
      <c r="A601" s="36"/>
      <c r="B601" s="162" t="s">
        <v>13</v>
      </c>
      <c r="C601" s="157">
        <v>1.0</v>
      </c>
      <c r="D601" s="179"/>
      <c r="E601" s="159">
        <f t="shared" si="1"/>
        <v>1</v>
      </c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</row>
    <row r="602">
      <c r="A602" s="36"/>
      <c r="B602" s="162" t="s">
        <v>14</v>
      </c>
      <c r="C602" s="157">
        <v>1.0</v>
      </c>
      <c r="D602" s="179"/>
      <c r="E602" s="159">
        <f t="shared" si="1"/>
        <v>1</v>
      </c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</row>
    <row r="603">
      <c r="A603" s="36"/>
      <c r="B603" s="162" t="s">
        <v>15</v>
      </c>
      <c r="C603" s="157">
        <v>1.0</v>
      </c>
      <c r="D603" s="179"/>
      <c r="E603" s="159">
        <f t="shared" si="1"/>
        <v>1</v>
      </c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</row>
    <row r="604">
      <c r="A604" s="36"/>
      <c r="B604" s="162" t="s">
        <v>16</v>
      </c>
      <c r="C604" s="157">
        <v>0.0</v>
      </c>
      <c r="D604" s="179"/>
      <c r="E604" s="159">
        <f t="shared" si="1"/>
        <v>0</v>
      </c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</row>
    <row r="605">
      <c r="A605" s="36"/>
      <c r="B605" s="162" t="s">
        <v>17</v>
      </c>
      <c r="C605" s="157">
        <v>1.0</v>
      </c>
      <c r="D605" s="179"/>
      <c r="E605" s="159">
        <f t="shared" si="1"/>
        <v>1</v>
      </c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</row>
    <row r="606">
      <c r="A606" s="36"/>
      <c r="B606" s="156" t="s">
        <v>18</v>
      </c>
      <c r="C606" s="157">
        <v>1.0</v>
      </c>
      <c r="D606" s="179"/>
      <c r="E606" s="159">
        <f t="shared" si="1"/>
        <v>1</v>
      </c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</row>
    <row r="607">
      <c r="A607" s="36"/>
      <c r="B607" s="156" t="s">
        <v>19</v>
      </c>
      <c r="C607" s="157">
        <v>1.0</v>
      </c>
      <c r="D607" s="179"/>
      <c r="E607" s="159">
        <f t="shared" si="1"/>
        <v>1</v>
      </c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</row>
    <row r="608">
      <c r="A608" s="36"/>
      <c r="B608" s="156" t="s">
        <v>20</v>
      </c>
      <c r="C608" s="157">
        <v>0.0</v>
      </c>
      <c r="D608" s="179"/>
      <c r="E608" s="159">
        <f t="shared" si="1"/>
        <v>0</v>
      </c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</row>
    <row r="609">
      <c r="A609" s="36"/>
      <c r="B609" s="156" t="s">
        <v>21</v>
      </c>
      <c r="C609" s="157">
        <v>0.0</v>
      </c>
      <c r="D609" s="179"/>
      <c r="E609" s="159">
        <f t="shared" si="1"/>
        <v>0</v>
      </c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</row>
    <row r="610">
      <c r="A610" s="36"/>
      <c r="B610" s="156" t="s">
        <v>23</v>
      </c>
      <c r="C610" s="157">
        <v>0.0</v>
      </c>
      <c r="D610" s="179"/>
      <c r="E610" s="159">
        <f t="shared" si="1"/>
        <v>0</v>
      </c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</row>
    <row r="611">
      <c r="A611" s="36"/>
      <c r="B611" s="156" t="s">
        <v>24</v>
      </c>
      <c r="C611" s="157">
        <v>13.0</v>
      </c>
      <c r="D611" s="179"/>
      <c r="E611" s="159">
        <f t="shared" si="1"/>
        <v>13</v>
      </c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</row>
    <row r="612">
      <c r="A612" s="36"/>
      <c r="B612" s="156" t="s">
        <v>25</v>
      </c>
      <c r="C612" s="163">
        <v>11.0</v>
      </c>
      <c r="D612" s="180"/>
      <c r="E612" s="159">
        <f t="shared" si="1"/>
        <v>11</v>
      </c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</row>
    <row r="613">
      <c r="A613" s="36"/>
      <c r="B613" s="156" t="s">
        <v>26</v>
      </c>
      <c r="C613" s="163">
        <v>2.0</v>
      </c>
      <c r="D613" s="180"/>
      <c r="E613" s="159">
        <f t="shared" si="1"/>
        <v>2</v>
      </c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</row>
    <row r="614">
      <c r="A614" s="36"/>
      <c r="B614" s="156" t="s">
        <v>27</v>
      </c>
      <c r="C614" s="163">
        <v>14.0</v>
      </c>
      <c r="D614" s="180"/>
      <c r="E614" s="159">
        <f t="shared" si="1"/>
        <v>14</v>
      </c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</row>
    <row r="615">
      <c r="A615" s="36"/>
      <c r="B615" s="156" t="s">
        <v>28</v>
      </c>
      <c r="C615" s="163">
        <v>0.0</v>
      </c>
      <c r="D615" s="180"/>
      <c r="E615" s="159">
        <f t="shared" si="1"/>
        <v>0</v>
      </c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</row>
    <row r="616">
      <c r="A616" s="36"/>
      <c r="B616" s="165" t="s">
        <v>29</v>
      </c>
      <c r="C616" s="163">
        <v>0.0</v>
      </c>
      <c r="D616" s="180"/>
      <c r="E616" s="159">
        <f t="shared" si="1"/>
        <v>0</v>
      </c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</row>
    <row r="617">
      <c r="A617" s="36"/>
      <c r="B617" s="166" t="s">
        <v>30</v>
      </c>
      <c r="C617" s="163">
        <v>0.0</v>
      </c>
      <c r="D617" s="180"/>
      <c r="E617" s="159">
        <f t="shared" si="1"/>
        <v>0</v>
      </c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</row>
    <row r="618">
      <c r="A618" s="36"/>
      <c r="B618" s="167" t="s">
        <v>31</v>
      </c>
      <c r="C618" s="163">
        <v>1.0</v>
      </c>
      <c r="D618" s="180"/>
      <c r="E618" s="159">
        <f t="shared" si="1"/>
        <v>1</v>
      </c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</row>
    <row r="619">
      <c r="A619" s="36"/>
      <c r="B619" s="167" t="s">
        <v>32</v>
      </c>
      <c r="C619" s="163">
        <v>3.0</v>
      </c>
      <c r="D619" s="180"/>
      <c r="E619" s="159">
        <f t="shared" si="1"/>
        <v>3</v>
      </c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</row>
    <row r="620">
      <c r="A620" s="36"/>
      <c r="B620" s="167" t="s">
        <v>33</v>
      </c>
      <c r="C620" s="163">
        <v>0.0</v>
      </c>
      <c r="D620" s="180"/>
      <c r="E620" s="159">
        <f t="shared" si="1"/>
        <v>0</v>
      </c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</row>
    <row r="621">
      <c r="A621" s="91"/>
      <c r="B621" s="167" t="s">
        <v>34</v>
      </c>
      <c r="C621" s="163">
        <v>1.0</v>
      </c>
      <c r="D621" s="180"/>
      <c r="E621" s="159">
        <f t="shared" si="1"/>
        <v>1</v>
      </c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</row>
    <row r="622">
      <c r="A622" s="155">
        <v>46188.0</v>
      </c>
      <c r="B622" s="156" t="s">
        <v>4</v>
      </c>
      <c r="C622" s="157">
        <v>0.0</v>
      </c>
      <c r="D622" s="179"/>
      <c r="E622" s="159">
        <f t="shared" si="1"/>
        <v>0</v>
      </c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</row>
    <row r="623">
      <c r="A623" s="36"/>
      <c r="B623" s="156" t="s">
        <v>5</v>
      </c>
      <c r="C623" s="157">
        <v>0.0</v>
      </c>
      <c r="D623" s="179"/>
      <c r="E623" s="159">
        <f t="shared" si="1"/>
        <v>0</v>
      </c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</row>
    <row r="624">
      <c r="A624" s="36"/>
      <c r="B624" s="156" t="s">
        <v>6</v>
      </c>
      <c r="C624" s="157">
        <v>0.0</v>
      </c>
      <c r="D624" s="179"/>
      <c r="E624" s="159">
        <f t="shared" si="1"/>
        <v>0</v>
      </c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</row>
    <row r="625">
      <c r="A625" s="36"/>
      <c r="B625" s="156" t="s">
        <v>22</v>
      </c>
      <c r="C625" s="157">
        <v>0.0</v>
      </c>
      <c r="D625" s="179"/>
      <c r="E625" s="159">
        <f t="shared" si="1"/>
        <v>0</v>
      </c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</row>
    <row r="626">
      <c r="A626" s="36"/>
      <c r="B626" s="156" t="s">
        <v>7</v>
      </c>
      <c r="C626" s="157">
        <v>1.0</v>
      </c>
      <c r="D626" s="179"/>
      <c r="E626" s="159">
        <f t="shared" si="1"/>
        <v>1</v>
      </c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</row>
    <row r="627">
      <c r="A627" s="36"/>
      <c r="B627" s="162" t="s">
        <v>8</v>
      </c>
      <c r="C627" s="157">
        <v>2.0</v>
      </c>
      <c r="D627" s="179"/>
      <c r="E627" s="159">
        <f t="shared" si="1"/>
        <v>2</v>
      </c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</row>
    <row r="628">
      <c r="A628" s="36"/>
      <c r="B628" s="156" t="s">
        <v>9</v>
      </c>
      <c r="C628" s="157">
        <v>0.0</v>
      </c>
      <c r="D628" s="179"/>
      <c r="E628" s="159">
        <f t="shared" si="1"/>
        <v>0</v>
      </c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</row>
    <row r="629">
      <c r="A629" s="36"/>
      <c r="B629" s="156" t="s">
        <v>10</v>
      </c>
      <c r="C629" s="157">
        <v>0.0</v>
      </c>
      <c r="D629" s="179"/>
      <c r="E629" s="159">
        <f t="shared" si="1"/>
        <v>0</v>
      </c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</row>
    <row r="630">
      <c r="A630" s="36"/>
      <c r="B630" s="156" t="s">
        <v>11</v>
      </c>
      <c r="C630" s="157">
        <v>1.0</v>
      </c>
      <c r="D630" s="179"/>
      <c r="E630" s="159">
        <f t="shared" si="1"/>
        <v>1</v>
      </c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</row>
    <row r="631">
      <c r="A631" s="36"/>
      <c r="B631" s="162" t="s">
        <v>12</v>
      </c>
      <c r="C631" s="157">
        <v>2.0</v>
      </c>
      <c r="D631" s="179"/>
      <c r="E631" s="159">
        <f t="shared" si="1"/>
        <v>2</v>
      </c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</row>
    <row r="632">
      <c r="A632" s="36"/>
      <c r="B632" s="162" t="s">
        <v>13</v>
      </c>
      <c r="C632" s="157">
        <v>0.0</v>
      </c>
      <c r="D632" s="179"/>
      <c r="E632" s="159">
        <f t="shared" si="1"/>
        <v>0</v>
      </c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</row>
    <row r="633">
      <c r="A633" s="36"/>
      <c r="B633" s="162" t="s">
        <v>14</v>
      </c>
      <c r="C633" s="157">
        <v>1.0</v>
      </c>
      <c r="D633" s="179"/>
      <c r="E633" s="159">
        <f t="shared" si="1"/>
        <v>1</v>
      </c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</row>
    <row r="634">
      <c r="A634" s="36"/>
      <c r="B634" s="162" t="s">
        <v>15</v>
      </c>
      <c r="C634" s="157">
        <v>0.0</v>
      </c>
      <c r="D634" s="179"/>
      <c r="E634" s="159">
        <f t="shared" si="1"/>
        <v>0</v>
      </c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</row>
    <row r="635">
      <c r="A635" s="36"/>
      <c r="B635" s="162" t="s">
        <v>16</v>
      </c>
      <c r="C635" s="157">
        <v>0.0</v>
      </c>
      <c r="D635" s="179"/>
      <c r="E635" s="159">
        <f t="shared" si="1"/>
        <v>0</v>
      </c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</row>
    <row r="636">
      <c r="A636" s="36"/>
      <c r="B636" s="162" t="s">
        <v>17</v>
      </c>
      <c r="C636" s="157">
        <v>1.0</v>
      </c>
      <c r="D636" s="179"/>
      <c r="E636" s="159">
        <f t="shared" si="1"/>
        <v>1</v>
      </c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</row>
    <row r="637">
      <c r="A637" s="36"/>
      <c r="B637" s="156" t="s">
        <v>18</v>
      </c>
      <c r="C637" s="157">
        <v>2.0</v>
      </c>
      <c r="D637" s="179"/>
      <c r="E637" s="159">
        <f t="shared" si="1"/>
        <v>2</v>
      </c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</row>
    <row r="638">
      <c r="A638" s="36"/>
      <c r="B638" s="156" t="s">
        <v>19</v>
      </c>
      <c r="C638" s="157">
        <v>2.0</v>
      </c>
      <c r="D638" s="179"/>
      <c r="E638" s="159">
        <f t="shared" si="1"/>
        <v>2</v>
      </c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</row>
    <row r="639">
      <c r="A639" s="36"/>
      <c r="B639" s="156" t="s">
        <v>20</v>
      </c>
      <c r="C639" s="157">
        <v>0.0</v>
      </c>
      <c r="D639" s="179"/>
      <c r="E639" s="159">
        <f t="shared" si="1"/>
        <v>0</v>
      </c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</row>
    <row r="640">
      <c r="A640" s="36"/>
      <c r="B640" s="156" t="s">
        <v>21</v>
      </c>
      <c r="C640" s="157">
        <v>0.0</v>
      </c>
      <c r="D640" s="179"/>
      <c r="E640" s="159">
        <f t="shared" si="1"/>
        <v>0</v>
      </c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</row>
    <row r="641">
      <c r="A641" s="36"/>
      <c r="B641" s="156" t="s">
        <v>23</v>
      </c>
      <c r="C641" s="157">
        <v>0.0</v>
      </c>
      <c r="D641" s="179"/>
      <c r="E641" s="159">
        <f t="shared" si="1"/>
        <v>0</v>
      </c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</row>
    <row r="642">
      <c r="A642" s="36"/>
      <c r="B642" s="156" t="s">
        <v>24</v>
      </c>
      <c r="C642" s="157">
        <v>3.0</v>
      </c>
      <c r="D642" s="179"/>
      <c r="E642" s="159">
        <f t="shared" si="1"/>
        <v>3</v>
      </c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</row>
    <row r="643">
      <c r="A643" s="36"/>
      <c r="B643" s="156" t="s">
        <v>25</v>
      </c>
      <c r="C643" s="163">
        <v>5.0</v>
      </c>
      <c r="D643" s="180"/>
      <c r="E643" s="159">
        <f t="shared" si="1"/>
        <v>5</v>
      </c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</row>
    <row r="644">
      <c r="A644" s="36"/>
      <c r="B644" s="156" t="s">
        <v>26</v>
      </c>
      <c r="C644" s="163">
        <v>3.0</v>
      </c>
      <c r="D644" s="180"/>
      <c r="E644" s="159">
        <f t="shared" si="1"/>
        <v>3</v>
      </c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</row>
    <row r="645">
      <c r="A645" s="36"/>
      <c r="B645" s="156" t="s">
        <v>27</v>
      </c>
      <c r="C645" s="163">
        <v>6.0</v>
      </c>
      <c r="D645" s="180"/>
      <c r="E645" s="159">
        <f t="shared" si="1"/>
        <v>6</v>
      </c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</row>
    <row r="646">
      <c r="A646" s="36"/>
      <c r="B646" s="156" t="s">
        <v>28</v>
      </c>
      <c r="C646" s="163">
        <v>0.0</v>
      </c>
      <c r="D646" s="180"/>
      <c r="E646" s="159">
        <f t="shared" si="1"/>
        <v>0</v>
      </c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</row>
    <row r="647">
      <c r="A647" s="36"/>
      <c r="B647" s="165" t="s">
        <v>29</v>
      </c>
      <c r="C647" s="163">
        <v>0.0</v>
      </c>
      <c r="D647" s="180"/>
      <c r="E647" s="159">
        <f t="shared" si="1"/>
        <v>0</v>
      </c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</row>
    <row r="648">
      <c r="A648" s="36"/>
      <c r="B648" s="166" t="s">
        <v>30</v>
      </c>
      <c r="C648" s="163">
        <v>0.0</v>
      </c>
      <c r="D648" s="180"/>
      <c r="E648" s="159">
        <f t="shared" si="1"/>
        <v>0</v>
      </c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</row>
    <row r="649">
      <c r="A649" s="36"/>
      <c r="B649" s="167" t="s">
        <v>31</v>
      </c>
      <c r="C649" s="163">
        <v>0.0</v>
      </c>
      <c r="D649" s="180"/>
      <c r="E649" s="159">
        <f t="shared" si="1"/>
        <v>0</v>
      </c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</row>
    <row r="650">
      <c r="A650" s="36"/>
      <c r="B650" s="167" t="s">
        <v>32</v>
      </c>
      <c r="C650" s="163">
        <v>1.0</v>
      </c>
      <c r="D650" s="180"/>
      <c r="E650" s="159">
        <f t="shared" si="1"/>
        <v>1</v>
      </c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</row>
    <row r="651">
      <c r="A651" s="36"/>
      <c r="B651" s="167" t="s">
        <v>33</v>
      </c>
      <c r="C651" s="163">
        <v>0.0</v>
      </c>
      <c r="D651" s="180"/>
      <c r="E651" s="159">
        <f t="shared" si="1"/>
        <v>0</v>
      </c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</row>
    <row r="652">
      <c r="A652" s="91"/>
      <c r="B652" s="167" t="s">
        <v>34</v>
      </c>
      <c r="C652" s="163">
        <v>0.0</v>
      </c>
      <c r="D652" s="180"/>
      <c r="E652" s="159">
        <f t="shared" si="1"/>
        <v>0</v>
      </c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</row>
    <row r="653">
      <c r="A653" s="155">
        <v>46189.0</v>
      </c>
      <c r="B653" s="156" t="s">
        <v>4</v>
      </c>
      <c r="C653" s="157">
        <v>1.0</v>
      </c>
      <c r="D653" s="179"/>
      <c r="E653" s="159">
        <f t="shared" si="1"/>
        <v>1</v>
      </c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</row>
    <row r="654">
      <c r="A654" s="36"/>
      <c r="B654" s="156" t="s">
        <v>5</v>
      </c>
      <c r="C654" s="157">
        <v>0.0</v>
      </c>
      <c r="D654" s="179"/>
      <c r="E654" s="159">
        <f t="shared" si="1"/>
        <v>0</v>
      </c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</row>
    <row r="655">
      <c r="A655" s="36"/>
      <c r="B655" s="156" t="s">
        <v>6</v>
      </c>
      <c r="C655" s="157">
        <v>0.0</v>
      </c>
      <c r="D655" s="179"/>
      <c r="E655" s="159">
        <f t="shared" si="1"/>
        <v>0</v>
      </c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</row>
    <row r="656">
      <c r="A656" s="36"/>
      <c r="B656" s="156" t="s">
        <v>22</v>
      </c>
      <c r="C656" s="157">
        <v>0.0</v>
      </c>
      <c r="D656" s="179"/>
      <c r="E656" s="159">
        <f t="shared" si="1"/>
        <v>0</v>
      </c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</row>
    <row r="657">
      <c r="A657" s="36"/>
      <c r="B657" s="156" t="s">
        <v>7</v>
      </c>
      <c r="C657" s="157">
        <v>2.0</v>
      </c>
      <c r="D657" s="179"/>
      <c r="E657" s="159">
        <f t="shared" si="1"/>
        <v>2</v>
      </c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</row>
    <row r="658">
      <c r="A658" s="36"/>
      <c r="B658" s="162" t="s">
        <v>8</v>
      </c>
      <c r="C658" s="157">
        <v>3.0</v>
      </c>
      <c r="D658" s="179"/>
      <c r="E658" s="159">
        <f t="shared" si="1"/>
        <v>3</v>
      </c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</row>
    <row r="659">
      <c r="A659" s="36"/>
      <c r="B659" s="156" t="s">
        <v>9</v>
      </c>
      <c r="C659" s="157">
        <v>1.0</v>
      </c>
      <c r="D659" s="179"/>
      <c r="E659" s="159">
        <f t="shared" si="1"/>
        <v>1</v>
      </c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</row>
    <row r="660">
      <c r="A660" s="36"/>
      <c r="B660" s="156" t="s">
        <v>10</v>
      </c>
      <c r="C660" s="157">
        <v>0.0</v>
      </c>
      <c r="D660" s="179"/>
      <c r="E660" s="159">
        <f t="shared" si="1"/>
        <v>0</v>
      </c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</row>
    <row r="661">
      <c r="A661" s="36"/>
      <c r="B661" s="156" t="s">
        <v>11</v>
      </c>
      <c r="C661" s="157">
        <v>0.0</v>
      </c>
      <c r="D661" s="179"/>
      <c r="E661" s="159">
        <f t="shared" si="1"/>
        <v>0</v>
      </c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</row>
    <row r="662">
      <c r="A662" s="36"/>
      <c r="B662" s="162" t="s">
        <v>12</v>
      </c>
      <c r="C662" s="157">
        <v>21.0</v>
      </c>
      <c r="D662" s="179"/>
      <c r="E662" s="159">
        <f t="shared" si="1"/>
        <v>21</v>
      </c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</row>
    <row r="663">
      <c r="A663" s="36"/>
      <c r="B663" s="162" t="s">
        <v>13</v>
      </c>
      <c r="C663" s="157">
        <v>1.0</v>
      </c>
      <c r="D663" s="179"/>
      <c r="E663" s="159">
        <f t="shared" si="1"/>
        <v>1</v>
      </c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</row>
    <row r="664">
      <c r="A664" s="36"/>
      <c r="B664" s="162" t="s">
        <v>14</v>
      </c>
      <c r="C664" s="157">
        <v>2.0</v>
      </c>
      <c r="D664" s="179"/>
      <c r="E664" s="159">
        <f t="shared" si="1"/>
        <v>2</v>
      </c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</row>
    <row r="665">
      <c r="A665" s="36"/>
      <c r="B665" s="162" t="s">
        <v>15</v>
      </c>
      <c r="C665" s="157">
        <v>0.0</v>
      </c>
      <c r="D665" s="179"/>
      <c r="E665" s="159">
        <f t="shared" si="1"/>
        <v>0</v>
      </c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</row>
    <row r="666">
      <c r="A666" s="36"/>
      <c r="B666" s="162" t="s">
        <v>16</v>
      </c>
      <c r="C666" s="157">
        <v>0.0</v>
      </c>
      <c r="D666" s="179"/>
      <c r="E666" s="159">
        <f t="shared" si="1"/>
        <v>0</v>
      </c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</row>
    <row r="667">
      <c r="A667" s="36"/>
      <c r="B667" s="162" t="s">
        <v>17</v>
      </c>
      <c r="C667" s="157">
        <v>0.0</v>
      </c>
      <c r="D667" s="179"/>
      <c r="E667" s="159">
        <f t="shared" si="1"/>
        <v>0</v>
      </c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</row>
    <row r="668">
      <c r="A668" s="36"/>
      <c r="B668" s="156" t="s">
        <v>18</v>
      </c>
      <c r="C668" s="157">
        <v>5.0</v>
      </c>
      <c r="D668" s="179"/>
      <c r="E668" s="159">
        <f t="shared" si="1"/>
        <v>5</v>
      </c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</row>
    <row r="669">
      <c r="A669" s="36"/>
      <c r="B669" s="156" t="s">
        <v>19</v>
      </c>
      <c r="C669" s="157">
        <v>2.0</v>
      </c>
      <c r="D669" s="179"/>
      <c r="E669" s="159">
        <f t="shared" si="1"/>
        <v>2</v>
      </c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</row>
    <row r="670">
      <c r="A670" s="36"/>
      <c r="B670" s="156" t="s">
        <v>20</v>
      </c>
      <c r="C670" s="157">
        <v>0.0</v>
      </c>
      <c r="D670" s="179"/>
      <c r="E670" s="159">
        <f t="shared" si="1"/>
        <v>0</v>
      </c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</row>
    <row r="671">
      <c r="A671" s="36"/>
      <c r="B671" s="156" t="s">
        <v>21</v>
      </c>
      <c r="C671" s="157">
        <v>2.0</v>
      </c>
      <c r="D671" s="179"/>
      <c r="E671" s="159">
        <f t="shared" si="1"/>
        <v>2</v>
      </c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</row>
    <row r="672">
      <c r="A672" s="36"/>
      <c r="B672" s="156" t="s">
        <v>23</v>
      </c>
      <c r="C672" s="157">
        <v>0.0</v>
      </c>
      <c r="D672" s="179"/>
      <c r="E672" s="159">
        <f t="shared" si="1"/>
        <v>0</v>
      </c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</row>
    <row r="673">
      <c r="A673" s="36"/>
      <c r="B673" s="156" t="s">
        <v>24</v>
      </c>
      <c r="C673" s="157">
        <v>13.0</v>
      </c>
      <c r="D673" s="179"/>
      <c r="E673" s="159">
        <f t="shared" si="1"/>
        <v>13</v>
      </c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</row>
    <row r="674">
      <c r="A674" s="36"/>
      <c r="B674" s="156" t="s">
        <v>25</v>
      </c>
      <c r="C674" s="163">
        <v>14.0</v>
      </c>
      <c r="D674" s="180"/>
      <c r="E674" s="159">
        <f t="shared" si="1"/>
        <v>14</v>
      </c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</row>
    <row r="675">
      <c r="A675" s="36"/>
      <c r="B675" s="156" t="s">
        <v>26</v>
      </c>
      <c r="C675" s="163">
        <v>20.0</v>
      </c>
      <c r="D675" s="180"/>
      <c r="E675" s="159">
        <f t="shared" si="1"/>
        <v>20</v>
      </c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</row>
    <row r="676">
      <c r="A676" s="36"/>
      <c r="B676" s="156" t="s">
        <v>27</v>
      </c>
      <c r="C676" s="163">
        <v>28.0</v>
      </c>
      <c r="D676" s="180"/>
      <c r="E676" s="159">
        <f t="shared" si="1"/>
        <v>28</v>
      </c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</row>
    <row r="677">
      <c r="A677" s="36"/>
      <c r="B677" s="156" t="s">
        <v>28</v>
      </c>
      <c r="C677" s="163">
        <v>0.0</v>
      </c>
      <c r="D677" s="180"/>
      <c r="E677" s="159">
        <f t="shared" si="1"/>
        <v>0</v>
      </c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</row>
    <row r="678">
      <c r="A678" s="36"/>
      <c r="B678" s="165" t="s">
        <v>29</v>
      </c>
      <c r="C678" s="163">
        <v>0.0</v>
      </c>
      <c r="D678" s="180"/>
      <c r="E678" s="159">
        <f t="shared" si="1"/>
        <v>0</v>
      </c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</row>
    <row r="679">
      <c r="A679" s="36"/>
      <c r="B679" s="166" t="s">
        <v>30</v>
      </c>
      <c r="C679" s="163">
        <v>5.0</v>
      </c>
      <c r="D679" s="180"/>
      <c r="E679" s="159">
        <f t="shared" si="1"/>
        <v>5</v>
      </c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</row>
    <row r="680">
      <c r="A680" s="36"/>
      <c r="B680" s="167" t="s">
        <v>31</v>
      </c>
      <c r="C680" s="163">
        <v>2.0</v>
      </c>
      <c r="D680" s="180"/>
      <c r="E680" s="159">
        <f t="shared" si="1"/>
        <v>2</v>
      </c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</row>
    <row r="681">
      <c r="A681" s="36"/>
      <c r="B681" s="167" t="s">
        <v>32</v>
      </c>
      <c r="C681" s="163">
        <v>1.0</v>
      </c>
      <c r="D681" s="180"/>
      <c r="E681" s="159">
        <f t="shared" si="1"/>
        <v>1</v>
      </c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</row>
    <row r="682">
      <c r="A682" s="36"/>
      <c r="B682" s="167" t="s">
        <v>33</v>
      </c>
      <c r="C682" s="163">
        <v>1.0</v>
      </c>
      <c r="D682" s="180"/>
      <c r="E682" s="159">
        <f t="shared" si="1"/>
        <v>1</v>
      </c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</row>
    <row r="683">
      <c r="A683" s="91"/>
      <c r="B683" s="167" t="s">
        <v>34</v>
      </c>
      <c r="C683" s="163">
        <v>2.0</v>
      </c>
      <c r="D683" s="180"/>
      <c r="E683" s="159">
        <f t="shared" si="1"/>
        <v>2</v>
      </c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</row>
    <row r="684">
      <c r="A684" s="155">
        <v>46190.0</v>
      </c>
      <c r="B684" s="156" t="s">
        <v>4</v>
      </c>
      <c r="C684" s="157">
        <v>1.0</v>
      </c>
      <c r="D684" s="179"/>
      <c r="E684" s="159">
        <f t="shared" si="1"/>
        <v>1</v>
      </c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</row>
    <row r="685">
      <c r="A685" s="36"/>
      <c r="B685" s="156" t="s">
        <v>5</v>
      </c>
      <c r="C685" s="157">
        <v>0.0</v>
      </c>
      <c r="D685" s="179"/>
      <c r="E685" s="159">
        <f t="shared" si="1"/>
        <v>0</v>
      </c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</row>
    <row r="686">
      <c r="A686" s="36"/>
      <c r="B686" s="156" t="s">
        <v>6</v>
      </c>
      <c r="C686" s="157">
        <v>0.0</v>
      </c>
      <c r="D686" s="179"/>
      <c r="E686" s="159">
        <f t="shared" si="1"/>
        <v>0</v>
      </c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</row>
    <row r="687">
      <c r="A687" s="36"/>
      <c r="B687" s="156" t="s">
        <v>22</v>
      </c>
      <c r="C687" s="157">
        <v>0.0</v>
      </c>
      <c r="D687" s="179"/>
      <c r="E687" s="159">
        <f t="shared" si="1"/>
        <v>0</v>
      </c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</row>
    <row r="688">
      <c r="A688" s="36"/>
      <c r="B688" s="156" t="s">
        <v>7</v>
      </c>
      <c r="C688" s="157">
        <v>0.0</v>
      </c>
      <c r="D688" s="179"/>
      <c r="E688" s="159">
        <f t="shared" si="1"/>
        <v>0</v>
      </c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</row>
    <row r="689">
      <c r="A689" s="36"/>
      <c r="B689" s="162" t="s">
        <v>8</v>
      </c>
      <c r="C689" s="157">
        <v>0.0</v>
      </c>
      <c r="D689" s="179"/>
      <c r="E689" s="159">
        <f t="shared" si="1"/>
        <v>0</v>
      </c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</row>
    <row r="690">
      <c r="A690" s="36"/>
      <c r="B690" s="156" t="s">
        <v>9</v>
      </c>
      <c r="C690" s="157">
        <v>1.0</v>
      </c>
      <c r="D690" s="179"/>
      <c r="E690" s="159">
        <f t="shared" si="1"/>
        <v>1</v>
      </c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</row>
    <row r="691">
      <c r="A691" s="36"/>
      <c r="B691" s="156" t="s">
        <v>10</v>
      </c>
      <c r="C691" s="157">
        <v>1.0</v>
      </c>
      <c r="D691" s="179"/>
      <c r="E691" s="159">
        <f t="shared" si="1"/>
        <v>1</v>
      </c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</row>
    <row r="692">
      <c r="A692" s="36"/>
      <c r="B692" s="156" t="s">
        <v>11</v>
      </c>
      <c r="C692" s="157">
        <v>0.0</v>
      </c>
      <c r="D692" s="179"/>
      <c r="E692" s="159">
        <f t="shared" si="1"/>
        <v>0</v>
      </c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</row>
    <row r="693">
      <c r="A693" s="36"/>
      <c r="B693" s="162" t="s">
        <v>12</v>
      </c>
      <c r="C693" s="157">
        <v>8.0</v>
      </c>
      <c r="D693" s="179"/>
      <c r="E693" s="159">
        <f t="shared" si="1"/>
        <v>8</v>
      </c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</row>
    <row r="694">
      <c r="A694" s="36"/>
      <c r="B694" s="162" t="s">
        <v>13</v>
      </c>
      <c r="C694" s="157">
        <v>0.0</v>
      </c>
      <c r="D694" s="179"/>
      <c r="E694" s="159">
        <f t="shared" si="1"/>
        <v>0</v>
      </c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</row>
    <row r="695">
      <c r="A695" s="36"/>
      <c r="B695" s="162" t="s">
        <v>14</v>
      </c>
      <c r="C695" s="157">
        <v>1.0</v>
      </c>
      <c r="D695" s="179"/>
      <c r="E695" s="159">
        <f t="shared" si="1"/>
        <v>1</v>
      </c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</row>
    <row r="696">
      <c r="A696" s="36"/>
      <c r="B696" s="162" t="s">
        <v>15</v>
      </c>
      <c r="C696" s="157">
        <v>0.0</v>
      </c>
      <c r="D696" s="179"/>
      <c r="E696" s="159">
        <f t="shared" si="1"/>
        <v>0</v>
      </c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</row>
    <row r="697">
      <c r="A697" s="36"/>
      <c r="B697" s="162" t="s">
        <v>16</v>
      </c>
      <c r="C697" s="157">
        <v>2.0</v>
      </c>
      <c r="D697" s="179"/>
      <c r="E697" s="159">
        <f t="shared" si="1"/>
        <v>2</v>
      </c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</row>
    <row r="698">
      <c r="A698" s="36"/>
      <c r="B698" s="162" t="s">
        <v>17</v>
      </c>
      <c r="C698" s="157">
        <v>3.0</v>
      </c>
      <c r="D698" s="179"/>
      <c r="E698" s="159">
        <f t="shared" si="1"/>
        <v>3</v>
      </c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</row>
    <row r="699">
      <c r="A699" s="36"/>
      <c r="B699" s="156" t="s">
        <v>18</v>
      </c>
      <c r="C699" s="157">
        <v>4.0</v>
      </c>
      <c r="D699" s="179"/>
      <c r="E699" s="159">
        <f t="shared" si="1"/>
        <v>4</v>
      </c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</row>
    <row r="700">
      <c r="A700" s="36"/>
      <c r="B700" s="156" t="s">
        <v>19</v>
      </c>
      <c r="C700" s="157">
        <v>3.0</v>
      </c>
      <c r="D700" s="179"/>
      <c r="E700" s="159">
        <f t="shared" si="1"/>
        <v>3</v>
      </c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</row>
    <row r="701">
      <c r="A701" s="36"/>
      <c r="B701" s="156" t="s">
        <v>20</v>
      </c>
      <c r="C701" s="157">
        <v>0.0</v>
      </c>
      <c r="D701" s="179"/>
      <c r="E701" s="159">
        <f t="shared" si="1"/>
        <v>0</v>
      </c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</row>
    <row r="702">
      <c r="A702" s="36"/>
      <c r="B702" s="156" t="s">
        <v>21</v>
      </c>
      <c r="C702" s="157">
        <v>0.0</v>
      </c>
      <c r="D702" s="179"/>
      <c r="E702" s="159">
        <f t="shared" si="1"/>
        <v>0</v>
      </c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</row>
    <row r="703">
      <c r="A703" s="36"/>
      <c r="B703" s="156" t="s">
        <v>23</v>
      </c>
      <c r="C703" s="157">
        <v>0.0</v>
      </c>
      <c r="D703" s="179"/>
      <c r="E703" s="159">
        <f t="shared" si="1"/>
        <v>0</v>
      </c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</row>
    <row r="704">
      <c r="A704" s="36"/>
      <c r="B704" s="156" t="s">
        <v>24</v>
      </c>
      <c r="C704" s="157">
        <v>11.0</v>
      </c>
      <c r="D704" s="179"/>
      <c r="E704" s="159">
        <f t="shared" si="1"/>
        <v>11</v>
      </c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</row>
    <row r="705">
      <c r="A705" s="36"/>
      <c r="B705" s="156" t="s">
        <v>25</v>
      </c>
      <c r="C705" s="163">
        <v>13.0</v>
      </c>
      <c r="D705" s="180"/>
      <c r="E705" s="159">
        <f t="shared" si="1"/>
        <v>13</v>
      </c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</row>
    <row r="706">
      <c r="A706" s="36"/>
      <c r="B706" s="156" t="s">
        <v>26</v>
      </c>
      <c r="C706" s="163">
        <v>9.0</v>
      </c>
      <c r="D706" s="180"/>
      <c r="E706" s="159">
        <f t="shared" si="1"/>
        <v>9</v>
      </c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</row>
    <row r="707">
      <c r="A707" s="36"/>
      <c r="B707" s="156" t="s">
        <v>27</v>
      </c>
      <c r="C707" s="163">
        <v>24.0</v>
      </c>
      <c r="D707" s="180"/>
      <c r="E707" s="159">
        <f t="shared" si="1"/>
        <v>24</v>
      </c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</row>
    <row r="708">
      <c r="A708" s="36"/>
      <c r="B708" s="156" t="s">
        <v>28</v>
      </c>
      <c r="C708" s="163">
        <v>1.0</v>
      </c>
      <c r="D708" s="180"/>
      <c r="E708" s="159">
        <f t="shared" si="1"/>
        <v>1</v>
      </c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</row>
    <row r="709">
      <c r="A709" s="36"/>
      <c r="B709" s="165" t="s">
        <v>29</v>
      </c>
      <c r="C709" s="163">
        <v>1.0</v>
      </c>
      <c r="D709" s="180"/>
      <c r="E709" s="159">
        <f t="shared" si="1"/>
        <v>1</v>
      </c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</row>
    <row r="710">
      <c r="A710" s="36"/>
      <c r="B710" s="166" t="s">
        <v>30</v>
      </c>
      <c r="C710" s="163">
        <v>0.0</v>
      </c>
      <c r="D710" s="180"/>
      <c r="E710" s="159">
        <f t="shared" si="1"/>
        <v>0</v>
      </c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</row>
    <row r="711">
      <c r="A711" s="36"/>
      <c r="B711" s="167" t="s">
        <v>31</v>
      </c>
      <c r="C711" s="163">
        <v>0.0</v>
      </c>
      <c r="D711" s="180"/>
      <c r="E711" s="159">
        <f t="shared" si="1"/>
        <v>0</v>
      </c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</row>
    <row r="712">
      <c r="A712" s="36"/>
      <c r="B712" s="167" t="s">
        <v>32</v>
      </c>
      <c r="C712" s="163">
        <v>6.0</v>
      </c>
      <c r="D712" s="180"/>
      <c r="E712" s="159">
        <f t="shared" si="1"/>
        <v>6</v>
      </c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</row>
    <row r="713">
      <c r="A713" s="36"/>
      <c r="B713" s="167" t="s">
        <v>33</v>
      </c>
      <c r="C713" s="163">
        <v>0.0</v>
      </c>
      <c r="D713" s="180"/>
      <c r="E713" s="159">
        <f t="shared" si="1"/>
        <v>0</v>
      </c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</row>
    <row r="714">
      <c r="A714" s="91"/>
      <c r="B714" s="167" t="s">
        <v>34</v>
      </c>
      <c r="C714" s="163">
        <v>0.0</v>
      </c>
      <c r="D714" s="180"/>
      <c r="E714" s="159">
        <f t="shared" si="1"/>
        <v>0</v>
      </c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</row>
    <row r="715">
      <c r="A715" s="155">
        <v>46191.0</v>
      </c>
      <c r="B715" s="156" t="s">
        <v>4</v>
      </c>
      <c r="C715" s="157">
        <v>0.0</v>
      </c>
      <c r="D715" s="179"/>
      <c r="E715" s="159">
        <f t="shared" si="1"/>
        <v>0</v>
      </c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</row>
    <row r="716">
      <c r="A716" s="36"/>
      <c r="B716" s="156" t="s">
        <v>5</v>
      </c>
      <c r="C716" s="157">
        <v>0.0</v>
      </c>
      <c r="D716" s="179"/>
      <c r="E716" s="159">
        <f t="shared" si="1"/>
        <v>0</v>
      </c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</row>
    <row r="717">
      <c r="A717" s="36"/>
      <c r="B717" s="156" t="s">
        <v>6</v>
      </c>
      <c r="C717" s="157">
        <v>1.0</v>
      </c>
      <c r="D717" s="179"/>
      <c r="E717" s="159">
        <f t="shared" si="1"/>
        <v>1</v>
      </c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</row>
    <row r="718">
      <c r="A718" s="36"/>
      <c r="B718" s="156" t="s">
        <v>22</v>
      </c>
      <c r="C718" s="157">
        <v>1.0</v>
      </c>
      <c r="D718" s="179"/>
      <c r="E718" s="159">
        <f t="shared" si="1"/>
        <v>1</v>
      </c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</row>
    <row r="719">
      <c r="A719" s="36"/>
      <c r="B719" s="156" t="s">
        <v>7</v>
      </c>
      <c r="C719" s="157">
        <v>0.0</v>
      </c>
      <c r="D719" s="179"/>
      <c r="E719" s="159">
        <f t="shared" si="1"/>
        <v>0</v>
      </c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</row>
    <row r="720">
      <c r="A720" s="36"/>
      <c r="B720" s="162" t="s">
        <v>8</v>
      </c>
      <c r="C720" s="157">
        <v>2.0</v>
      </c>
      <c r="D720" s="179"/>
      <c r="E720" s="159">
        <f t="shared" si="1"/>
        <v>2</v>
      </c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</row>
    <row r="721">
      <c r="A721" s="36"/>
      <c r="B721" s="156" t="s">
        <v>9</v>
      </c>
      <c r="C721" s="157">
        <v>1.0</v>
      </c>
      <c r="D721" s="179"/>
      <c r="E721" s="159">
        <f t="shared" si="1"/>
        <v>1</v>
      </c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</row>
    <row r="722">
      <c r="A722" s="36"/>
      <c r="B722" s="156" t="s">
        <v>10</v>
      </c>
      <c r="C722" s="157">
        <v>0.0</v>
      </c>
      <c r="D722" s="179"/>
      <c r="E722" s="159">
        <f t="shared" si="1"/>
        <v>0</v>
      </c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</row>
    <row r="723">
      <c r="A723" s="36"/>
      <c r="B723" s="156" t="s">
        <v>11</v>
      </c>
      <c r="C723" s="157">
        <v>1.0</v>
      </c>
      <c r="D723" s="179"/>
      <c r="E723" s="159">
        <f t="shared" si="1"/>
        <v>1</v>
      </c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</row>
    <row r="724">
      <c r="A724" s="36"/>
      <c r="B724" s="162" t="s">
        <v>12</v>
      </c>
      <c r="C724" s="157">
        <v>15.0</v>
      </c>
      <c r="D724" s="179"/>
      <c r="E724" s="159">
        <f t="shared" si="1"/>
        <v>15</v>
      </c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</row>
    <row r="725">
      <c r="A725" s="36"/>
      <c r="B725" s="162" t="s">
        <v>13</v>
      </c>
      <c r="C725" s="157">
        <v>1.0</v>
      </c>
      <c r="D725" s="179"/>
      <c r="E725" s="159">
        <f t="shared" si="1"/>
        <v>1</v>
      </c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</row>
    <row r="726">
      <c r="A726" s="36"/>
      <c r="B726" s="162" t="s">
        <v>14</v>
      </c>
      <c r="C726" s="157">
        <v>1.0</v>
      </c>
      <c r="D726" s="179"/>
      <c r="E726" s="159">
        <f t="shared" si="1"/>
        <v>1</v>
      </c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</row>
    <row r="727">
      <c r="A727" s="36"/>
      <c r="B727" s="162" t="s">
        <v>15</v>
      </c>
      <c r="C727" s="157">
        <v>0.0</v>
      </c>
      <c r="D727" s="179"/>
      <c r="E727" s="159">
        <f t="shared" si="1"/>
        <v>0</v>
      </c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</row>
    <row r="728">
      <c r="A728" s="36"/>
      <c r="B728" s="162" t="s">
        <v>16</v>
      </c>
      <c r="C728" s="157">
        <v>0.0</v>
      </c>
      <c r="D728" s="179"/>
      <c r="E728" s="159">
        <f t="shared" si="1"/>
        <v>0</v>
      </c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</row>
    <row r="729">
      <c r="A729" s="36"/>
      <c r="B729" s="162" t="s">
        <v>17</v>
      </c>
      <c r="C729" s="157">
        <v>1.0</v>
      </c>
      <c r="D729" s="179"/>
      <c r="E729" s="159">
        <f t="shared" si="1"/>
        <v>1</v>
      </c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</row>
    <row r="730">
      <c r="A730" s="36"/>
      <c r="B730" s="156" t="s">
        <v>18</v>
      </c>
      <c r="C730" s="157">
        <v>2.0</v>
      </c>
      <c r="D730" s="179"/>
      <c r="E730" s="159">
        <f t="shared" si="1"/>
        <v>2</v>
      </c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</row>
    <row r="731">
      <c r="A731" s="36"/>
      <c r="B731" s="156" t="s">
        <v>19</v>
      </c>
      <c r="C731" s="157">
        <v>3.0</v>
      </c>
      <c r="D731" s="179"/>
      <c r="E731" s="159">
        <f t="shared" si="1"/>
        <v>3</v>
      </c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</row>
    <row r="732">
      <c r="A732" s="36"/>
      <c r="B732" s="156" t="s">
        <v>20</v>
      </c>
      <c r="C732" s="157">
        <v>0.0</v>
      </c>
      <c r="D732" s="179"/>
      <c r="E732" s="159">
        <f t="shared" si="1"/>
        <v>0</v>
      </c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</row>
    <row r="733">
      <c r="A733" s="36"/>
      <c r="B733" s="156" t="s">
        <v>21</v>
      </c>
      <c r="C733" s="157">
        <v>2.0</v>
      </c>
      <c r="D733" s="179"/>
      <c r="E733" s="159">
        <f t="shared" si="1"/>
        <v>2</v>
      </c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</row>
    <row r="734">
      <c r="A734" s="36"/>
      <c r="B734" s="156" t="s">
        <v>23</v>
      </c>
      <c r="C734" s="157">
        <v>0.0</v>
      </c>
      <c r="D734" s="179"/>
      <c r="E734" s="159">
        <f t="shared" si="1"/>
        <v>0</v>
      </c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</row>
    <row r="735">
      <c r="A735" s="36"/>
      <c r="B735" s="156" t="s">
        <v>24</v>
      </c>
      <c r="C735" s="157">
        <v>8.0</v>
      </c>
      <c r="D735" s="179"/>
      <c r="E735" s="159">
        <f t="shared" si="1"/>
        <v>8</v>
      </c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</row>
    <row r="736">
      <c r="A736" s="36"/>
      <c r="B736" s="156" t="s">
        <v>25</v>
      </c>
      <c r="C736" s="163">
        <v>6.0</v>
      </c>
      <c r="D736" s="180"/>
      <c r="E736" s="159">
        <f t="shared" si="1"/>
        <v>6</v>
      </c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</row>
    <row r="737">
      <c r="A737" s="36"/>
      <c r="B737" s="156" t="s">
        <v>26</v>
      </c>
      <c r="C737" s="163">
        <v>12.0</v>
      </c>
      <c r="D737" s="180"/>
      <c r="E737" s="159">
        <f t="shared" si="1"/>
        <v>12</v>
      </c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</row>
    <row r="738">
      <c r="A738" s="36"/>
      <c r="B738" s="156" t="s">
        <v>27</v>
      </c>
      <c r="C738" s="163">
        <v>22.0</v>
      </c>
      <c r="D738" s="180"/>
      <c r="E738" s="159">
        <f t="shared" si="1"/>
        <v>22</v>
      </c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</row>
    <row r="739">
      <c r="A739" s="36"/>
      <c r="B739" s="156" t="s">
        <v>28</v>
      </c>
      <c r="C739" s="163">
        <v>0.0</v>
      </c>
      <c r="D739" s="180"/>
      <c r="E739" s="159">
        <f t="shared" si="1"/>
        <v>0</v>
      </c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</row>
    <row r="740">
      <c r="A740" s="36"/>
      <c r="B740" s="165" t="s">
        <v>29</v>
      </c>
      <c r="C740" s="163">
        <v>0.0</v>
      </c>
      <c r="D740" s="180"/>
      <c r="E740" s="159">
        <f t="shared" si="1"/>
        <v>0</v>
      </c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</row>
    <row r="741">
      <c r="A741" s="36"/>
      <c r="B741" s="166" t="s">
        <v>30</v>
      </c>
      <c r="C741" s="163">
        <v>0.0</v>
      </c>
      <c r="D741" s="180"/>
      <c r="E741" s="159">
        <f t="shared" si="1"/>
        <v>0</v>
      </c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</row>
    <row r="742">
      <c r="A742" s="36"/>
      <c r="B742" s="167" t="s">
        <v>31</v>
      </c>
      <c r="C742" s="163">
        <v>0.0</v>
      </c>
      <c r="D742" s="180"/>
      <c r="E742" s="159">
        <f t="shared" si="1"/>
        <v>0</v>
      </c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</row>
    <row r="743">
      <c r="A743" s="36"/>
      <c r="B743" s="167" t="s">
        <v>32</v>
      </c>
      <c r="C743" s="163">
        <v>3.0</v>
      </c>
      <c r="D743" s="180"/>
      <c r="E743" s="159">
        <f t="shared" si="1"/>
        <v>3</v>
      </c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</row>
    <row r="744">
      <c r="A744" s="36"/>
      <c r="B744" s="167" t="s">
        <v>33</v>
      </c>
      <c r="C744" s="163">
        <v>0.0</v>
      </c>
      <c r="D744" s="180"/>
      <c r="E744" s="159">
        <f t="shared" si="1"/>
        <v>0</v>
      </c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</row>
    <row r="745">
      <c r="A745" s="91"/>
      <c r="B745" s="167" t="s">
        <v>34</v>
      </c>
      <c r="C745" s="163">
        <v>0.0</v>
      </c>
      <c r="D745" s="180"/>
      <c r="E745" s="159">
        <f t="shared" si="1"/>
        <v>0</v>
      </c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</row>
    <row r="746">
      <c r="A746" s="155">
        <v>46192.0</v>
      </c>
      <c r="B746" s="156" t="s">
        <v>4</v>
      </c>
      <c r="C746" s="157">
        <v>0.0</v>
      </c>
      <c r="D746" s="179"/>
      <c r="E746" s="159">
        <f t="shared" si="1"/>
        <v>0</v>
      </c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</row>
    <row r="747">
      <c r="A747" s="36"/>
      <c r="B747" s="156" t="s">
        <v>5</v>
      </c>
      <c r="C747" s="157">
        <v>0.0</v>
      </c>
      <c r="D747" s="179"/>
      <c r="E747" s="159">
        <f t="shared" si="1"/>
        <v>0</v>
      </c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</row>
    <row r="748">
      <c r="A748" s="36"/>
      <c r="B748" s="156" t="s">
        <v>6</v>
      </c>
      <c r="C748" s="157">
        <v>0.0</v>
      </c>
      <c r="D748" s="179"/>
      <c r="E748" s="159">
        <f t="shared" si="1"/>
        <v>0</v>
      </c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</row>
    <row r="749">
      <c r="A749" s="36"/>
      <c r="B749" s="156" t="s">
        <v>22</v>
      </c>
      <c r="C749" s="157">
        <v>0.0</v>
      </c>
      <c r="D749" s="179"/>
      <c r="E749" s="159">
        <f t="shared" si="1"/>
        <v>0</v>
      </c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</row>
    <row r="750">
      <c r="A750" s="36"/>
      <c r="B750" s="156" t="s">
        <v>7</v>
      </c>
      <c r="C750" s="157">
        <v>2.0</v>
      </c>
      <c r="D750" s="179"/>
      <c r="E750" s="159">
        <f t="shared" si="1"/>
        <v>2</v>
      </c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</row>
    <row r="751">
      <c r="A751" s="36"/>
      <c r="B751" s="162" t="s">
        <v>8</v>
      </c>
      <c r="C751" s="157">
        <v>0.0</v>
      </c>
      <c r="D751" s="179"/>
      <c r="E751" s="159">
        <f t="shared" si="1"/>
        <v>0</v>
      </c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</row>
    <row r="752">
      <c r="A752" s="36"/>
      <c r="B752" s="156" t="s">
        <v>9</v>
      </c>
      <c r="C752" s="157">
        <v>1.0</v>
      </c>
      <c r="D752" s="179"/>
      <c r="E752" s="159">
        <f t="shared" si="1"/>
        <v>1</v>
      </c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</row>
    <row r="753">
      <c r="A753" s="36"/>
      <c r="B753" s="156" t="s">
        <v>10</v>
      </c>
      <c r="C753" s="157">
        <v>0.0</v>
      </c>
      <c r="D753" s="179"/>
      <c r="E753" s="159">
        <f t="shared" si="1"/>
        <v>0</v>
      </c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</row>
    <row r="754">
      <c r="A754" s="36"/>
      <c r="B754" s="156" t="s">
        <v>11</v>
      </c>
      <c r="C754" s="157">
        <v>0.0</v>
      </c>
      <c r="D754" s="179"/>
      <c r="E754" s="159">
        <f t="shared" si="1"/>
        <v>0</v>
      </c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</row>
    <row r="755">
      <c r="A755" s="36"/>
      <c r="B755" s="162" t="s">
        <v>12</v>
      </c>
      <c r="C755" s="157">
        <v>10.0</v>
      </c>
      <c r="D755" s="179"/>
      <c r="E755" s="159">
        <f t="shared" si="1"/>
        <v>10</v>
      </c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</row>
    <row r="756">
      <c r="A756" s="36"/>
      <c r="B756" s="162" t="s">
        <v>13</v>
      </c>
      <c r="C756" s="157">
        <v>0.0</v>
      </c>
      <c r="D756" s="179"/>
      <c r="E756" s="159">
        <f t="shared" si="1"/>
        <v>0</v>
      </c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</row>
    <row r="757">
      <c r="A757" s="36"/>
      <c r="B757" s="162" t="s">
        <v>14</v>
      </c>
      <c r="C757" s="157">
        <v>0.0</v>
      </c>
      <c r="D757" s="179"/>
      <c r="E757" s="159">
        <f t="shared" si="1"/>
        <v>0</v>
      </c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</row>
    <row r="758">
      <c r="A758" s="36"/>
      <c r="B758" s="162" t="s">
        <v>15</v>
      </c>
      <c r="C758" s="157">
        <v>0.0</v>
      </c>
      <c r="D758" s="179"/>
      <c r="E758" s="159">
        <f t="shared" si="1"/>
        <v>0</v>
      </c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</row>
    <row r="759">
      <c r="A759" s="36"/>
      <c r="B759" s="162" t="s">
        <v>16</v>
      </c>
      <c r="C759" s="157">
        <v>0.0</v>
      </c>
      <c r="D759" s="179"/>
      <c r="E759" s="159">
        <f t="shared" si="1"/>
        <v>0</v>
      </c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</row>
    <row r="760">
      <c r="A760" s="36"/>
      <c r="B760" s="162" t="s">
        <v>17</v>
      </c>
      <c r="C760" s="157">
        <v>0.0</v>
      </c>
      <c r="D760" s="179"/>
      <c r="E760" s="159">
        <f t="shared" si="1"/>
        <v>0</v>
      </c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</row>
    <row r="761">
      <c r="A761" s="36"/>
      <c r="B761" s="156" t="s">
        <v>18</v>
      </c>
      <c r="C761" s="157">
        <v>2.0</v>
      </c>
      <c r="D761" s="179"/>
      <c r="E761" s="159">
        <f t="shared" si="1"/>
        <v>2</v>
      </c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</row>
    <row r="762">
      <c r="A762" s="36"/>
      <c r="B762" s="156" t="s">
        <v>19</v>
      </c>
      <c r="C762" s="157">
        <v>0.0</v>
      </c>
      <c r="D762" s="179"/>
      <c r="E762" s="159">
        <f t="shared" si="1"/>
        <v>0</v>
      </c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</row>
    <row r="763">
      <c r="A763" s="36"/>
      <c r="B763" s="156" t="s">
        <v>20</v>
      </c>
      <c r="C763" s="157">
        <v>0.0</v>
      </c>
      <c r="D763" s="179"/>
      <c r="E763" s="159">
        <f t="shared" si="1"/>
        <v>0</v>
      </c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</row>
    <row r="764">
      <c r="A764" s="36"/>
      <c r="B764" s="156" t="s">
        <v>21</v>
      </c>
      <c r="C764" s="157">
        <v>0.0</v>
      </c>
      <c r="D764" s="179"/>
      <c r="E764" s="159">
        <f t="shared" si="1"/>
        <v>0</v>
      </c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</row>
    <row r="765">
      <c r="A765" s="36"/>
      <c r="B765" s="156" t="s">
        <v>23</v>
      </c>
      <c r="C765" s="157">
        <v>0.0</v>
      </c>
      <c r="D765" s="179"/>
      <c r="E765" s="159">
        <f t="shared" si="1"/>
        <v>0</v>
      </c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</row>
    <row r="766">
      <c r="A766" s="36"/>
      <c r="B766" s="156" t="s">
        <v>24</v>
      </c>
      <c r="C766" s="157">
        <v>6.0</v>
      </c>
      <c r="D766" s="179"/>
      <c r="E766" s="159">
        <f t="shared" si="1"/>
        <v>6</v>
      </c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</row>
    <row r="767">
      <c r="A767" s="36"/>
      <c r="B767" s="156" t="s">
        <v>25</v>
      </c>
      <c r="C767" s="163">
        <v>10.0</v>
      </c>
      <c r="D767" s="180"/>
      <c r="E767" s="159">
        <f t="shared" si="1"/>
        <v>10</v>
      </c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</row>
    <row r="768">
      <c r="A768" s="36"/>
      <c r="B768" s="156" t="s">
        <v>26</v>
      </c>
      <c r="C768" s="163">
        <v>9.0</v>
      </c>
      <c r="D768" s="180"/>
      <c r="E768" s="159">
        <f t="shared" si="1"/>
        <v>9</v>
      </c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</row>
    <row r="769">
      <c r="A769" s="36"/>
      <c r="B769" s="156" t="s">
        <v>27</v>
      </c>
      <c r="C769" s="163">
        <v>12.0</v>
      </c>
      <c r="D769" s="180"/>
      <c r="E769" s="159">
        <f t="shared" si="1"/>
        <v>12</v>
      </c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</row>
    <row r="770">
      <c r="A770" s="36"/>
      <c r="B770" s="156" t="s">
        <v>28</v>
      </c>
      <c r="C770" s="163">
        <v>0.0</v>
      </c>
      <c r="D770" s="180"/>
      <c r="E770" s="159">
        <f t="shared" si="1"/>
        <v>0</v>
      </c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</row>
    <row r="771">
      <c r="A771" s="36"/>
      <c r="B771" s="165" t="s">
        <v>29</v>
      </c>
      <c r="C771" s="163">
        <v>0.0</v>
      </c>
      <c r="D771" s="180"/>
      <c r="E771" s="159">
        <f t="shared" si="1"/>
        <v>0</v>
      </c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</row>
    <row r="772">
      <c r="A772" s="36"/>
      <c r="B772" s="166" t="s">
        <v>30</v>
      </c>
      <c r="C772" s="163">
        <v>0.0</v>
      </c>
      <c r="D772" s="180"/>
      <c r="E772" s="159">
        <f t="shared" si="1"/>
        <v>0</v>
      </c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</row>
    <row r="773">
      <c r="A773" s="36"/>
      <c r="B773" s="167" t="s">
        <v>31</v>
      </c>
      <c r="C773" s="163">
        <v>0.0</v>
      </c>
      <c r="D773" s="180"/>
      <c r="E773" s="159">
        <f t="shared" si="1"/>
        <v>0</v>
      </c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</row>
    <row r="774">
      <c r="A774" s="36"/>
      <c r="B774" s="167" t="s">
        <v>32</v>
      </c>
      <c r="C774" s="163">
        <v>3.0</v>
      </c>
      <c r="D774" s="180"/>
      <c r="E774" s="159">
        <f t="shared" si="1"/>
        <v>3</v>
      </c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</row>
    <row r="775">
      <c r="A775" s="36"/>
      <c r="B775" s="167" t="s">
        <v>33</v>
      </c>
      <c r="C775" s="163">
        <v>0.0</v>
      </c>
      <c r="D775" s="180"/>
      <c r="E775" s="159">
        <f t="shared" si="1"/>
        <v>0</v>
      </c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</row>
    <row r="776">
      <c r="A776" s="91"/>
      <c r="B776" s="167" t="s">
        <v>34</v>
      </c>
      <c r="C776" s="163">
        <v>0.0</v>
      </c>
      <c r="D776" s="180"/>
      <c r="E776" s="159">
        <f t="shared" si="1"/>
        <v>0</v>
      </c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</row>
    <row r="777">
      <c r="A777" s="155">
        <v>46193.0</v>
      </c>
      <c r="B777" s="156" t="s">
        <v>4</v>
      </c>
      <c r="C777" s="157">
        <v>1.0</v>
      </c>
      <c r="D777" s="179"/>
      <c r="E777" s="159">
        <f t="shared" si="1"/>
        <v>1</v>
      </c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</row>
    <row r="778">
      <c r="A778" s="36"/>
      <c r="B778" s="156" t="s">
        <v>5</v>
      </c>
      <c r="C778" s="157">
        <v>0.0</v>
      </c>
      <c r="D778" s="179"/>
      <c r="E778" s="159">
        <f t="shared" si="1"/>
        <v>0</v>
      </c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</row>
    <row r="779">
      <c r="A779" s="36"/>
      <c r="B779" s="156" t="s">
        <v>6</v>
      </c>
      <c r="C779" s="157">
        <v>0.0</v>
      </c>
      <c r="D779" s="179"/>
      <c r="E779" s="159">
        <f t="shared" si="1"/>
        <v>0</v>
      </c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</row>
    <row r="780">
      <c r="A780" s="36"/>
      <c r="B780" s="156" t="s">
        <v>22</v>
      </c>
      <c r="C780" s="157">
        <v>0.0</v>
      </c>
      <c r="D780" s="179"/>
      <c r="E780" s="159">
        <f t="shared" si="1"/>
        <v>0</v>
      </c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</row>
    <row r="781">
      <c r="A781" s="36"/>
      <c r="B781" s="156" t="s">
        <v>7</v>
      </c>
      <c r="C781" s="157">
        <v>2.0</v>
      </c>
      <c r="D781" s="179"/>
      <c r="E781" s="159">
        <f t="shared" si="1"/>
        <v>2</v>
      </c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</row>
    <row r="782">
      <c r="A782" s="36"/>
      <c r="B782" s="162" t="s">
        <v>8</v>
      </c>
      <c r="C782" s="157">
        <v>1.0</v>
      </c>
      <c r="D782" s="179"/>
      <c r="E782" s="159">
        <f t="shared" si="1"/>
        <v>1</v>
      </c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</row>
    <row r="783">
      <c r="A783" s="36"/>
      <c r="B783" s="156" t="s">
        <v>9</v>
      </c>
      <c r="C783" s="157">
        <v>6.0</v>
      </c>
      <c r="D783" s="179"/>
      <c r="E783" s="159">
        <f t="shared" si="1"/>
        <v>6</v>
      </c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</row>
    <row r="784">
      <c r="A784" s="36"/>
      <c r="B784" s="156" t="s">
        <v>10</v>
      </c>
      <c r="C784" s="157">
        <v>1.0</v>
      </c>
      <c r="D784" s="179"/>
      <c r="E784" s="159">
        <f t="shared" si="1"/>
        <v>1</v>
      </c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</row>
    <row r="785">
      <c r="A785" s="36"/>
      <c r="B785" s="156" t="s">
        <v>11</v>
      </c>
      <c r="C785" s="157">
        <v>1.0</v>
      </c>
      <c r="D785" s="179"/>
      <c r="E785" s="159">
        <f t="shared" si="1"/>
        <v>1</v>
      </c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</row>
    <row r="786">
      <c r="A786" s="36"/>
      <c r="B786" s="162" t="s">
        <v>12</v>
      </c>
      <c r="C786" s="157">
        <v>10.0</v>
      </c>
      <c r="D786" s="179"/>
      <c r="E786" s="159">
        <f t="shared" si="1"/>
        <v>10</v>
      </c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</row>
    <row r="787">
      <c r="A787" s="36"/>
      <c r="B787" s="162" t="s">
        <v>13</v>
      </c>
      <c r="C787" s="157">
        <v>0.0</v>
      </c>
      <c r="D787" s="179"/>
      <c r="E787" s="159">
        <f t="shared" si="1"/>
        <v>0</v>
      </c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</row>
    <row r="788">
      <c r="A788" s="36"/>
      <c r="B788" s="162" t="s">
        <v>14</v>
      </c>
      <c r="C788" s="157">
        <v>0.0</v>
      </c>
      <c r="D788" s="179"/>
      <c r="E788" s="159">
        <f t="shared" si="1"/>
        <v>0</v>
      </c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</row>
    <row r="789">
      <c r="A789" s="36"/>
      <c r="B789" s="162" t="s">
        <v>15</v>
      </c>
      <c r="C789" s="157">
        <v>0.0</v>
      </c>
      <c r="D789" s="179"/>
      <c r="E789" s="159">
        <f t="shared" si="1"/>
        <v>0</v>
      </c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</row>
    <row r="790">
      <c r="A790" s="36"/>
      <c r="B790" s="162" t="s">
        <v>16</v>
      </c>
      <c r="C790" s="157">
        <v>0.0</v>
      </c>
      <c r="D790" s="179"/>
      <c r="E790" s="159">
        <f t="shared" si="1"/>
        <v>0</v>
      </c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</row>
    <row r="791">
      <c r="A791" s="36"/>
      <c r="B791" s="162" t="s">
        <v>17</v>
      </c>
      <c r="C791" s="157">
        <v>2.0</v>
      </c>
      <c r="D791" s="179"/>
      <c r="E791" s="159">
        <f t="shared" si="1"/>
        <v>2</v>
      </c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</row>
    <row r="792">
      <c r="A792" s="36"/>
      <c r="B792" s="156" t="s">
        <v>18</v>
      </c>
      <c r="C792" s="157">
        <v>4.0</v>
      </c>
      <c r="D792" s="179"/>
      <c r="E792" s="159">
        <f t="shared" si="1"/>
        <v>4</v>
      </c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</row>
    <row r="793">
      <c r="A793" s="36"/>
      <c r="B793" s="156" t="s">
        <v>19</v>
      </c>
      <c r="C793" s="157">
        <v>3.0</v>
      </c>
      <c r="D793" s="179"/>
      <c r="E793" s="159">
        <f t="shared" si="1"/>
        <v>3</v>
      </c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</row>
    <row r="794">
      <c r="A794" s="36"/>
      <c r="B794" s="156" t="s">
        <v>20</v>
      </c>
      <c r="C794" s="157">
        <v>1.0</v>
      </c>
      <c r="D794" s="179"/>
      <c r="E794" s="159">
        <f t="shared" si="1"/>
        <v>1</v>
      </c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</row>
    <row r="795">
      <c r="A795" s="36"/>
      <c r="B795" s="156" t="s">
        <v>21</v>
      </c>
      <c r="C795" s="157">
        <v>1.0</v>
      </c>
      <c r="D795" s="179"/>
      <c r="E795" s="159">
        <f t="shared" si="1"/>
        <v>1</v>
      </c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</row>
    <row r="796">
      <c r="A796" s="36"/>
      <c r="B796" s="156" t="s">
        <v>23</v>
      </c>
      <c r="C796" s="157">
        <v>0.0</v>
      </c>
      <c r="D796" s="179"/>
      <c r="E796" s="159">
        <f t="shared" si="1"/>
        <v>0</v>
      </c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</row>
    <row r="797">
      <c r="A797" s="36"/>
      <c r="B797" s="156" t="s">
        <v>24</v>
      </c>
      <c r="C797" s="157">
        <v>10.0</v>
      </c>
      <c r="D797" s="179"/>
      <c r="E797" s="159">
        <f t="shared" si="1"/>
        <v>10</v>
      </c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</row>
    <row r="798">
      <c r="A798" s="36"/>
      <c r="B798" s="156" t="s">
        <v>25</v>
      </c>
      <c r="C798" s="163">
        <v>2.0</v>
      </c>
      <c r="D798" s="180"/>
      <c r="E798" s="159">
        <f t="shared" si="1"/>
        <v>2</v>
      </c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</row>
    <row r="799">
      <c r="A799" s="36"/>
      <c r="B799" s="156" t="s">
        <v>26</v>
      </c>
      <c r="C799" s="163">
        <v>9.0</v>
      </c>
      <c r="D799" s="180"/>
      <c r="E799" s="159">
        <f t="shared" si="1"/>
        <v>9</v>
      </c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</row>
    <row r="800">
      <c r="A800" s="36"/>
      <c r="B800" s="156" t="s">
        <v>27</v>
      </c>
      <c r="C800" s="163">
        <v>23.0</v>
      </c>
      <c r="D800" s="180"/>
      <c r="E800" s="159">
        <f t="shared" si="1"/>
        <v>23</v>
      </c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</row>
    <row r="801">
      <c r="A801" s="36"/>
      <c r="B801" s="156" t="s">
        <v>28</v>
      </c>
      <c r="C801" s="163">
        <v>0.0</v>
      </c>
      <c r="D801" s="180"/>
      <c r="E801" s="159">
        <f t="shared" si="1"/>
        <v>0</v>
      </c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</row>
    <row r="802">
      <c r="A802" s="36"/>
      <c r="B802" s="165" t="s">
        <v>29</v>
      </c>
      <c r="C802" s="163">
        <v>0.0</v>
      </c>
      <c r="D802" s="180"/>
      <c r="E802" s="159">
        <f t="shared" si="1"/>
        <v>0</v>
      </c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</row>
    <row r="803">
      <c r="A803" s="36"/>
      <c r="B803" s="166" t="s">
        <v>30</v>
      </c>
      <c r="C803" s="163">
        <v>8.0</v>
      </c>
      <c r="D803" s="180"/>
      <c r="E803" s="159">
        <f t="shared" si="1"/>
        <v>8</v>
      </c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</row>
    <row r="804">
      <c r="A804" s="36"/>
      <c r="B804" s="167" t="s">
        <v>31</v>
      </c>
      <c r="C804" s="163">
        <v>2.0</v>
      </c>
      <c r="D804" s="180"/>
      <c r="E804" s="159">
        <f t="shared" si="1"/>
        <v>2</v>
      </c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</row>
    <row r="805">
      <c r="A805" s="36"/>
      <c r="B805" s="167" t="s">
        <v>32</v>
      </c>
      <c r="C805" s="163">
        <v>0.0</v>
      </c>
      <c r="D805" s="180"/>
      <c r="E805" s="159">
        <f t="shared" si="1"/>
        <v>0</v>
      </c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</row>
    <row r="806">
      <c r="A806" s="36"/>
      <c r="B806" s="167" t="s">
        <v>33</v>
      </c>
      <c r="C806" s="163">
        <v>0.0</v>
      </c>
      <c r="D806" s="180"/>
      <c r="E806" s="159">
        <f t="shared" si="1"/>
        <v>0</v>
      </c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</row>
    <row r="807">
      <c r="A807" s="91"/>
      <c r="B807" s="167" t="s">
        <v>34</v>
      </c>
      <c r="C807" s="163">
        <v>1.0</v>
      </c>
      <c r="D807" s="180"/>
      <c r="E807" s="159">
        <f t="shared" si="1"/>
        <v>1</v>
      </c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</row>
    <row r="808">
      <c r="A808" s="155">
        <v>46194.0</v>
      </c>
      <c r="B808" s="156" t="s">
        <v>4</v>
      </c>
      <c r="C808" s="157">
        <v>0.0</v>
      </c>
      <c r="D808" s="157">
        <v>1.0</v>
      </c>
      <c r="E808" s="159">
        <f t="shared" si="1"/>
        <v>1</v>
      </c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</row>
    <row r="809">
      <c r="A809" s="36"/>
      <c r="B809" s="156" t="s">
        <v>5</v>
      </c>
      <c r="C809" s="157">
        <v>0.0</v>
      </c>
      <c r="D809" s="157">
        <v>0.0</v>
      </c>
      <c r="E809" s="159">
        <f t="shared" si="1"/>
        <v>0</v>
      </c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</row>
    <row r="810">
      <c r="A810" s="36"/>
      <c r="B810" s="156" t="s">
        <v>6</v>
      </c>
      <c r="C810" s="157">
        <v>0.0</v>
      </c>
      <c r="D810" s="157">
        <v>0.0</v>
      </c>
      <c r="E810" s="159">
        <f t="shared" si="1"/>
        <v>0</v>
      </c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</row>
    <row r="811">
      <c r="A811" s="36"/>
      <c r="B811" s="156" t="s">
        <v>22</v>
      </c>
      <c r="C811" s="157">
        <v>0.0</v>
      </c>
      <c r="D811" s="157">
        <v>0.0</v>
      </c>
      <c r="E811" s="159">
        <f t="shared" si="1"/>
        <v>0</v>
      </c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</row>
    <row r="812">
      <c r="A812" s="36"/>
      <c r="B812" s="156" t="s">
        <v>7</v>
      </c>
      <c r="C812" s="157">
        <v>0.0</v>
      </c>
      <c r="D812" s="157">
        <v>0.0</v>
      </c>
      <c r="E812" s="159">
        <f t="shared" si="1"/>
        <v>0</v>
      </c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</row>
    <row r="813">
      <c r="A813" s="36"/>
      <c r="B813" s="162" t="s">
        <v>8</v>
      </c>
      <c r="C813" s="157">
        <v>1.0</v>
      </c>
      <c r="D813" s="157">
        <v>0.0</v>
      </c>
      <c r="E813" s="159">
        <f t="shared" si="1"/>
        <v>1</v>
      </c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</row>
    <row r="814">
      <c r="A814" s="36"/>
      <c r="B814" s="156" t="s">
        <v>9</v>
      </c>
      <c r="C814" s="157">
        <v>5.0</v>
      </c>
      <c r="D814" s="157">
        <v>0.0</v>
      </c>
      <c r="E814" s="159">
        <f t="shared" si="1"/>
        <v>5</v>
      </c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</row>
    <row r="815">
      <c r="A815" s="36"/>
      <c r="B815" s="156" t="s">
        <v>10</v>
      </c>
      <c r="C815" s="157">
        <v>0.0</v>
      </c>
      <c r="D815" s="157">
        <v>0.0</v>
      </c>
      <c r="E815" s="159">
        <f t="shared" si="1"/>
        <v>0</v>
      </c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</row>
    <row r="816">
      <c r="A816" s="36"/>
      <c r="B816" s="156" t="s">
        <v>11</v>
      </c>
      <c r="C816" s="157">
        <v>1.0</v>
      </c>
      <c r="D816" s="157">
        <v>0.0</v>
      </c>
      <c r="E816" s="159">
        <f t="shared" si="1"/>
        <v>1</v>
      </c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</row>
    <row r="817">
      <c r="A817" s="36"/>
      <c r="B817" s="162" t="s">
        <v>12</v>
      </c>
      <c r="C817" s="157">
        <v>46.0</v>
      </c>
      <c r="D817" s="157">
        <v>0.0</v>
      </c>
      <c r="E817" s="159">
        <f t="shared" si="1"/>
        <v>46</v>
      </c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</row>
    <row r="818">
      <c r="A818" s="36"/>
      <c r="B818" s="162" t="s">
        <v>13</v>
      </c>
      <c r="C818" s="157">
        <v>0.0</v>
      </c>
      <c r="D818" s="157">
        <v>0.0</v>
      </c>
      <c r="E818" s="159">
        <f t="shared" si="1"/>
        <v>0</v>
      </c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</row>
    <row r="819">
      <c r="A819" s="36"/>
      <c r="B819" s="162" t="s">
        <v>14</v>
      </c>
      <c r="C819" s="157">
        <v>1.0</v>
      </c>
      <c r="D819" s="157">
        <v>0.0</v>
      </c>
      <c r="E819" s="159">
        <f t="shared" si="1"/>
        <v>1</v>
      </c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</row>
    <row r="820">
      <c r="A820" s="36"/>
      <c r="B820" s="162" t="s">
        <v>15</v>
      </c>
      <c r="C820" s="157">
        <v>2.0</v>
      </c>
      <c r="D820" s="157">
        <v>0.0</v>
      </c>
      <c r="E820" s="159">
        <f t="shared" si="1"/>
        <v>2</v>
      </c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</row>
    <row r="821">
      <c r="A821" s="36"/>
      <c r="B821" s="162" t="s">
        <v>16</v>
      </c>
      <c r="C821" s="157">
        <v>0.0</v>
      </c>
      <c r="D821" s="157">
        <v>0.0</v>
      </c>
      <c r="E821" s="159">
        <f t="shared" si="1"/>
        <v>0</v>
      </c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</row>
    <row r="822">
      <c r="A822" s="36"/>
      <c r="B822" s="162" t="s">
        <v>17</v>
      </c>
      <c r="C822" s="157">
        <v>1.0</v>
      </c>
      <c r="D822" s="157">
        <v>0.0</v>
      </c>
      <c r="E822" s="159">
        <f t="shared" si="1"/>
        <v>1</v>
      </c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</row>
    <row r="823">
      <c r="A823" s="36"/>
      <c r="B823" s="156" t="s">
        <v>18</v>
      </c>
      <c r="C823" s="157">
        <v>5.0</v>
      </c>
      <c r="D823" s="157">
        <v>0.0</v>
      </c>
      <c r="E823" s="159">
        <f t="shared" si="1"/>
        <v>5</v>
      </c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</row>
    <row r="824">
      <c r="A824" s="36"/>
      <c r="B824" s="156" t="s">
        <v>19</v>
      </c>
      <c r="C824" s="157">
        <v>7.0</v>
      </c>
      <c r="D824" s="157">
        <v>0.0</v>
      </c>
      <c r="E824" s="159">
        <f t="shared" si="1"/>
        <v>7</v>
      </c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</row>
    <row r="825">
      <c r="A825" s="36"/>
      <c r="B825" s="156" t="s">
        <v>20</v>
      </c>
      <c r="C825" s="157">
        <v>1.0</v>
      </c>
      <c r="D825" s="157">
        <v>0.0</v>
      </c>
      <c r="E825" s="159">
        <f t="shared" si="1"/>
        <v>1</v>
      </c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</row>
    <row r="826">
      <c r="A826" s="36"/>
      <c r="B826" s="156" t="s">
        <v>21</v>
      </c>
      <c r="C826" s="157">
        <v>2.0</v>
      </c>
      <c r="D826" s="157">
        <v>0.0</v>
      </c>
      <c r="E826" s="159">
        <f t="shared" si="1"/>
        <v>2</v>
      </c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</row>
    <row r="827">
      <c r="A827" s="36"/>
      <c r="B827" s="156" t="s">
        <v>23</v>
      </c>
      <c r="C827" s="157">
        <v>1.0</v>
      </c>
      <c r="D827" s="157">
        <v>0.0</v>
      </c>
      <c r="E827" s="159">
        <f t="shared" si="1"/>
        <v>1</v>
      </c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</row>
    <row r="828">
      <c r="A828" s="36"/>
      <c r="B828" s="156" t="s">
        <v>24</v>
      </c>
      <c r="C828" s="157">
        <v>45.0</v>
      </c>
      <c r="D828" s="157">
        <v>0.0</v>
      </c>
      <c r="E828" s="159">
        <f t="shared" si="1"/>
        <v>45</v>
      </c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</row>
    <row r="829">
      <c r="A829" s="36"/>
      <c r="B829" s="156" t="s">
        <v>25</v>
      </c>
      <c r="C829" s="163">
        <v>48.0</v>
      </c>
      <c r="D829" s="163">
        <v>0.0</v>
      </c>
      <c r="E829" s="159">
        <f t="shared" si="1"/>
        <v>48</v>
      </c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</row>
    <row r="830">
      <c r="A830" s="36"/>
      <c r="B830" s="156" t="s">
        <v>26</v>
      </c>
      <c r="C830" s="163">
        <v>46.0</v>
      </c>
      <c r="D830" s="163">
        <v>0.0</v>
      </c>
      <c r="E830" s="159">
        <f t="shared" si="1"/>
        <v>46</v>
      </c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</row>
    <row r="831">
      <c r="A831" s="36"/>
      <c r="B831" s="156" t="s">
        <v>27</v>
      </c>
      <c r="C831" s="163">
        <v>51.0</v>
      </c>
      <c r="D831" s="163">
        <v>0.0</v>
      </c>
      <c r="E831" s="159">
        <f t="shared" si="1"/>
        <v>51</v>
      </c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</row>
    <row r="832">
      <c r="A832" s="36"/>
      <c r="B832" s="156" t="s">
        <v>28</v>
      </c>
      <c r="C832" s="163">
        <v>0.0</v>
      </c>
      <c r="D832" s="163">
        <v>0.0</v>
      </c>
      <c r="E832" s="159">
        <f t="shared" si="1"/>
        <v>0</v>
      </c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</row>
    <row r="833">
      <c r="A833" s="36"/>
      <c r="B833" s="165" t="s">
        <v>29</v>
      </c>
      <c r="C833" s="163">
        <v>0.0</v>
      </c>
      <c r="D833" s="163">
        <v>0.0</v>
      </c>
      <c r="E833" s="159">
        <f t="shared" si="1"/>
        <v>0</v>
      </c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</row>
    <row r="834">
      <c r="A834" s="36"/>
      <c r="B834" s="166" t="s">
        <v>30</v>
      </c>
      <c r="C834" s="163">
        <v>0.0</v>
      </c>
      <c r="D834" s="163">
        <v>0.0</v>
      </c>
      <c r="E834" s="159">
        <f t="shared" si="1"/>
        <v>0</v>
      </c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</row>
    <row r="835">
      <c r="A835" s="36"/>
      <c r="B835" s="167" t="s">
        <v>31</v>
      </c>
      <c r="C835" s="163">
        <v>0.0</v>
      </c>
      <c r="D835" s="163">
        <v>0.0</v>
      </c>
      <c r="E835" s="159">
        <f t="shared" si="1"/>
        <v>0</v>
      </c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</row>
    <row r="836">
      <c r="A836" s="36"/>
      <c r="B836" s="167" t="s">
        <v>32</v>
      </c>
      <c r="C836" s="163">
        <v>0.0</v>
      </c>
      <c r="D836" s="163">
        <v>0.0</v>
      </c>
      <c r="E836" s="159">
        <f t="shared" si="1"/>
        <v>0</v>
      </c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</row>
    <row r="837">
      <c r="A837" s="36"/>
      <c r="B837" s="167" t="s">
        <v>33</v>
      </c>
      <c r="C837" s="163">
        <v>0.0</v>
      </c>
      <c r="D837" s="163">
        <v>0.0</v>
      </c>
      <c r="E837" s="159">
        <f t="shared" si="1"/>
        <v>0</v>
      </c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</row>
    <row r="838">
      <c r="A838" s="91"/>
      <c r="B838" s="167" t="s">
        <v>34</v>
      </c>
      <c r="C838" s="163">
        <v>0.0</v>
      </c>
      <c r="D838" s="163">
        <v>0.0</v>
      </c>
      <c r="E838" s="159">
        <f t="shared" si="1"/>
        <v>0</v>
      </c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</row>
    <row r="839">
      <c r="A839" s="155">
        <v>46195.0</v>
      </c>
      <c r="B839" s="156" t="s">
        <v>4</v>
      </c>
      <c r="C839" s="157">
        <v>0.0</v>
      </c>
      <c r="D839" s="179"/>
      <c r="E839" s="159">
        <f t="shared" si="1"/>
        <v>0</v>
      </c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</row>
    <row r="840">
      <c r="A840" s="36"/>
      <c r="B840" s="156" t="s">
        <v>5</v>
      </c>
      <c r="C840" s="157">
        <v>0.0</v>
      </c>
      <c r="D840" s="179"/>
      <c r="E840" s="159">
        <f t="shared" si="1"/>
        <v>0</v>
      </c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</row>
    <row r="841">
      <c r="A841" s="36"/>
      <c r="B841" s="156" t="s">
        <v>6</v>
      </c>
      <c r="C841" s="157">
        <v>0.0</v>
      </c>
      <c r="D841" s="179"/>
      <c r="E841" s="159">
        <f t="shared" si="1"/>
        <v>0</v>
      </c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</row>
    <row r="842">
      <c r="A842" s="36"/>
      <c r="B842" s="156" t="s">
        <v>22</v>
      </c>
      <c r="C842" s="157">
        <v>0.0</v>
      </c>
      <c r="D842" s="179"/>
      <c r="E842" s="159">
        <f t="shared" si="1"/>
        <v>0</v>
      </c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</row>
    <row r="843">
      <c r="A843" s="36"/>
      <c r="B843" s="156" t="s">
        <v>7</v>
      </c>
      <c r="C843" s="157">
        <v>0.0</v>
      </c>
      <c r="D843" s="179"/>
      <c r="E843" s="159">
        <f t="shared" si="1"/>
        <v>0</v>
      </c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</row>
    <row r="844">
      <c r="A844" s="36"/>
      <c r="B844" s="162" t="s">
        <v>8</v>
      </c>
      <c r="C844" s="157">
        <v>2.0</v>
      </c>
      <c r="D844" s="179"/>
      <c r="E844" s="159">
        <f t="shared" si="1"/>
        <v>2</v>
      </c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</row>
    <row r="845">
      <c r="A845" s="36"/>
      <c r="B845" s="156" t="s">
        <v>9</v>
      </c>
      <c r="C845" s="157">
        <v>7.0</v>
      </c>
      <c r="D845" s="179"/>
      <c r="E845" s="159">
        <f t="shared" si="1"/>
        <v>7</v>
      </c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</row>
    <row r="846">
      <c r="A846" s="36"/>
      <c r="B846" s="156" t="s">
        <v>10</v>
      </c>
      <c r="C846" s="157">
        <v>1.0</v>
      </c>
      <c r="D846" s="179"/>
      <c r="E846" s="159">
        <f t="shared" si="1"/>
        <v>1</v>
      </c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</row>
    <row r="847">
      <c r="A847" s="36"/>
      <c r="B847" s="156" t="s">
        <v>11</v>
      </c>
      <c r="C847" s="157">
        <v>6.0</v>
      </c>
      <c r="D847" s="179"/>
      <c r="E847" s="159">
        <f t="shared" si="1"/>
        <v>6</v>
      </c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</row>
    <row r="848">
      <c r="A848" s="36"/>
      <c r="B848" s="162" t="s">
        <v>12</v>
      </c>
      <c r="C848" s="157">
        <v>18.0</v>
      </c>
      <c r="D848" s="179"/>
      <c r="E848" s="159">
        <f t="shared" si="1"/>
        <v>18</v>
      </c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</row>
    <row r="849">
      <c r="A849" s="36"/>
      <c r="B849" s="162" t="s">
        <v>13</v>
      </c>
      <c r="C849" s="157">
        <v>1.0</v>
      </c>
      <c r="D849" s="179"/>
      <c r="E849" s="159">
        <f t="shared" si="1"/>
        <v>1</v>
      </c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</row>
    <row r="850">
      <c r="A850" s="36"/>
      <c r="B850" s="162" t="s">
        <v>14</v>
      </c>
      <c r="C850" s="157">
        <v>3.0</v>
      </c>
      <c r="D850" s="179"/>
      <c r="E850" s="159">
        <f t="shared" si="1"/>
        <v>3</v>
      </c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</row>
    <row r="851">
      <c r="A851" s="36"/>
      <c r="B851" s="162" t="s">
        <v>15</v>
      </c>
      <c r="C851" s="157">
        <v>3.0</v>
      </c>
      <c r="D851" s="179"/>
      <c r="E851" s="159">
        <f t="shared" si="1"/>
        <v>3</v>
      </c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</row>
    <row r="852">
      <c r="A852" s="36"/>
      <c r="B852" s="162" t="s">
        <v>16</v>
      </c>
      <c r="C852" s="157">
        <v>0.0</v>
      </c>
      <c r="D852" s="179"/>
      <c r="E852" s="159">
        <f t="shared" si="1"/>
        <v>0</v>
      </c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</row>
    <row r="853">
      <c r="A853" s="36"/>
      <c r="B853" s="162" t="s">
        <v>17</v>
      </c>
      <c r="C853" s="157">
        <v>1.0</v>
      </c>
      <c r="D853" s="179"/>
      <c r="E853" s="159">
        <f t="shared" si="1"/>
        <v>1</v>
      </c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</row>
    <row r="854">
      <c r="A854" s="36"/>
      <c r="B854" s="156" t="s">
        <v>18</v>
      </c>
      <c r="C854" s="157">
        <v>4.0</v>
      </c>
      <c r="D854" s="179"/>
      <c r="E854" s="159">
        <f t="shared" si="1"/>
        <v>4</v>
      </c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</row>
    <row r="855">
      <c r="A855" s="36"/>
      <c r="B855" s="156" t="s">
        <v>19</v>
      </c>
      <c r="C855" s="157">
        <v>5.0</v>
      </c>
      <c r="D855" s="179"/>
      <c r="E855" s="159">
        <f t="shared" si="1"/>
        <v>5</v>
      </c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</row>
    <row r="856">
      <c r="A856" s="36"/>
      <c r="B856" s="156" t="s">
        <v>20</v>
      </c>
      <c r="C856" s="157">
        <v>0.0</v>
      </c>
      <c r="D856" s="179"/>
      <c r="E856" s="159">
        <f t="shared" si="1"/>
        <v>0</v>
      </c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</row>
    <row r="857">
      <c r="A857" s="36"/>
      <c r="B857" s="156" t="s">
        <v>21</v>
      </c>
      <c r="C857" s="157">
        <v>2.0</v>
      </c>
      <c r="D857" s="179"/>
      <c r="E857" s="159">
        <f t="shared" si="1"/>
        <v>2</v>
      </c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</row>
    <row r="858">
      <c r="A858" s="36"/>
      <c r="B858" s="156" t="s">
        <v>23</v>
      </c>
      <c r="C858" s="157">
        <v>3.0</v>
      </c>
      <c r="D858" s="179"/>
      <c r="E858" s="159">
        <f t="shared" si="1"/>
        <v>3</v>
      </c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</row>
    <row r="859">
      <c r="A859" s="36"/>
      <c r="B859" s="156" t="s">
        <v>24</v>
      </c>
      <c r="C859" s="157">
        <v>17.0</v>
      </c>
      <c r="D859" s="179"/>
      <c r="E859" s="159">
        <f t="shared" si="1"/>
        <v>17</v>
      </c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</row>
    <row r="860">
      <c r="A860" s="36"/>
      <c r="B860" s="156" t="s">
        <v>25</v>
      </c>
      <c r="C860" s="163">
        <v>21.0</v>
      </c>
      <c r="D860" s="180"/>
      <c r="E860" s="159">
        <f t="shared" si="1"/>
        <v>21</v>
      </c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</row>
    <row r="861">
      <c r="A861" s="36"/>
      <c r="B861" s="156" t="s">
        <v>26</v>
      </c>
      <c r="C861" s="163">
        <v>30.0</v>
      </c>
      <c r="D861" s="180"/>
      <c r="E861" s="159">
        <f t="shared" si="1"/>
        <v>30</v>
      </c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</row>
    <row r="862">
      <c r="A862" s="36"/>
      <c r="B862" s="156" t="s">
        <v>27</v>
      </c>
      <c r="C862" s="163">
        <v>32.0</v>
      </c>
      <c r="D862" s="180"/>
      <c r="E862" s="159">
        <f t="shared" si="1"/>
        <v>32</v>
      </c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</row>
    <row r="863">
      <c r="A863" s="36"/>
      <c r="B863" s="156" t="s">
        <v>28</v>
      </c>
      <c r="C863" s="163">
        <v>0.0</v>
      </c>
      <c r="D863" s="180"/>
      <c r="E863" s="159">
        <f t="shared" si="1"/>
        <v>0</v>
      </c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</row>
    <row r="864">
      <c r="A864" s="36"/>
      <c r="B864" s="165" t="s">
        <v>29</v>
      </c>
      <c r="C864" s="163">
        <v>0.0</v>
      </c>
      <c r="D864" s="180"/>
      <c r="E864" s="159">
        <f t="shared" si="1"/>
        <v>0</v>
      </c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</row>
    <row r="865">
      <c r="A865" s="36"/>
      <c r="B865" s="166" t="s">
        <v>30</v>
      </c>
      <c r="C865" s="163">
        <v>0.0</v>
      </c>
      <c r="D865" s="180"/>
      <c r="E865" s="159">
        <f t="shared" si="1"/>
        <v>0</v>
      </c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</row>
    <row r="866">
      <c r="A866" s="36"/>
      <c r="B866" s="167" t="s">
        <v>31</v>
      </c>
      <c r="C866" s="163">
        <v>5.0</v>
      </c>
      <c r="D866" s="180"/>
      <c r="E866" s="159">
        <f t="shared" si="1"/>
        <v>5</v>
      </c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</row>
    <row r="867">
      <c r="A867" s="36"/>
      <c r="B867" s="167" t="s">
        <v>32</v>
      </c>
      <c r="C867" s="163">
        <v>0.0</v>
      </c>
      <c r="D867" s="180"/>
      <c r="E867" s="159">
        <f t="shared" si="1"/>
        <v>0</v>
      </c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</row>
    <row r="868">
      <c r="A868" s="36"/>
      <c r="B868" s="167" t="s">
        <v>33</v>
      </c>
      <c r="C868" s="163">
        <v>0.0</v>
      </c>
      <c r="D868" s="180"/>
      <c r="E868" s="159">
        <f t="shared" si="1"/>
        <v>0</v>
      </c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</row>
    <row r="869">
      <c r="A869" s="91"/>
      <c r="B869" s="167" t="s">
        <v>34</v>
      </c>
      <c r="C869" s="163">
        <v>0.0</v>
      </c>
      <c r="D869" s="180"/>
      <c r="E869" s="159">
        <f t="shared" si="1"/>
        <v>0</v>
      </c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</row>
    <row r="870">
      <c r="A870" s="155">
        <v>46196.0</v>
      </c>
      <c r="B870" s="156" t="s">
        <v>4</v>
      </c>
      <c r="C870" s="157">
        <v>0.0</v>
      </c>
      <c r="D870" s="157">
        <v>0.0</v>
      </c>
      <c r="E870" s="159">
        <f t="shared" si="1"/>
        <v>0</v>
      </c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</row>
    <row r="871">
      <c r="A871" s="36"/>
      <c r="B871" s="156" t="s">
        <v>5</v>
      </c>
      <c r="C871" s="157">
        <v>0.0</v>
      </c>
      <c r="D871" s="157">
        <v>0.0</v>
      </c>
      <c r="E871" s="159">
        <f t="shared" si="1"/>
        <v>0</v>
      </c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</row>
    <row r="872">
      <c r="A872" s="36"/>
      <c r="B872" s="156" t="s">
        <v>6</v>
      </c>
      <c r="C872" s="157">
        <v>0.0</v>
      </c>
      <c r="D872" s="157">
        <v>0.0</v>
      </c>
      <c r="E872" s="159">
        <f t="shared" si="1"/>
        <v>0</v>
      </c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</row>
    <row r="873">
      <c r="A873" s="36"/>
      <c r="B873" s="156" t="s">
        <v>22</v>
      </c>
      <c r="C873" s="157">
        <v>0.0</v>
      </c>
      <c r="D873" s="157">
        <v>0.0</v>
      </c>
      <c r="E873" s="159">
        <f t="shared" si="1"/>
        <v>0</v>
      </c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</row>
    <row r="874">
      <c r="A874" s="36"/>
      <c r="B874" s="156" t="s">
        <v>7</v>
      </c>
      <c r="C874" s="157">
        <v>0.0</v>
      </c>
      <c r="D874" s="157">
        <v>0.0</v>
      </c>
      <c r="E874" s="159">
        <f t="shared" si="1"/>
        <v>0</v>
      </c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</row>
    <row r="875">
      <c r="A875" s="36"/>
      <c r="B875" s="162" t="s">
        <v>8</v>
      </c>
      <c r="C875" s="157">
        <v>1.0</v>
      </c>
      <c r="D875" s="157">
        <v>0.0</v>
      </c>
      <c r="E875" s="159">
        <f t="shared" si="1"/>
        <v>1</v>
      </c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</row>
    <row r="876">
      <c r="A876" s="36"/>
      <c r="B876" s="156" t="s">
        <v>9</v>
      </c>
      <c r="C876" s="157">
        <v>0.0</v>
      </c>
      <c r="D876" s="157">
        <v>0.0</v>
      </c>
      <c r="E876" s="159">
        <f t="shared" si="1"/>
        <v>0</v>
      </c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</row>
    <row r="877">
      <c r="A877" s="36"/>
      <c r="B877" s="156" t="s">
        <v>10</v>
      </c>
      <c r="C877" s="157">
        <v>2.0</v>
      </c>
      <c r="D877" s="157">
        <v>0.0</v>
      </c>
      <c r="E877" s="159">
        <f t="shared" si="1"/>
        <v>2</v>
      </c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</row>
    <row r="878">
      <c r="A878" s="36"/>
      <c r="B878" s="156" t="s">
        <v>11</v>
      </c>
      <c r="C878" s="157">
        <v>3.0</v>
      </c>
      <c r="D878" s="157">
        <v>0.0</v>
      </c>
      <c r="E878" s="159">
        <f t="shared" si="1"/>
        <v>3</v>
      </c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</row>
    <row r="879">
      <c r="A879" s="36"/>
      <c r="B879" s="162" t="s">
        <v>12</v>
      </c>
      <c r="C879" s="157">
        <v>9.0</v>
      </c>
      <c r="D879" s="157">
        <v>0.0</v>
      </c>
      <c r="E879" s="159">
        <f t="shared" si="1"/>
        <v>9</v>
      </c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</row>
    <row r="880">
      <c r="A880" s="36"/>
      <c r="B880" s="162" t="s">
        <v>13</v>
      </c>
      <c r="C880" s="157">
        <v>0.0</v>
      </c>
      <c r="D880" s="157">
        <v>0.0</v>
      </c>
      <c r="E880" s="159">
        <f t="shared" si="1"/>
        <v>0</v>
      </c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</row>
    <row r="881">
      <c r="A881" s="36"/>
      <c r="B881" s="162" t="s">
        <v>14</v>
      </c>
      <c r="C881" s="157">
        <v>0.0</v>
      </c>
      <c r="D881" s="157">
        <v>0.0</v>
      </c>
      <c r="E881" s="159">
        <f t="shared" si="1"/>
        <v>0</v>
      </c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</row>
    <row r="882">
      <c r="A882" s="36"/>
      <c r="B882" s="162" t="s">
        <v>15</v>
      </c>
      <c r="C882" s="157">
        <v>0.0</v>
      </c>
      <c r="D882" s="157">
        <v>0.0</v>
      </c>
      <c r="E882" s="159">
        <f t="shared" si="1"/>
        <v>0</v>
      </c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</row>
    <row r="883">
      <c r="A883" s="36"/>
      <c r="B883" s="162" t="s">
        <v>16</v>
      </c>
      <c r="C883" s="157">
        <v>0.0</v>
      </c>
      <c r="D883" s="157">
        <v>0.0</v>
      </c>
      <c r="E883" s="159">
        <f t="shared" si="1"/>
        <v>0</v>
      </c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</row>
    <row r="884">
      <c r="A884" s="36"/>
      <c r="B884" s="162" t="s">
        <v>17</v>
      </c>
      <c r="C884" s="157">
        <v>1.0</v>
      </c>
      <c r="D884" s="157">
        <v>0.0</v>
      </c>
      <c r="E884" s="159">
        <f t="shared" si="1"/>
        <v>1</v>
      </c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</row>
    <row r="885">
      <c r="A885" s="36"/>
      <c r="B885" s="156" t="s">
        <v>18</v>
      </c>
      <c r="C885" s="157">
        <v>2.0</v>
      </c>
      <c r="D885" s="157">
        <v>0.0</v>
      </c>
      <c r="E885" s="159">
        <f t="shared" si="1"/>
        <v>2</v>
      </c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</row>
    <row r="886">
      <c r="A886" s="36"/>
      <c r="B886" s="156" t="s">
        <v>19</v>
      </c>
      <c r="C886" s="157">
        <v>2.0</v>
      </c>
      <c r="D886" s="157">
        <v>1.0</v>
      </c>
      <c r="E886" s="159">
        <f t="shared" si="1"/>
        <v>3</v>
      </c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</row>
    <row r="887">
      <c r="A887" s="36"/>
      <c r="B887" s="156" t="s">
        <v>20</v>
      </c>
      <c r="C887" s="157">
        <v>1.0</v>
      </c>
      <c r="D887" s="157">
        <v>0.0</v>
      </c>
      <c r="E887" s="159">
        <f t="shared" si="1"/>
        <v>1</v>
      </c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</row>
    <row r="888">
      <c r="A888" s="36"/>
      <c r="B888" s="156" t="s">
        <v>21</v>
      </c>
      <c r="C888" s="157">
        <v>0.0</v>
      </c>
      <c r="D888" s="157">
        <v>0.0</v>
      </c>
      <c r="E888" s="159">
        <f t="shared" si="1"/>
        <v>0</v>
      </c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</row>
    <row r="889">
      <c r="A889" s="36"/>
      <c r="B889" s="156" t="s">
        <v>23</v>
      </c>
      <c r="C889" s="157">
        <v>0.0</v>
      </c>
      <c r="D889" s="157">
        <v>0.0</v>
      </c>
      <c r="E889" s="159">
        <f t="shared" si="1"/>
        <v>0</v>
      </c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</row>
    <row r="890">
      <c r="A890" s="36"/>
      <c r="B890" s="156" t="s">
        <v>24</v>
      </c>
      <c r="C890" s="157">
        <v>5.0</v>
      </c>
      <c r="D890" s="157">
        <v>0.0</v>
      </c>
      <c r="E890" s="159">
        <f t="shared" si="1"/>
        <v>5</v>
      </c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</row>
    <row r="891">
      <c r="A891" s="36"/>
      <c r="B891" s="156" t="s">
        <v>25</v>
      </c>
      <c r="C891" s="163">
        <v>3.0</v>
      </c>
      <c r="D891" s="163">
        <v>0.0</v>
      </c>
      <c r="E891" s="159">
        <f t="shared" si="1"/>
        <v>3</v>
      </c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</row>
    <row r="892">
      <c r="A892" s="36"/>
      <c r="B892" s="156" t="s">
        <v>26</v>
      </c>
      <c r="C892" s="163">
        <v>9.0</v>
      </c>
      <c r="D892" s="163">
        <v>0.0</v>
      </c>
      <c r="E892" s="159">
        <f t="shared" si="1"/>
        <v>9</v>
      </c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</row>
    <row r="893">
      <c r="A893" s="36"/>
      <c r="B893" s="156" t="s">
        <v>27</v>
      </c>
      <c r="C893" s="163">
        <v>17.0</v>
      </c>
      <c r="D893" s="163">
        <v>0.0</v>
      </c>
      <c r="E893" s="159">
        <f t="shared" si="1"/>
        <v>17</v>
      </c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</row>
    <row r="894">
      <c r="A894" s="36"/>
      <c r="B894" s="156" t="s">
        <v>28</v>
      </c>
      <c r="C894" s="163">
        <v>0.0</v>
      </c>
      <c r="D894" s="163">
        <v>0.0</v>
      </c>
      <c r="E894" s="159">
        <f t="shared" si="1"/>
        <v>0</v>
      </c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</row>
    <row r="895">
      <c r="A895" s="36"/>
      <c r="B895" s="165" t="s">
        <v>29</v>
      </c>
      <c r="C895" s="163">
        <v>0.0</v>
      </c>
      <c r="D895" s="163">
        <v>0.0</v>
      </c>
      <c r="E895" s="159">
        <f t="shared" si="1"/>
        <v>0</v>
      </c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</row>
    <row r="896">
      <c r="A896" s="36"/>
      <c r="B896" s="166" t="s">
        <v>30</v>
      </c>
      <c r="C896" s="163">
        <v>1.0</v>
      </c>
      <c r="D896" s="163">
        <v>0.0</v>
      </c>
      <c r="E896" s="159">
        <f t="shared" si="1"/>
        <v>1</v>
      </c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</row>
    <row r="897">
      <c r="A897" s="36"/>
      <c r="B897" s="167" t="s">
        <v>31</v>
      </c>
      <c r="C897" s="163">
        <v>0.0</v>
      </c>
      <c r="D897" s="163">
        <v>0.0</v>
      </c>
      <c r="E897" s="159">
        <f t="shared" si="1"/>
        <v>0</v>
      </c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</row>
    <row r="898">
      <c r="A898" s="36"/>
      <c r="B898" s="167" t="s">
        <v>32</v>
      </c>
      <c r="C898" s="163">
        <v>0.0</v>
      </c>
      <c r="D898" s="163">
        <v>0.0</v>
      </c>
      <c r="E898" s="159">
        <f t="shared" si="1"/>
        <v>0</v>
      </c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</row>
    <row r="899">
      <c r="A899" s="36"/>
      <c r="B899" s="167" t="s">
        <v>33</v>
      </c>
      <c r="C899" s="163">
        <v>0.0</v>
      </c>
      <c r="D899" s="163">
        <v>0.0</v>
      </c>
      <c r="E899" s="159">
        <f t="shared" si="1"/>
        <v>0</v>
      </c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</row>
    <row r="900">
      <c r="A900" s="91"/>
      <c r="B900" s="167" t="s">
        <v>34</v>
      </c>
      <c r="C900" s="163">
        <v>0.0</v>
      </c>
      <c r="D900" s="163">
        <v>0.0</v>
      </c>
      <c r="E900" s="159">
        <f t="shared" si="1"/>
        <v>0</v>
      </c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</row>
    <row r="901">
      <c r="A901" s="155">
        <v>46197.0</v>
      </c>
      <c r="B901" s="156" t="s">
        <v>4</v>
      </c>
      <c r="C901" s="157">
        <v>0.0</v>
      </c>
      <c r="D901" s="179"/>
      <c r="E901" s="159">
        <f t="shared" si="1"/>
        <v>0</v>
      </c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</row>
    <row r="902">
      <c r="A902" s="36"/>
      <c r="B902" s="156" t="s">
        <v>5</v>
      </c>
      <c r="C902" s="157">
        <v>0.0</v>
      </c>
      <c r="D902" s="179"/>
      <c r="E902" s="159">
        <f t="shared" si="1"/>
        <v>0</v>
      </c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</row>
    <row r="903">
      <c r="A903" s="36"/>
      <c r="B903" s="156" t="s">
        <v>6</v>
      </c>
      <c r="C903" s="157">
        <v>0.0</v>
      </c>
      <c r="D903" s="179"/>
      <c r="E903" s="159">
        <f t="shared" si="1"/>
        <v>0</v>
      </c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</row>
    <row r="904">
      <c r="A904" s="36"/>
      <c r="B904" s="156" t="s">
        <v>22</v>
      </c>
      <c r="C904" s="157">
        <v>0.0</v>
      </c>
      <c r="D904" s="179"/>
      <c r="E904" s="159">
        <f t="shared" si="1"/>
        <v>0</v>
      </c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</row>
    <row r="905">
      <c r="A905" s="36"/>
      <c r="B905" s="156" t="s">
        <v>7</v>
      </c>
      <c r="C905" s="157">
        <v>1.0</v>
      </c>
      <c r="D905" s="179"/>
      <c r="E905" s="159">
        <f t="shared" si="1"/>
        <v>1</v>
      </c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</row>
    <row r="906">
      <c r="A906" s="36"/>
      <c r="B906" s="162" t="s">
        <v>8</v>
      </c>
      <c r="C906" s="157">
        <v>1.0</v>
      </c>
      <c r="D906" s="179"/>
      <c r="E906" s="159">
        <f t="shared" si="1"/>
        <v>1</v>
      </c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</row>
    <row r="907">
      <c r="A907" s="36"/>
      <c r="B907" s="156" t="s">
        <v>9</v>
      </c>
      <c r="C907" s="157">
        <v>0.0</v>
      </c>
      <c r="D907" s="179"/>
      <c r="E907" s="159">
        <f t="shared" si="1"/>
        <v>0</v>
      </c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</row>
    <row r="908">
      <c r="A908" s="36"/>
      <c r="B908" s="156" t="s">
        <v>10</v>
      </c>
      <c r="C908" s="157">
        <v>0.0</v>
      </c>
      <c r="D908" s="179"/>
      <c r="E908" s="159">
        <f t="shared" si="1"/>
        <v>0</v>
      </c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</row>
    <row r="909">
      <c r="A909" s="36"/>
      <c r="B909" s="156" t="s">
        <v>11</v>
      </c>
      <c r="C909" s="157">
        <v>2.0</v>
      </c>
      <c r="D909" s="179"/>
      <c r="E909" s="159">
        <f t="shared" si="1"/>
        <v>2</v>
      </c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</row>
    <row r="910">
      <c r="A910" s="36"/>
      <c r="B910" s="162" t="s">
        <v>12</v>
      </c>
      <c r="C910" s="157">
        <v>4.0</v>
      </c>
      <c r="D910" s="179"/>
      <c r="E910" s="159">
        <f t="shared" si="1"/>
        <v>4</v>
      </c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</row>
    <row r="911">
      <c r="A911" s="36"/>
      <c r="B911" s="162" t="s">
        <v>13</v>
      </c>
      <c r="C911" s="157">
        <v>0.0</v>
      </c>
      <c r="D911" s="179"/>
      <c r="E911" s="159">
        <f t="shared" si="1"/>
        <v>0</v>
      </c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</row>
    <row r="912">
      <c r="A912" s="36"/>
      <c r="B912" s="162" t="s">
        <v>14</v>
      </c>
      <c r="C912" s="157">
        <v>0.0</v>
      </c>
      <c r="D912" s="179"/>
      <c r="E912" s="159">
        <f t="shared" si="1"/>
        <v>0</v>
      </c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</row>
    <row r="913">
      <c r="A913" s="36"/>
      <c r="B913" s="162" t="s">
        <v>15</v>
      </c>
      <c r="C913" s="157">
        <v>0.0</v>
      </c>
      <c r="D913" s="179"/>
      <c r="E913" s="159">
        <f t="shared" si="1"/>
        <v>0</v>
      </c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</row>
    <row r="914">
      <c r="A914" s="36"/>
      <c r="B914" s="162" t="s">
        <v>16</v>
      </c>
      <c r="C914" s="157">
        <v>0.0</v>
      </c>
      <c r="D914" s="179"/>
      <c r="E914" s="159">
        <f t="shared" si="1"/>
        <v>0</v>
      </c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</row>
    <row r="915">
      <c r="A915" s="36"/>
      <c r="B915" s="162" t="s">
        <v>17</v>
      </c>
      <c r="C915" s="157">
        <v>0.0</v>
      </c>
      <c r="D915" s="179"/>
      <c r="E915" s="159">
        <f t="shared" si="1"/>
        <v>0</v>
      </c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</row>
    <row r="916">
      <c r="A916" s="36"/>
      <c r="B916" s="156" t="s">
        <v>18</v>
      </c>
      <c r="C916" s="157">
        <v>2.0</v>
      </c>
      <c r="D916" s="179"/>
      <c r="E916" s="159">
        <f t="shared" si="1"/>
        <v>2</v>
      </c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</row>
    <row r="917">
      <c r="A917" s="36"/>
      <c r="B917" s="156" t="s">
        <v>19</v>
      </c>
      <c r="C917" s="157">
        <v>0.0</v>
      </c>
      <c r="D917" s="179"/>
      <c r="E917" s="159">
        <f t="shared" si="1"/>
        <v>0</v>
      </c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</row>
    <row r="918">
      <c r="A918" s="36"/>
      <c r="B918" s="156" t="s">
        <v>20</v>
      </c>
      <c r="C918" s="157">
        <v>0.0</v>
      </c>
      <c r="D918" s="179"/>
      <c r="E918" s="159">
        <f t="shared" si="1"/>
        <v>0</v>
      </c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</row>
    <row r="919">
      <c r="A919" s="36"/>
      <c r="B919" s="156" t="s">
        <v>21</v>
      </c>
      <c r="C919" s="157">
        <v>3.0</v>
      </c>
      <c r="D919" s="179"/>
      <c r="E919" s="159">
        <f t="shared" si="1"/>
        <v>3</v>
      </c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</row>
    <row r="920">
      <c r="A920" s="36"/>
      <c r="B920" s="156" t="s">
        <v>23</v>
      </c>
      <c r="C920" s="157">
        <v>0.0</v>
      </c>
      <c r="D920" s="179"/>
      <c r="E920" s="159">
        <f t="shared" si="1"/>
        <v>0</v>
      </c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</row>
    <row r="921">
      <c r="A921" s="36"/>
      <c r="B921" s="156" t="s">
        <v>24</v>
      </c>
      <c r="C921" s="157">
        <v>4.0</v>
      </c>
      <c r="D921" s="179"/>
      <c r="E921" s="159">
        <f t="shared" si="1"/>
        <v>4</v>
      </c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</row>
    <row r="922">
      <c r="A922" s="36"/>
      <c r="B922" s="156" t="s">
        <v>25</v>
      </c>
      <c r="C922" s="163">
        <v>8.0</v>
      </c>
      <c r="D922" s="180"/>
      <c r="E922" s="159">
        <f t="shared" si="1"/>
        <v>8</v>
      </c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</row>
    <row r="923">
      <c r="A923" s="36"/>
      <c r="B923" s="156" t="s">
        <v>26</v>
      </c>
      <c r="C923" s="163">
        <v>4.0</v>
      </c>
      <c r="D923" s="180"/>
      <c r="E923" s="159">
        <f t="shared" si="1"/>
        <v>4</v>
      </c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</row>
    <row r="924">
      <c r="A924" s="36"/>
      <c r="B924" s="156" t="s">
        <v>27</v>
      </c>
      <c r="C924" s="163">
        <v>6.0</v>
      </c>
      <c r="D924" s="180"/>
      <c r="E924" s="159">
        <f t="shared" si="1"/>
        <v>6</v>
      </c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</row>
    <row r="925">
      <c r="A925" s="36"/>
      <c r="B925" s="156" t="s">
        <v>28</v>
      </c>
      <c r="C925" s="163">
        <v>0.0</v>
      </c>
      <c r="D925" s="180"/>
      <c r="E925" s="159">
        <f t="shared" si="1"/>
        <v>0</v>
      </c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</row>
    <row r="926">
      <c r="A926" s="36"/>
      <c r="B926" s="165" t="s">
        <v>29</v>
      </c>
      <c r="C926" s="163">
        <v>0.0</v>
      </c>
      <c r="D926" s="180"/>
      <c r="E926" s="159">
        <f t="shared" si="1"/>
        <v>0</v>
      </c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</row>
    <row r="927">
      <c r="A927" s="36"/>
      <c r="B927" s="166" t="s">
        <v>30</v>
      </c>
      <c r="C927" s="163">
        <v>0.0</v>
      </c>
      <c r="D927" s="180"/>
      <c r="E927" s="159">
        <f t="shared" si="1"/>
        <v>0</v>
      </c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</row>
    <row r="928">
      <c r="A928" s="36"/>
      <c r="B928" s="167" t="s">
        <v>31</v>
      </c>
      <c r="C928" s="163">
        <v>0.0</v>
      </c>
      <c r="D928" s="180"/>
      <c r="E928" s="159">
        <f t="shared" si="1"/>
        <v>0</v>
      </c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</row>
    <row r="929">
      <c r="A929" s="36"/>
      <c r="B929" s="167" t="s">
        <v>32</v>
      </c>
      <c r="C929" s="163">
        <v>0.0</v>
      </c>
      <c r="D929" s="180"/>
      <c r="E929" s="159">
        <f t="shared" si="1"/>
        <v>0</v>
      </c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</row>
    <row r="930">
      <c r="A930" s="36"/>
      <c r="B930" s="167" t="s">
        <v>33</v>
      </c>
      <c r="C930" s="163">
        <v>0.0</v>
      </c>
      <c r="D930" s="180"/>
      <c r="E930" s="159">
        <f t="shared" si="1"/>
        <v>0</v>
      </c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</row>
    <row r="931">
      <c r="A931" s="91"/>
      <c r="B931" s="167" t="s">
        <v>34</v>
      </c>
      <c r="C931" s="163">
        <v>0.0</v>
      </c>
      <c r="D931" s="180"/>
      <c r="E931" s="159">
        <f t="shared" si="1"/>
        <v>0</v>
      </c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</row>
    <row r="932">
      <c r="A932" s="155">
        <v>46198.0</v>
      </c>
      <c r="B932" s="156" t="s">
        <v>4</v>
      </c>
      <c r="C932" s="157">
        <v>0.0</v>
      </c>
      <c r="D932" s="179"/>
      <c r="E932" s="159">
        <f t="shared" si="1"/>
        <v>0</v>
      </c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</row>
    <row r="933">
      <c r="A933" s="36"/>
      <c r="B933" s="156" t="s">
        <v>5</v>
      </c>
      <c r="C933" s="157">
        <v>0.0</v>
      </c>
      <c r="D933" s="179"/>
      <c r="E933" s="159">
        <f t="shared" si="1"/>
        <v>0</v>
      </c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</row>
    <row r="934">
      <c r="A934" s="36"/>
      <c r="B934" s="156" t="s">
        <v>6</v>
      </c>
      <c r="C934" s="157">
        <v>0.0</v>
      </c>
      <c r="D934" s="179"/>
      <c r="E934" s="159">
        <f t="shared" si="1"/>
        <v>0</v>
      </c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</row>
    <row r="935">
      <c r="A935" s="36"/>
      <c r="B935" s="156" t="s">
        <v>22</v>
      </c>
      <c r="C935" s="157">
        <v>0.0</v>
      </c>
      <c r="D935" s="179"/>
      <c r="E935" s="159">
        <f t="shared" si="1"/>
        <v>0</v>
      </c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</row>
    <row r="936">
      <c r="A936" s="36"/>
      <c r="B936" s="156" t="s">
        <v>7</v>
      </c>
      <c r="C936" s="157">
        <v>0.0</v>
      </c>
      <c r="D936" s="179"/>
      <c r="E936" s="159">
        <f t="shared" si="1"/>
        <v>0</v>
      </c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</row>
    <row r="937">
      <c r="A937" s="36"/>
      <c r="B937" s="162" t="s">
        <v>8</v>
      </c>
      <c r="C937" s="157">
        <v>0.0</v>
      </c>
      <c r="D937" s="179"/>
      <c r="E937" s="159">
        <f t="shared" si="1"/>
        <v>0</v>
      </c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</row>
    <row r="938">
      <c r="A938" s="36"/>
      <c r="B938" s="156" t="s">
        <v>9</v>
      </c>
      <c r="C938" s="157">
        <v>2.0</v>
      </c>
      <c r="D938" s="179"/>
      <c r="E938" s="159">
        <f t="shared" si="1"/>
        <v>2</v>
      </c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</row>
    <row r="939">
      <c r="A939" s="36"/>
      <c r="B939" s="156" t="s">
        <v>10</v>
      </c>
      <c r="C939" s="157">
        <v>8.0</v>
      </c>
      <c r="D939" s="179"/>
      <c r="E939" s="159">
        <f t="shared" si="1"/>
        <v>8</v>
      </c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</row>
    <row r="940">
      <c r="A940" s="36"/>
      <c r="B940" s="156" t="s">
        <v>11</v>
      </c>
      <c r="C940" s="157">
        <v>2.0</v>
      </c>
      <c r="D940" s="179"/>
      <c r="E940" s="159">
        <f t="shared" si="1"/>
        <v>2</v>
      </c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</row>
    <row r="941">
      <c r="A941" s="36"/>
      <c r="B941" s="162" t="s">
        <v>12</v>
      </c>
      <c r="C941" s="157">
        <v>2.0</v>
      </c>
      <c r="D941" s="179"/>
      <c r="E941" s="159">
        <f t="shared" si="1"/>
        <v>2</v>
      </c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</row>
    <row r="942">
      <c r="A942" s="36"/>
      <c r="B942" s="162" t="s">
        <v>13</v>
      </c>
      <c r="C942" s="157">
        <v>0.0</v>
      </c>
      <c r="D942" s="179"/>
      <c r="E942" s="159">
        <f t="shared" si="1"/>
        <v>0</v>
      </c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</row>
    <row r="943">
      <c r="A943" s="36"/>
      <c r="B943" s="162" t="s">
        <v>14</v>
      </c>
      <c r="C943" s="157">
        <v>1.0</v>
      </c>
      <c r="D943" s="179"/>
      <c r="E943" s="159">
        <f t="shared" si="1"/>
        <v>1</v>
      </c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</row>
    <row r="944">
      <c r="A944" s="36"/>
      <c r="B944" s="162" t="s">
        <v>15</v>
      </c>
      <c r="C944" s="157">
        <v>0.0</v>
      </c>
      <c r="D944" s="179"/>
      <c r="E944" s="159">
        <f t="shared" si="1"/>
        <v>0</v>
      </c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</row>
    <row r="945">
      <c r="A945" s="36"/>
      <c r="B945" s="162" t="s">
        <v>16</v>
      </c>
      <c r="C945" s="157">
        <v>0.0</v>
      </c>
      <c r="D945" s="179"/>
      <c r="E945" s="159">
        <f t="shared" si="1"/>
        <v>0</v>
      </c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</row>
    <row r="946">
      <c r="A946" s="36"/>
      <c r="B946" s="162" t="s">
        <v>17</v>
      </c>
      <c r="C946" s="157">
        <v>0.0</v>
      </c>
      <c r="D946" s="179"/>
      <c r="E946" s="159">
        <f t="shared" si="1"/>
        <v>0</v>
      </c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</row>
    <row r="947">
      <c r="A947" s="36"/>
      <c r="B947" s="156" t="s">
        <v>18</v>
      </c>
      <c r="C947" s="157">
        <v>0.0</v>
      </c>
      <c r="D947" s="179"/>
      <c r="E947" s="159">
        <f t="shared" si="1"/>
        <v>0</v>
      </c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</row>
    <row r="948">
      <c r="A948" s="36"/>
      <c r="B948" s="156" t="s">
        <v>19</v>
      </c>
      <c r="C948" s="157">
        <v>1.0</v>
      </c>
      <c r="D948" s="179"/>
      <c r="E948" s="159">
        <f t="shared" si="1"/>
        <v>1</v>
      </c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</row>
    <row r="949">
      <c r="A949" s="36"/>
      <c r="B949" s="156" t="s">
        <v>20</v>
      </c>
      <c r="C949" s="157">
        <v>0.0</v>
      </c>
      <c r="D949" s="179"/>
      <c r="E949" s="159">
        <f t="shared" si="1"/>
        <v>0</v>
      </c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</row>
    <row r="950">
      <c r="A950" s="36"/>
      <c r="B950" s="156" t="s">
        <v>21</v>
      </c>
      <c r="C950" s="157">
        <v>0.0</v>
      </c>
      <c r="D950" s="179"/>
      <c r="E950" s="159">
        <f t="shared" si="1"/>
        <v>0</v>
      </c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</row>
    <row r="951">
      <c r="A951" s="36"/>
      <c r="B951" s="156" t="s">
        <v>23</v>
      </c>
      <c r="C951" s="157">
        <v>0.0</v>
      </c>
      <c r="D951" s="179"/>
      <c r="E951" s="159">
        <f t="shared" si="1"/>
        <v>0</v>
      </c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</row>
    <row r="952">
      <c r="A952" s="36"/>
      <c r="B952" s="156" t="s">
        <v>24</v>
      </c>
      <c r="C952" s="163">
        <v>3.0</v>
      </c>
      <c r="D952" s="180"/>
      <c r="E952" s="159">
        <f t="shared" si="1"/>
        <v>3</v>
      </c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</row>
    <row r="953">
      <c r="A953" s="36"/>
      <c r="B953" s="156" t="s">
        <v>25</v>
      </c>
      <c r="C953" s="163">
        <v>4.0</v>
      </c>
      <c r="D953" s="180"/>
      <c r="E953" s="159">
        <f t="shared" si="1"/>
        <v>4</v>
      </c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</row>
    <row r="954">
      <c r="A954" s="36"/>
      <c r="B954" s="156" t="s">
        <v>26</v>
      </c>
      <c r="C954" s="163">
        <v>4.0</v>
      </c>
      <c r="D954" s="180"/>
      <c r="E954" s="159">
        <f t="shared" si="1"/>
        <v>4</v>
      </c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</row>
    <row r="955">
      <c r="A955" s="36"/>
      <c r="B955" s="156" t="s">
        <v>27</v>
      </c>
      <c r="C955" s="163">
        <v>9.0</v>
      </c>
      <c r="D955" s="180"/>
      <c r="E955" s="159">
        <f t="shared" si="1"/>
        <v>9</v>
      </c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</row>
    <row r="956">
      <c r="A956" s="36"/>
      <c r="B956" s="156" t="s">
        <v>28</v>
      </c>
      <c r="C956" s="163">
        <v>0.0</v>
      </c>
      <c r="D956" s="180"/>
      <c r="E956" s="159">
        <f t="shared" si="1"/>
        <v>0</v>
      </c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</row>
    <row r="957">
      <c r="A957" s="36"/>
      <c r="B957" s="165" t="s">
        <v>29</v>
      </c>
      <c r="C957" s="163">
        <v>0.0</v>
      </c>
      <c r="D957" s="180"/>
      <c r="E957" s="159">
        <f t="shared" si="1"/>
        <v>0</v>
      </c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</row>
    <row r="958">
      <c r="A958" s="36"/>
      <c r="B958" s="166" t="s">
        <v>30</v>
      </c>
      <c r="C958" s="163">
        <v>0.0</v>
      </c>
      <c r="D958" s="180"/>
      <c r="E958" s="159">
        <f t="shared" si="1"/>
        <v>0</v>
      </c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</row>
    <row r="959">
      <c r="A959" s="36"/>
      <c r="B959" s="167" t="s">
        <v>31</v>
      </c>
      <c r="C959" s="163">
        <v>0.0</v>
      </c>
      <c r="D959" s="180"/>
      <c r="E959" s="159">
        <f t="shared" si="1"/>
        <v>0</v>
      </c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</row>
    <row r="960">
      <c r="A960" s="36"/>
      <c r="B960" s="167" t="s">
        <v>32</v>
      </c>
      <c r="C960" s="163">
        <v>0.0</v>
      </c>
      <c r="D960" s="180"/>
      <c r="E960" s="159">
        <f t="shared" si="1"/>
        <v>0</v>
      </c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</row>
    <row r="961">
      <c r="A961" s="36"/>
      <c r="B961" s="167" t="s">
        <v>33</v>
      </c>
      <c r="C961" s="163">
        <v>0.0</v>
      </c>
      <c r="D961" s="180"/>
      <c r="E961" s="159">
        <f t="shared" si="1"/>
        <v>0</v>
      </c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</row>
    <row r="962">
      <c r="A962" s="91"/>
      <c r="B962" s="167" t="s">
        <v>34</v>
      </c>
      <c r="C962" s="163">
        <v>0.0</v>
      </c>
      <c r="D962" s="180"/>
      <c r="E962" s="159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</row>
  </sheetData>
  <mergeCells count="31">
    <mergeCell ref="A2:A32"/>
    <mergeCell ref="A33:A63"/>
    <mergeCell ref="A64:A94"/>
    <mergeCell ref="A95:A125"/>
    <mergeCell ref="A126:A156"/>
    <mergeCell ref="A157:A187"/>
    <mergeCell ref="A188:A218"/>
    <mergeCell ref="A219:A249"/>
    <mergeCell ref="A250:A280"/>
    <mergeCell ref="A281:A311"/>
    <mergeCell ref="A312:A342"/>
    <mergeCell ref="A343:A373"/>
    <mergeCell ref="A374:A404"/>
    <mergeCell ref="A405:A435"/>
    <mergeCell ref="A436:A466"/>
    <mergeCell ref="A467:A497"/>
    <mergeCell ref="A498:A528"/>
    <mergeCell ref="A529:A559"/>
    <mergeCell ref="A560:A590"/>
    <mergeCell ref="A591:A621"/>
    <mergeCell ref="A622:A652"/>
    <mergeCell ref="A870:A900"/>
    <mergeCell ref="A901:A931"/>
    <mergeCell ref="A932:A962"/>
    <mergeCell ref="A653:A683"/>
    <mergeCell ref="A684:A714"/>
    <mergeCell ref="A715:A745"/>
    <mergeCell ref="A746:A776"/>
    <mergeCell ref="A777:A807"/>
    <mergeCell ref="A808:A838"/>
    <mergeCell ref="A839:A869"/>
  </mergeCell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4" max="4" width="15.63"/>
    <col customWidth="1" min="6" max="6" width="28.63"/>
    <col customWidth="1" min="7" max="7" width="19.0"/>
  </cols>
  <sheetData>
    <row r="1">
      <c r="A1" s="149" t="s">
        <v>36</v>
      </c>
      <c r="B1" s="150" t="s">
        <v>37</v>
      </c>
      <c r="C1" s="151" t="s">
        <v>38</v>
      </c>
      <c r="D1" s="151" t="s">
        <v>109</v>
      </c>
      <c r="E1" s="151" t="s">
        <v>40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</row>
    <row r="2">
      <c r="A2" s="155">
        <v>46168.0</v>
      </c>
      <c r="B2" s="156" t="s">
        <v>4</v>
      </c>
      <c r="C2" s="157">
        <v>0.0</v>
      </c>
      <c r="D2" s="158"/>
      <c r="E2" s="159">
        <f t="shared" ref="E2:E961" si="1">sum(C2:D2)</f>
        <v>0</v>
      </c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</row>
    <row r="3">
      <c r="A3" s="36"/>
      <c r="B3" s="156" t="s">
        <v>5</v>
      </c>
      <c r="C3" s="157">
        <v>0.0</v>
      </c>
      <c r="D3" s="158"/>
      <c r="E3" s="159">
        <f t="shared" si="1"/>
        <v>0</v>
      </c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</row>
    <row r="4">
      <c r="A4" s="36"/>
      <c r="B4" s="156" t="s">
        <v>6</v>
      </c>
      <c r="C4" s="157">
        <v>0.0</v>
      </c>
      <c r="D4" s="158"/>
      <c r="E4" s="159">
        <f t="shared" si="1"/>
        <v>0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</row>
    <row r="5">
      <c r="A5" s="36"/>
      <c r="B5" s="156" t="s">
        <v>22</v>
      </c>
      <c r="C5" s="157">
        <v>0.0</v>
      </c>
      <c r="D5" s="158"/>
      <c r="E5" s="159">
        <f t="shared" si="1"/>
        <v>0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</row>
    <row r="6">
      <c r="A6" s="36"/>
      <c r="B6" s="156" t="s">
        <v>7</v>
      </c>
      <c r="C6" s="157">
        <v>0.0</v>
      </c>
      <c r="D6" s="158"/>
      <c r="E6" s="159">
        <f t="shared" si="1"/>
        <v>0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</row>
    <row r="7">
      <c r="A7" s="36"/>
      <c r="B7" s="162" t="s">
        <v>8</v>
      </c>
      <c r="C7" s="157">
        <v>4.0</v>
      </c>
      <c r="D7" s="158"/>
      <c r="E7" s="159">
        <f t="shared" si="1"/>
        <v>4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</row>
    <row r="8">
      <c r="A8" s="36"/>
      <c r="B8" s="156" t="s">
        <v>9</v>
      </c>
      <c r="C8" s="157">
        <v>2.0</v>
      </c>
      <c r="D8" s="158"/>
      <c r="E8" s="159">
        <f t="shared" si="1"/>
        <v>2</v>
      </c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</row>
    <row r="9">
      <c r="A9" s="36"/>
      <c r="B9" s="156" t="s">
        <v>10</v>
      </c>
      <c r="C9" s="157">
        <v>4.0</v>
      </c>
      <c r="D9" s="158"/>
      <c r="E9" s="159">
        <f t="shared" si="1"/>
        <v>4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</row>
    <row r="10">
      <c r="A10" s="36"/>
      <c r="B10" s="156" t="s">
        <v>11</v>
      </c>
      <c r="C10" s="157">
        <v>0.0</v>
      </c>
      <c r="D10" s="158"/>
      <c r="E10" s="159">
        <f t="shared" si="1"/>
        <v>0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</row>
    <row r="11">
      <c r="A11" s="36"/>
      <c r="B11" s="162" t="s">
        <v>12</v>
      </c>
      <c r="C11" s="157">
        <v>0.0</v>
      </c>
      <c r="D11" s="158"/>
      <c r="E11" s="159">
        <f t="shared" si="1"/>
        <v>0</v>
      </c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</row>
    <row r="12">
      <c r="A12" s="36"/>
      <c r="B12" s="162" t="s">
        <v>13</v>
      </c>
      <c r="C12" s="157">
        <v>0.0</v>
      </c>
      <c r="D12" s="158"/>
      <c r="E12" s="159">
        <f t="shared" si="1"/>
        <v>0</v>
      </c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</row>
    <row r="13">
      <c r="A13" s="36"/>
      <c r="B13" s="162" t="s">
        <v>14</v>
      </c>
      <c r="C13" s="157">
        <v>0.0</v>
      </c>
      <c r="D13" s="158"/>
      <c r="E13" s="159">
        <f t="shared" si="1"/>
        <v>0</v>
      </c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</row>
    <row r="14">
      <c r="A14" s="36"/>
      <c r="B14" s="162" t="s">
        <v>15</v>
      </c>
      <c r="C14" s="157">
        <v>0.0</v>
      </c>
      <c r="D14" s="158"/>
      <c r="E14" s="159">
        <f t="shared" si="1"/>
        <v>0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</row>
    <row r="15">
      <c r="A15" s="36"/>
      <c r="B15" s="162" t="s">
        <v>16</v>
      </c>
      <c r="C15" s="157">
        <v>2.0</v>
      </c>
      <c r="D15" s="158"/>
      <c r="E15" s="159">
        <f t="shared" si="1"/>
        <v>2</v>
      </c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</row>
    <row r="16">
      <c r="A16" s="36"/>
      <c r="B16" s="162" t="s">
        <v>17</v>
      </c>
      <c r="C16" s="157">
        <v>1.0</v>
      </c>
      <c r="D16" s="158"/>
      <c r="E16" s="159">
        <f t="shared" si="1"/>
        <v>1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</row>
    <row r="17">
      <c r="A17" s="36"/>
      <c r="B17" s="156" t="s">
        <v>18</v>
      </c>
      <c r="C17" s="157">
        <v>0.0</v>
      </c>
      <c r="D17" s="158"/>
      <c r="E17" s="159">
        <f t="shared" si="1"/>
        <v>0</v>
      </c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</row>
    <row r="18">
      <c r="A18" s="36"/>
      <c r="B18" s="156" t="s">
        <v>19</v>
      </c>
      <c r="C18" s="157">
        <v>0.0</v>
      </c>
      <c r="D18" s="158"/>
      <c r="E18" s="159">
        <f t="shared" si="1"/>
        <v>0</v>
      </c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</row>
    <row r="19">
      <c r="A19" s="36"/>
      <c r="B19" s="156" t="s">
        <v>20</v>
      </c>
      <c r="C19" s="163">
        <v>1.0</v>
      </c>
      <c r="D19" s="158"/>
      <c r="E19" s="159">
        <f t="shared" si="1"/>
        <v>1</v>
      </c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</row>
    <row r="20">
      <c r="A20" s="36"/>
      <c r="B20" s="156" t="s">
        <v>21</v>
      </c>
      <c r="C20" s="163">
        <v>0.0</v>
      </c>
      <c r="D20" s="158"/>
      <c r="E20" s="159">
        <f t="shared" si="1"/>
        <v>0</v>
      </c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</row>
    <row r="21">
      <c r="A21" s="36"/>
      <c r="B21" s="156" t="s">
        <v>23</v>
      </c>
      <c r="C21" s="163">
        <v>0.0</v>
      </c>
      <c r="D21" s="158"/>
      <c r="E21" s="159">
        <f t="shared" si="1"/>
        <v>0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</row>
    <row r="22">
      <c r="A22" s="36"/>
      <c r="B22" s="156" t="s">
        <v>24</v>
      </c>
      <c r="C22" s="163">
        <v>3.0</v>
      </c>
      <c r="D22" s="158"/>
      <c r="E22" s="159">
        <f t="shared" si="1"/>
        <v>3</v>
      </c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</row>
    <row r="23">
      <c r="A23" s="36"/>
      <c r="B23" s="156" t="s">
        <v>25</v>
      </c>
      <c r="C23" s="163">
        <v>2.0</v>
      </c>
      <c r="D23" s="164"/>
      <c r="E23" s="159">
        <f t="shared" si="1"/>
        <v>2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</row>
    <row r="24">
      <c r="A24" s="36"/>
      <c r="B24" s="156" t="s">
        <v>26</v>
      </c>
      <c r="C24" s="163">
        <v>2.0</v>
      </c>
      <c r="D24" s="164"/>
      <c r="E24" s="159">
        <f t="shared" si="1"/>
        <v>2</v>
      </c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</row>
    <row r="25">
      <c r="A25" s="36"/>
      <c r="B25" s="156" t="s">
        <v>27</v>
      </c>
      <c r="C25" s="163">
        <v>8.0</v>
      </c>
      <c r="D25" s="164"/>
      <c r="E25" s="159">
        <f t="shared" si="1"/>
        <v>8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</row>
    <row r="26">
      <c r="A26" s="36"/>
      <c r="B26" s="156" t="s">
        <v>28</v>
      </c>
      <c r="C26" s="163">
        <v>0.0</v>
      </c>
      <c r="D26" s="164"/>
      <c r="E26" s="159">
        <f t="shared" si="1"/>
        <v>0</v>
      </c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</row>
    <row r="27">
      <c r="A27" s="36"/>
      <c r="B27" s="165" t="s">
        <v>29</v>
      </c>
      <c r="C27" s="163">
        <v>0.0</v>
      </c>
      <c r="D27" s="164"/>
      <c r="E27" s="159">
        <f t="shared" si="1"/>
        <v>0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</row>
    <row r="28">
      <c r="A28" s="36"/>
      <c r="B28" s="166" t="s">
        <v>30</v>
      </c>
      <c r="C28" s="163">
        <v>1.0</v>
      </c>
      <c r="D28" s="164"/>
      <c r="E28" s="159">
        <f t="shared" si="1"/>
        <v>1</v>
      </c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</row>
    <row r="29">
      <c r="A29" s="36"/>
      <c r="B29" s="167" t="s">
        <v>31</v>
      </c>
      <c r="C29" s="163">
        <v>0.0</v>
      </c>
      <c r="D29" s="164"/>
      <c r="E29" s="159">
        <f t="shared" si="1"/>
        <v>0</v>
      </c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</row>
    <row r="30">
      <c r="A30" s="36"/>
      <c r="B30" s="167" t="s">
        <v>32</v>
      </c>
      <c r="C30" s="163">
        <v>0.0</v>
      </c>
      <c r="D30" s="164"/>
      <c r="E30" s="159">
        <f t="shared" si="1"/>
        <v>0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</row>
    <row r="31">
      <c r="A31" s="36"/>
      <c r="B31" s="167" t="s">
        <v>33</v>
      </c>
      <c r="C31" s="163">
        <v>0.0</v>
      </c>
      <c r="D31" s="164"/>
      <c r="E31" s="159">
        <f t="shared" si="1"/>
        <v>0</v>
      </c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</row>
    <row r="32">
      <c r="A32" s="91"/>
      <c r="B32" s="167" t="s">
        <v>34</v>
      </c>
      <c r="C32" s="163">
        <v>0.0</v>
      </c>
      <c r="D32" s="164"/>
      <c r="E32" s="159">
        <f t="shared" si="1"/>
        <v>0</v>
      </c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</row>
    <row r="33">
      <c r="A33" s="155">
        <v>46169.0</v>
      </c>
      <c r="B33" s="156" t="s">
        <v>4</v>
      </c>
      <c r="C33" s="168"/>
      <c r="D33" s="158"/>
      <c r="E33" s="159">
        <f t="shared" si="1"/>
        <v>0</v>
      </c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</row>
    <row r="34">
      <c r="A34" s="36"/>
      <c r="B34" s="156" t="s">
        <v>5</v>
      </c>
      <c r="C34" s="168"/>
      <c r="D34" s="158"/>
      <c r="E34" s="159">
        <f t="shared" si="1"/>
        <v>0</v>
      </c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</row>
    <row r="35">
      <c r="A35" s="36"/>
      <c r="B35" s="156" t="s">
        <v>6</v>
      </c>
      <c r="C35" s="168"/>
      <c r="D35" s="158"/>
      <c r="E35" s="159">
        <f t="shared" si="1"/>
        <v>0</v>
      </c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</row>
    <row r="36">
      <c r="A36" s="36"/>
      <c r="B36" s="156" t="s">
        <v>22</v>
      </c>
      <c r="C36" s="168"/>
      <c r="D36" s="158"/>
      <c r="E36" s="159">
        <f t="shared" si="1"/>
        <v>0</v>
      </c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</row>
    <row r="37">
      <c r="A37" s="36"/>
      <c r="B37" s="156" t="s">
        <v>7</v>
      </c>
      <c r="C37" s="168"/>
      <c r="D37" s="158"/>
      <c r="E37" s="159">
        <f t="shared" si="1"/>
        <v>0</v>
      </c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</row>
    <row r="38">
      <c r="A38" s="36"/>
      <c r="B38" s="162" t="s">
        <v>8</v>
      </c>
      <c r="C38" s="168"/>
      <c r="D38" s="158"/>
      <c r="E38" s="159">
        <f t="shared" si="1"/>
        <v>0</v>
      </c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</row>
    <row r="39">
      <c r="A39" s="36"/>
      <c r="B39" s="156" t="s">
        <v>9</v>
      </c>
      <c r="C39" s="168"/>
      <c r="D39" s="158"/>
      <c r="E39" s="159">
        <f t="shared" si="1"/>
        <v>0</v>
      </c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</row>
    <row r="40">
      <c r="A40" s="36"/>
      <c r="B40" s="156" t="s">
        <v>10</v>
      </c>
      <c r="C40" s="168"/>
      <c r="D40" s="158"/>
      <c r="E40" s="159">
        <f t="shared" si="1"/>
        <v>0</v>
      </c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</row>
    <row r="41">
      <c r="A41" s="36"/>
      <c r="B41" s="156" t="s">
        <v>11</v>
      </c>
      <c r="C41" s="168"/>
      <c r="D41" s="158"/>
      <c r="E41" s="159">
        <f t="shared" si="1"/>
        <v>0</v>
      </c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</row>
    <row r="42">
      <c r="A42" s="36"/>
      <c r="B42" s="162" t="s">
        <v>12</v>
      </c>
      <c r="C42" s="168"/>
      <c r="D42" s="158"/>
      <c r="E42" s="159">
        <f t="shared" si="1"/>
        <v>0</v>
      </c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</row>
    <row r="43">
      <c r="A43" s="36"/>
      <c r="B43" s="162" t="s">
        <v>13</v>
      </c>
      <c r="C43" s="168"/>
      <c r="D43" s="158"/>
      <c r="E43" s="159">
        <f t="shared" si="1"/>
        <v>0</v>
      </c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</row>
    <row r="44">
      <c r="A44" s="36"/>
      <c r="B44" s="162" t="s">
        <v>14</v>
      </c>
      <c r="C44" s="168"/>
      <c r="D44" s="158"/>
      <c r="E44" s="159">
        <f t="shared" si="1"/>
        <v>0</v>
      </c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</row>
    <row r="45">
      <c r="A45" s="36"/>
      <c r="B45" s="162" t="s">
        <v>15</v>
      </c>
      <c r="C45" s="168"/>
      <c r="D45" s="158"/>
      <c r="E45" s="159">
        <f t="shared" si="1"/>
        <v>0</v>
      </c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</row>
    <row r="46">
      <c r="A46" s="36"/>
      <c r="B46" s="162" t="s">
        <v>16</v>
      </c>
      <c r="C46" s="168"/>
      <c r="D46" s="158"/>
      <c r="E46" s="159">
        <f t="shared" si="1"/>
        <v>0</v>
      </c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</row>
    <row r="47">
      <c r="A47" s="36"/>
      <c r="B47" s="162" t="s">
        <v>17</v>
      </c>
      <c r="C47" s="168"/>
      <c r="D47" s="158"/>
      <c r="E47" s="159">
        <f t="shared" si="1"/>
        <v>0</v>
      </c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</row>
    <row r="48">
      <c r="A48" s="36"/>
      <c r="B48" s="156" t="s">
        <v>18</v>
      </c>
      <c r="C48" s="168"/>
      <c r="D48" s="158"/>
      <c r="E48" s="159">
        <f t="shared" si="1"/>
        <v>0</v>
      </c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</row>
    <row r="49">
      <c r="A49" s="36"/>
      <c r="B49" s="156" t="s">
        <v>19</v>
      </c>
      <c r="C49" s="168"/>
      <c r="D49" s="158"/>
      <c r="E49" s="159">
        <f t="shared" si="1"/>
        <v>0</v>
      </c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</row>
    <row r="50">
      <c r="A50" s="36"/>
      <c r="B50" s="156" t="s">
        <v>20</v>
      </c>
      <c r="C50" s="169"/>
      <c r="D50" s="158"/>
      <c r="E50" s="159">
        <f t="shared" si="1"/>
        <v>0</v>
      </c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</row>
    <row r="51">
      <c r="A51" s="36"/>
      <c r="B51" s="156" t="s">
        <v>21</v>
      </c>
      <c r="C51" s="169"/>
      <c r="D51" s="158"/>
      <c r="E51" s="159">
        <f t="shared" si="1"/>
        <v>0</v>
      </c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</row>
    <row r="52">
      <c r="A52" s="36"/>
      <c r="B52" s="156" t="s">
        <v>23</v>
      </c>
      <c r="C52" s="169"/>
      <c r="D52" s="158"/>
      <c r="E52" s="159">
        <f t="shared" si="1"/>
        <v>0</v>
      </c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</row>
    <row r="53">
      <c r="A53" s="36"/>
      <c r="B53" s="156" t="s">
        <v>24</v>
      </c>
      <c r="C53" s="169"/>
      <c r="D53" s="158"/>
      <c r="E53" s="159">
        <f t="shared" si="1"/>
        <v>0</v>
      </c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</row>
    <row r="54">
      <c r="A54" s="36"/>
      <c r="B54" s="156" t="s">
        <v>25</v>
      </c>
      <c r="C54" s="169"/>
      <c r="D54" s="164"/>
      <c r="E54" s="159">
        <f t="shared" si="1"/>
        <v>0</v>
      </c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</row>
    <row r="55">
      <c r="A55" s="36"/>
      <c r="B55" s="156" t="s">
        <v>26</v>
      </c>
      <c r="C55" s="169"/>
      <c r="D55" s="164"/>
      <c r="E55" s="159">
        <f t="shared" si="1"/>
        <v>0</v>
      </c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</row>
    <row r="56">
      <c r="A56" s="36"/>
      <c r="B56" s="156" t="s">
        <v>27</v>
      </c>
      <c r="C56" s="169"/>
      <c r="D56" s="164"/>
      <c r="E56" s="159">
        <f t="shared" si="1"/>
        <v>0</v>
      </c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</row>
    <row r="57">
      <c r="A57" s="36"/>
      <c r="B57" s="156" t="s">
        <v>28</v>
      </c>
      <c r="C57" s="169"/>
      <c r="D57" s="164"/>
      <c r="E57" s="159">
        <f t="shared" si="1"/>
        <v>0</v>
      </c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</row>
    <row r="58">
      <c r="A58" s="36"/>
      <c r="B58" s="165" t="s">
        <v>29</v>
      </c>
      <c r="C58" s="169"/>
      <c r="D58" s="164"/>
      <c r="E58" s="159">
        <f t="shared" si="1"/>
        <v>0</v>
      </c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</row>
    <row r="59">
      <c r="A59" s="36"/>
      <c r="B59" s="166" t="s">
        <v>30</v>
      </c>
      <c r="C59" s="169"/>
      <c r="D59" s="164"/>
      <c r="E59" s="159">
        <f t="shared" si="1"/>
        <v>0</v>
      </c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</row>
    <row r="60">
      <c r="A60" s="36"/>
      <c r="B60" s="167" t="s">
        <v>31</v>
      </c>
      <c r="C60" s="169"/>
      <c r="D60" s="164"/>
      <c r="E60" s="159">
        <f t="shared" si="1"/>
        <v>0</v>
      </c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</row>
    <row r="61">
      <c r="A61" s="36"/>
      <c r="B61" s="167" t="s">
        <v>32</v>
      </c>
      <c r="C61" s="169"/>
      <c r="D61" s="164"/>
      <c r="E61" s="159">
        <f t="shared" si="1"/>
        <v>0</v>
      </c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</row>
    <row r="62">
      <c r="A62" s="36"/>
      <c r="B62" s="167" t="s">
        <v>33</v>
      </c>
      <c r="C62" s="169"/>
      <c r="D62" s="164"/>
      <c r="E62" s="159">
        <f t="shared" si="1"/>
        <v>0</v>
      </c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</row>
    <row r="63">
      <c r="A63" s="91"/>
      <c r="B63" s="167" t="s">
        <v>34</v>
      </c>
      <c r="C63" s="169"/>
      <c r="D63" s="164"/>
      <c r="E63" s="159">
        <f t="shared" si="1"/>
        <v>0</v>
      </c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</row>
    <row r="64">
      <c r="A64" s="155">
        <v>46170.0</v>
      </c>
      <c r="B64" s="156" t="s">
        <v>4</v>
      </c>
      <c r="C64" s="157">
        <v>0.0</v>
      </c>
      <c r="D64" s="158"/>
      <c r="E64" s="159">
        <f t="shared" si="1"/>
        <v>0</v>
      </c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</row>
    <row r="65">
      <c r="A65" s="36"/>
      <c r="B65" s="156" t="s">
        <v>5</v>
      </c>
      <c r="C65" s="157">
        <v>0.0</v>
      </c>
      <c r="D65" s="158"/>
      <c r="E65" s="159">
        <f t="shared" si="1"/>
        <v>0</v>
      </c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</row>
    <row r="66">
      <c r="A66" s="36"/>
      <c r="B66" s="156" t="s">
        <v>6</v>
      </c>
      <c r="C66" s="157">
        <v>0.0</v>
      </c>
      <c r="D66" s="158"/>
      <c r="E66" s="159">
        <f t="shared" si="1"/>
        <v>0</v>
      </c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</row>
    <row r="67">
      <c r="A67" s="36"/>
      <c r="B67" s="156" t="s">
        <v>22</v>
      </c>
      <c r="C67" s="157">
        <v>0.0</v>
      </c>
      <c r="D67" s="158"/>
      <c r="E67" s="159">
        <f t="shared" si="1"/>
        <v>0</v>
      </c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</row>
    <row r="68">
      <c r="A68" s="36"/>
      <c r="B68" s="156" t="s">
        <v>7</v>
      </c>
      <c r="C68" s="157">
        <v>0.0</v>
      </c>
      <c r="D68" s="158"/>
      <c r="E68" s="159">
        <f t="shared" si="1"/>
        <v>0</v>
      </c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</row>
    <row r="69">
      <c r="A69" s="36"/>
      <c r="B69" s="162" t="s">
        <v>8</v>
      </c>
      <c r="C69" s="157">
        <v>4.0</v>
      </c>
      <c r="D69" s="158"/>
      <c r="E69" s="159">
        <f t="shared" si="1"/>
        <v>4</v>
      </c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</row>
    <row r="70">
      <c r="A70" s="36"/>
      <c r="B70" s="156" t="s">
        <v>9</v>
      </c>
      <c r="C70" s="157">
        <v>0.0</v>
      </c>
      <c r="D70" s="158"/>
      <c r="E70" s="159">
        <f t="shared" si="1"/>
        <v>0</v>
      </c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</row>
    <row r="71">
      <c r="A71" s="36"/>
      <c r="B71" s="156" t="s">
        <v>10</v>
      </c>
      <c r="C71" s="157">
        <v>0.0</v>
      </c>
      <c r="D71" s="158"/>
      <c r="E71" s="159">
        <f t="shared" si="1"/>
        <v>0</v>
      </c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</row>
    <row r="72">
      <c r="A72" s="36"/>
      <c r="B72" s="156" t="s">
        <v>11</v>
      </c>
      <c r="C72" s="157">
        <v>2.0</v>
      </c>
      <c r="D72" s="158"/>
      <c r="E72" s="159">
        <f t="shared" si="1"/>
        <v>2</v>
      </c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</row>
    <row r="73">
      <c r="A73" s="36"/>
      <c r="B73" s="162" t="s">
        <v>12</v>
      </c>
      <c r="C73" s="157">
        <v>2.0</v>
      </c>
      <c r="D73" s="158"/>
      <c r="E73" s="159">
        <f t="shared" si="1"/>
        <v>2</v>
      </c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</row>
    <row r="74">
      <c r="A74" s="36"/>
      <c r="B74" s="162" t="s">
        <v>13</v>
      </c>
      <c r="C74" s="157">
        <v>0.0</v>
      </c>
      <c r="D74" s="158"/>
      <c r="E74" s="159">
        <f t="shared" si="1"/>
        <v>0</v>
      </c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</row>
    <row r="75">
      <c r="A75" s="36"/>
      <c r="B75" s="162" t="s">
        <v>14</v>
      </c>
      <c r="C75" s="157">
        <v>4.0</v>
      </c>
      <c r="D75" s="158"/>
      <c r="E75" s="159">
        <f t="shared" si="1"/>
        <v>4</v>
      </c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</row>
    <row r="76">
      <c r="A76" s="36"/>
      <c r="B76" s="162" t="s">
        <v>15</v>
      </c>
      <c r="C76" s="157">
        <v>0.0</v>
      </c>
      <c r="D76" s="158"/>
      <c r="E76" s="159">
        <f t="shared" si="1"/>
        <v>0</v>
      </c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</row>
    <row r="77">
      <c r="A77" s="36"/>
      <c r="B77" s="162" t="s">
        <v>16</v>
      </c>
      <c r="C77" s="157">
        <v>0.0</v>
      </c>
      <c r="D77" s="158"/>
      <c r="E77" s="159">
        <f t="shared" si="1"/>
        <v>0</v>
      </c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</row>
    <row r="78">
      <c r="A78" s="36"/>
      <c r="B78" s="162" t="s">
        <v>17</v>
      </c>
      <c r="C78" s="157">
        <v>1.0</v>
      </c>
      <c r="D78" s="158"/>
      <c r="E78" s="159">
        <f t="shared" si="1"/>
        <v>1</v>
      </c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</row>
    <row r="79">
      <c r="A79" s="36"/>
      <c r="B79" s="156" t="s">
        <v>18</v>
      </c>
      <c r="C79" s="157">
        <v>0.0</v>
      </c>
      <c r="D79" s="158"/>
      <c r="E79" s="159">
        <f t="shared" si="1"/>
        <v>0</v>
      </c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</row>
    <row r="80">
      <c r="A80" s="36"/>
      <c r="B80" s="156" t="s">
        <v>19</v>
      </c>
      <c r="C80" s="157">
        <v>0.0</v>
      </c>
      <c r="D80" s="158"/>
      <c r="E80" s="159">
        <f t="shared" si="1"/>
        <v>0</v>
      </c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</row>
    <row r="81">
      <c r="A81" s="36"/>
      <c r="B81" s="156" t="s">
        <v>20</v>
      </c>
      <c r="C81" s="163">
        <v>0.0</v>
      </c>
      <c r="D81" s="158"/>
      <c r="E81" s="159">
        <f t="shared" si="1"/>
        <v>0</v>
      </c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</row>
    <row r="82">
      <c r="A82" s="36"/>
      <c r="B82" s="156" t="s">
        <v>21</v>
      </c>
      <c r="C82" s="163">
        <v>0.0</v>
      </c>
      <c r="D82" s="158"/>
      <c r="E82" s="159">
        <f t="shared" si="1"/>
        <v>0</v>
      </c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</row>
    <row r="83">
      <c r="A83" s="36"/>
      <c r="B83" s="156" t="s">
        <v>23</v>
      </c>
      <c r="C83" s="163">
        <v>0.0</v>
      </c>
      <c r="D83" s="158"/>
      <c r="E83" s="159">
        <f t="shared" si="1"/>
        <v>0</v>
      </c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</row>
    <row r="84">
      <c r="A84" s="36"/>
      <c r="B84" s="156" t="s">
        <v>24</v>
      </c>
      <c r="C84" s="163">
        <v>4.0</v>
      </c>
      <c r="D84" s="158"/>
      <c r="E84" s="159">
        <f t="shared" si="1"/>
        <v>4</v>
      </c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</row>
    <row r="85">
      <c r="A85" s="36"/>
      <c r="B85" s="156" t="s">
        <v>25</v>
      </c>
      <c r="C85" s="163">
        <v>5.0</v>
      </c>
      <c r="D85" s="164"/>
      <c r="E85" s="159">
        <f t="shared" si="1"/>
        <v>5</v>
      </c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</row>
    <row r="86">
      <c r="A86" s="36"/>
      <c r="B86" s="156" t="s">
        <v>26</v>
      </c>
      <c r="C86" s="163">
        <v>5.0</v>
      </c>
      <c r="D86" s="164"/>
      <c r="E86" s="159">
        <f t="shared" si="1"/>
        <v>5</v>
      </c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</row>
    <row r="87">
      <c r="A87" s="36"/>
      <c r="B87" s="156" t="s">
        <v>27</v>
      </c>
      <c r="C87" s="163">
        <v>5.0</v>
      </c>
      <c r="D87" s="164"/>
      <c r="E87" s="159">
        <f t="shared" si="1"/>
        <v>5</v>
      </c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</row>
    <row r="88">
      <c r="A88" s="36"/>
      <c r="B88" s="156" t="s">
        <v>28</v>
      </c>
      <c r="C88" s="163">
        <v>0.0</v>
      </c>
      <c r="D88" s="164"/>
      <c r="E88" s="159">
        <f t="shared" si="1"/>
        <v>0</v>
      </c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</row>
    <row r="89">
      <c r="A89" s="36"/>
      <c r="B89" s="165" t="s">
        <v>29</v>
      </c>
      <c r="C89" s="163">
        <v>0.0</v>
      </c>
      <c r="D89" s="164"/>
      <c r="E89" s="159">
        <f t="shared" si="1"/>
        <v>0</v>
      </c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</row>
    <row r="90">
      <c r="A90" s="36"/>
      <c r="B90" s="166" t="s">
        <v>30</v>
      </c>
      <c r="C90" s="163">
        <v>0.0</v>
      </c>
      <c r="D90" s="164"/>
      <c r="E90" s="159">
        <f t="shared" si="1"/>
        <v>0</v>
      </c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</row>
    <row r="91">
      <c r="A91" s="36"/>
      <c r="B91" s="167" t="s">
        <v>31</v>
      </c>
      <c r="C91" s="163">
        <v>0.0</v>
      </c>
      <c r="D91" s="164"/>
      <c r="E91" s="159">
        <f t="shared" si="1"/>
        <v>0</v>
      </c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</row>
    <row r="92">
      <c r="A92" s="36"/>
      <c r="B92" s="167" t="s">
        <v>32</v>
      </c>
      <c r="C92" s="163">
        <v>0.0</v>
      </c>
      <c r="D92" s="164"/>
      <c r="E92" s="159">
        <f t="shared" si="1"/>
        <v>0</v>
      </c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</row>
    <row r="93">
      <c r="A93" s="36"/>
      <c r="B93" s="167" t="s">
        <v>33</v>
      </c>
      <c r="C93" s="163">
        <v>0.0</v>
      </c>
      <c r="D93" s="164"/>
      <c r="E93" s="159">
        <f t="shared" si="1"/>
        <v>0</v>
      </c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</row>
    <row r="94">
      <c r="A94" s="91"/>
      <c r="B94" s="167" t="s">
        <v>34</v>
      </c>
      <c r="C94" s="163">
        <v>0.0</v>
      </c>
      <c r="D94" s="164"/>
      <c r="E94" s="159">
        <f t="shared" si="1"/>
        <v>0</v>
      </c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</row>
    <row r="95">
      <c r="A95" s="155">
        <v>46171.0</v>
      </c>
      <c r="B95" s="156" t="s">
        <v>4</v>
      </c>
      <c r="C95" s="157">
        <v>0.0</v>
      </c>
      <c r="D95" s="158"/>
      <c r="E95" s="159">
        <f t="shared" si="1"/>
        <v>0</v>
      </c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</row>
    <row r="96">
      <c r="A96" s="36"/>
      <c r="B96" s="156" t="s">
        <v>5</v>
      </c>
      <c r="C96" s="157">
        <v>0.0</v>
      </c>
      <c r="D96" s="158"/>
      <c r="E96" s="159">
        <f t="shared" si="1"/>
        <v>0</v>
      </c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</row>
    <row r="97">
      <c r="A97" s="36"/>
      <c r="B97" s="156" t="s">
        <v>6</v>
      </c>
      <c r="C97" s="157">
        <v>0.0</v>
      </c>
      <c r="D97" s="158"/>
      <c r="E97" s="159">
        <f t="shared" si="1"/>
        <v>0</v>
      </c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</row>
    <row r="98">
      <c r="A98" s="36"/>
      <c r="B98" s="156" t="s">
        <v>22</v>
      </c>
      <c r="C98" s="157">
        <v>0.0</v>
      </c>
      <c r="D98" s="158"/>
      <c r="E98" s="159">
        <f t="shared" si="1"/>
        <v>0</v>
      </c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</row>
    <row r="99">
      <c r="A99" s="36"/>
      <c r="B99" s="156" t="s">
        <v>7</v>
      </c>
      <c r="C99" s="157">
        <v>0.0</v>
      </c>
      <c r="D99" s="158"/>
      <c r="E99" s="159">
        <f t="shared" si="1"/>
        <v>0</v>
      </c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</row>
    <row r="100">
      <c r="A100" s="36"/>
      <c r="B100" s="162" t="s">
        <v>8</v>
      </c>
      <c r="C100" s="157">
        <v>2.0</v>
      </c>
      <c r="D100" s="158"/>
      <c r="E100" s="159">
        <f t="shared" si="1"/>
        <v>2</v>
      </c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</row>
    <row r="101">
      <c r="A101" s="36"/>
      <c r="B101" s="156" t="s">
        <v>9</v>
      </c>
      <c r="C101" s="157">
        <v>0.0</v>
      </c>
      <c r="D101" s="158"/>
      <c r="E101" s="159">
        <f t="shared" si="1"/>
        <v>0</v>
      </c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</row>
    <row r="102">
      <c r="A102" s="36"/>
      <c r="B102" s="156" t="s">
        <v>10</v>
      </c>
      <c r="C102" s="157">
        <v>0.0</v>
      </c>
      <c r="D102" s="158"/>
      <c r="E102" s="159">
        <f t="shared" si="1"/>
        <v>0</v>
      </c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</row>
    <row r="103">
      <c r="A103" s="36"/>
      <c r="B103" s="156" t="s">
        <v>11</v>
      </c>
      <c r="C103" s="157">
        <v>0.0</v>
      </c>
      <c r="D103" s="158"/>
      <c r="E103" s="159">
        <f t="shared" si="1"/>
        <v>0</v>
      </c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</row>
    <row r="104">
      <c r="A104" s="36"/>
      <c r="B104" s="162" t="s">
        <v>12</v>
      </c>
      <c r="C104" s="157">
        <v>2.0</v>
      </c>
      <c r="D104" s="158"/>
      <c r="E104" s="159">
        <f t="shared" si="1"/>
        <v>2</v>
      </c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</row>
    <row r="105">
      <c r="A105" s="36"/>
      <c r="B105" s="162" t="s">
        <v>13</v>
      </c>
      <c r="C105" s="157">
        <v>0.0</v>
      </c>
      <c r="D105" s="158"/>
      <c r="E105" s="159">
        <f t="shared" si="1"/>
        <v>0</v>
      </c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</row>
    <row r="106">
      <c r="A106" s="36"/>
      <c r="B106" s="162" t="s">
        <v>14</v>
      </c>
      <c r="C106" s="157">
        <v>0.0</v>
      </c>
      <c r="D106" s="158"/>
      <c r="E106" s="159">
        <f t="shared" si="1"/>
        <v>0</v>
      </c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</row>
    <row r="107">
      <c r="A107" s="36"/>
      <c r="B107" s="162" t="s">
        <v>15</v>
      </c>
      <c r="C107" s="157">
        <v>0.0</v>
      </c>
      <c r="D107" s="158"/>
      <c r="E107" s="159">
        <f t="shared" si="1"/>
        <v>0</v>
      </c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</row>
    <row r="108">
      <c r="A108" s="36"/>
      <c r="B108" s="162" t="s">
        <v>16</v>
      </c>
      <c r="C108" s="157">
        <v>0.0</v>
      </c>
      <c r="D108" s="158"/>
      <c r="E108" s="159">
        <f t="shared" si="1"/>
        <v>0</v>
      </c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</row>
    <row r="109">
      <c r="A109" s="36"/>
      <c r="B109" s="162" t="s">
        <v>17</v>
      </c>
      <c r="C109" s="157">
        <v>0.0</v>
      </c>
      <c r="D109" s="158"/>
      <c r="E109" s="159">
        <f t="shared" si="1"/>
        <v>0</v>
      </c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</row>
    <row r="110">
      <c r="A110" s="36"/>
      <c r="B110" s="156" t="s">
        <v>18</v>
      </c>
      <c r="C110" s="157">
        <v>0.0</v>
      </c>
      <c r="D110" s="158"/>
      <c r="E110" s="159">
        <f t="shared" si="1"/>
        <v>0</v>
      </c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</row>
    <row r="111">
      <c r="A111" s="36"/>
      <c r="B111" s="156" t="s">
        <v>19</v>
      </c>
      <c r="C111" s="157">
        <v>0.0</v>
      </c>
      <c r="D111" s="158"/>
      <c r="E111" s="159">
        <f t="shared" si="1"/>
        <v>0</v>
      </c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</row>
    <row r="112">
      <c r="A112" s="36"/>
      <c r="B112" s="156" t="s">
        <v>20</v>
      </c>
      <c r="C112" s="163">
        <v>0.0</v>
      </c>
      <c r="D112" s="158"/>
      <c r="E112" s="159">
        <f t="shared" si="1"/>
        <v>0</v>
      </c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</row>
    <row r="113">
      <c r="A113" s="36"/>
      <c r="B113" s="156" t="s">
        <v>21</v>
      </c>
      <c r="C113" s="163">
        <v>0.0</v>
      </c>
      <c r="D113" s="158"/>
      <c r="E113" s="159">
        <f t="shared" si="1"/>
        <v>0</v>
      </c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</row>
    <row r="114">
      <c r="A114" s="36"/>
      <c r="B114" s="156" t="s">
        <v>23</v>
      </c>
      <c r="C114" s="163">
        <v>0.0</v>
      </c>
      <c r="D114" s="158"/>
      <c r="E114" s="159">
        <f t="shared" si="1"/>
        <v>0</v>
      </c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</row>
    <row r="115">
      <c r="A115" s="36"/>
      <c r="B115" s="156" t="s">
        <v>24</v>
      </c>
      <c r="C115" s="163">
        <v>0.0</v>
      </c>
      <c r="D115" s="158"/>
      <c r="E115" s="159">
        <f t="shared" si="1"/>
        <v>0</v>
      </c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</row>
    <row r="116">
      <c r="A116" s="36"/>
      <c r="B116" s="156" t="s">
        <v>25</v>
      </c>
      <c r="C116" s="163">
        <v>0.0</v>
      </c>
      <c r="D116" s="164"/>
      <c r="E116" s="159">
        <f t="shared" si="1"/>
        <v>0</v>
      </c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</row>
    <row r="117">
      <c r="A117" s="36"/>
      <c r="B117" s="156" t="s">
        <v>26</v>
      </c>
      <c r="C117" s="163">
        <v>0.0</v>
      </c>
      <c r="D117" s="164"/>
      <c r="E117" s="159">
        <f t="shared" si="1"/>
        <v>0</v>
      </c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</row>
    <row r="118">
      <c r="A118" s="36"/>
      <c r="B118" s="156" t="s">
        <v>27</v>
      </c>
      <c r="C118" s="163">
        <v>0.0</v>
      </c>
      <c r="D118" s="164"/>
      <c r="E118" s="159">
        <f t="shared" si="1"/>
        <v>0</v>
      </c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</row>
    <row r="119">
      <c r="A119" s="36"/>
      <c r="B119" s="156" t="s">
        <v>28</v>
      </c>
      <c r="C119" s="163">
        <v>0.0</v>
      </c>
      <c r="D119" s="164"/>
      <c r="E119" s="159">
        <f t="shared" si="1"/>
        <v>0</v>
      </c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</row>
    <row r="120">
      <c r="A120" s="36"/>
      <c r="B120" s="165" t="s">
        <v>29</v>
      </c>
      <c r="C120" s="163">
        <v>0.0</v>
      </c>
      <c r="D120" s="164"/>
      <c r="E120" s="159">
        <f t="shared" si="1"/>
        <v>0</v>
      </c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</row>
    <row r="121">
      <c r="A121" s="36"/>
      <c r="B121" s="166" t="s">
        <v>30</v>
      </c>
      <c r="C121" s="163">
        <v>2.0</v>
      </c>
      <c r="D121" s="164"/>
      <c r="E121" s="159">
        <f t="shared" si="1"/>
        <v>2</v>
      </c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</row>
    <row r="122">
      <c r="A122" s="36"/>
      <c r="B122" s="167" t="s">
        <v>31</v>
      </c>
      <c r="C122" s="163">
        <v>0.0</v>
      </c>
      <c r="D122" s="164"/>
      <c r="E122" s="159">
        <f t="shared" si="1"/>
        <v>0</v>
      </c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</row>
    <row r="123">
      <c r="A123" s="36"/>
      <c r="B123" s="167" t="s">
        <v>32</v>
      </c>
      <c r="C123" s="163">
        <v>0.0</v>
      </c>
      <c r="D123" s="164"/>
      <c r="E123" s="159">
        <f t="shared" si="1"/>
        <v>0</v>
      </c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</row>
    <row r="124">
      <c r="A124" s="36"/>
      <c r="B124" s="167" t="s">
        <v>33</v>
      </c>
      <c r="C124" s="163">
        <v>0.0</v>
      </c>
      <c r="D124" s="164"/>
      <c r="E124" s="159">
        <f t="shared" si="1"/>
        <v>0</v>
      </c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</row>
    <row r="125">
      <c r="A125" s="91"/>
      <c r="B125" s="167" t="s">
        <v>34</v>
      </c>
      <c r="C125" s="163">
        <v>0.0</v>
      </c>
      <c r="D125" s="164"/>
      <c r="E125" s="159">
        <f t="shared" si="1"/>
        <v>0</v>
      </c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</row>
    <row r="126">
      <c r="A126" s="155">
        <v>46172.0</v>
      </c>
      <c r="B126" s="156" t="s">
        <v>4</v>
      </c>
      <c r="C126" s="157">
        <v>0.0</v>
      </c>
      <c r="D126" s="158"/>
      <c r="E126" s="159">
        <f t="shared" si="1"/>
        <v>0</v>
      </c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</row>
    <row r="127">
      <c r="A127" s="36"/>
      <c r="B127" s="156" t="s">
        <v>5</v>
      </c>
      <c r="C127" s="157">
        <v>0.0</v>
      </c>
      <c r="D127" s="158"/>
      <c r="E127" s="159">
        <f t="shared" si="1"/>
        <v>0</v>
      </c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</row>
    <row r="128">
      <c r="A128" s="36"/>
      <c r="B128" s="156" t="s">
        <v>6</v>
      </c>
      <c r="C128" s="157">
        <v>0.0</v>
      </c>
      <c r="D128" s="158"/>
      <c r="E128" s="159">
        <f t="shared" si="1"/>
        <v>0</v>
      </c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</row>
    <row r="129">
      <c r="A129" s="36"/>
      <c r="B129" s="156" t="s">
        <v>22</v>
      </c>
      <c r="C129" s="157">
        <v>0.0</v>
      </c>
      <c r="D129" s="158"/>
      <c r="E129" s="159">
        <f t="shared" si="1"/>
        <v>0</v>
      </c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</row>
    <row r="130">
      <c r="A130" s="36"/>
      <c r="B130" s="156" t="s">
        <v>7</v>
      </c>
      <c r="C130" s="157">
        <v>0.0</v>
      </c>
      <c r="D130" s="158"/>
      <c r="E130" s="159">
        <f t="shared" si="1"/>
        <v>0</v>
      </c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</row>
    <row r="131">
      <c r="A131" s="36"/>
      <c r="B131" s="162" t="s">
        <v>8</v>
      </c>
      <c r="C131" s="157">
        <v>8.0</v>
      </c>
      <c r="D131" s="158"/>
      <c r="E131" s="159">
        <f t="shared" si="1"/>
        <v>8</v>
      </c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</row>
    <row r="132">
      <c r="A132" s="36"/>
      <c r="B132" s="156" t="s">
        <v>9</v>
      </c>
      <c r="C132" s="157">
        <v>2.0</v>
      </c>
      <c r="D132" s="158"/>
      <c r="E132" s="159">
        <f t="shared" si="1"/>
        <v>2</v>
      </c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</row>
    <row r="133">
      <c r="A133" s="36"/>
      <c r="B133" s="156" t="s">
        <v>10</v>
      </c>
      <c r="C133" s="157">
        <v>0.0</v>
      </c>
      <c r="D133" s="158"/>
      <c r="E133" s="159">
        <f t="shared" si="1"/>
        <v>0</v>
      </c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</row>
    <row r="134">
      <c r="A134" s="36"/>
      <c r="B134" s="156" t="s">
        <v>11</v>
      </c>
      <c r="C134" s="157">
        <v>2.0</v>
      </c>
      <c r="D134" s="158"/>
      <c r="E134" s="159">
        <f t="shared" si="1"/>
        <v>2</v>
      </c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</row>
    <row r="135">
      <c r="A135" s="36"/>
      <c r="B135" s="162" t="s">
        <v>12</v>
      </c>
      <c r="C135" s="157">
        <v>4.0</v>
      </c>
      <c r="D135" s="158"/>
      <c r="E135" s="159">
        <f t="shared" si="1"/>
        <v>4</v>
      </c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</row>
    <row r="136">
      <c r="A136" s="36"/>
      <c r="B136" s="162" t="s">
        <v>13</v>
      </c>
      <c r="C136" s="157">
        <v>0.0</v>
      </c>
      <c r="D136" s="158"/>
      <c r="E136" s="159">
        <f t="shared" si="1"/>
        <v>0</v>
      </c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</row>
    <row r="137">
      <c r="A137" s="36"/>
      <c r="B137" s="162" t="s">
        <v>14</v>
      </c>
      <c r="C137" s="157">
        <v>0.0</v>
      </c>
      <c r="D137" s="158"/>
      <c r="E137" s="159">
        <f t="shared" si="1"/>
        <v>0</v>
      </c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</row>
    <row r="138">
      <c r="A138" s="36"/>
      <c r="B138" s="162" t="s">
        <v>15</v>
      </c>
      <c r="C138" s="157">
        <v>0.0</v>
      </c>
      <c r="D138" s="158"/>
      <c r="E138" s="159">
        <f t="shared" si="1"/>
        <v>0</v>
      </c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</row>
    <row r="139">
      <c r="A139" s="36"/>
      <c r="B139" s="162" t="s">
        <v>16</v>
      </c>
      <c r="C139" s="157">
        <v>2.0</v>
      </c>
      <c r="D139" s="158"/>
      <c r="E139" s="159">
        <f t="shared" si="1"/>
        <v>2</v>
      </c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</row>
    <row r="140">
      <c r="A140" s="36"/>
      <c r="B140" s="162" t="s">
        <v>17</v>
      </c>
      <c r="C140" s="157">
        <v>0.0</v>
      </c>
      <c r="D140" s="158"/>
      <c r="E140" s="159">
        <f t="shared" si="1"/>
        <v>0</v>
      </c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</row>
    <row r="141">
      <c r="A141" s="36"/>
      <c r="B141" s="156" t="s">
        <v>18</v>
      </c>
      <c r="C141" s="157">
        <v>0.0</v>
      </c>
      <c r="D141" s="158"/>
      <c r="E141" s="159">
        <f t="shared" si="1"/>
        <v>0</v>
      </c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</row>
    <row r="142">
      <c r="A142" s="36"/>
      <c r="B142" s="156" t="s">
        <v>19</v>
      </c>
      <c r="C142" s="157">
        <v>1.0</v>
      </c>
      <c r="D142" s="158"/>
      <c r="E142" s="159">
        <f t="shared" si="1"/>
        <v>1</v>
      </c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</row>
    <row r="143">
      <c r="A143" s="36"/>
      <c r="B143" s="156" t="s">
        <v>20</v>
      </c>
      <c r="C143" s="163">
        <v>0.0</v>
      </c>
      <c r="D143" s="158"/>
      <c r="E143" s="159">
        <f t="shared" si="1"/>
        <v>0</v>
      </c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</row>
    <row r="144">
      <c r="A144" s="36"/>
      <c r="B144" s="156" t="s">
        <v>21</v>
      </c>
      <c r="C144" s="163">
        <v>2.0</v>
      </c>
      <c r="D144" s="158"/>
      <c r="E144" s="159">
        <f t="shared" si="1"/>
        <v>2</v>
      </c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</row>
    <row r="145">
      <c r="A145" s="36"/>
      <c r="B145" s="156" t="s">
        <v>23</v>
      </c>
      <c r="C145" s="163">
        <v>1.0</v>
      </c>
      <c r="D145" s="158"/>
      <c r="E145" s="159">
        <f t="shared" si="1"/>
        <v>1</v>
      </c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</row>
    <row r="146">
      <c r="A146" s="36"/>
      <c r="B146" s="156" t="s">
        <v>24</v>
      </c>
      <c r="C146" s="163">
        <v>4.0</v>
      </c>
      <c r="D146" s="158"/>
      <c r="E146" s="159">
        <f t="shared" si="1"/>
        <v>4</v>
      </c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</row>
    <row r="147">
      <c r="A147" s="36"/>
      <c r="B147" s="156" t="s">
        <v>25</v>
      </c>
      <c r="C147" s="163">
        <v>2.0</v>
      </c>
      <c r="D147" s="164"/>
      <c r="E147" s="159">
        <f t="shared" si="1"/>
        <v>2</v>
      </c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</row>
    <row r="148">
      <c r="A148" s="36"/>
      <c r="B148" s="156" t="s">
        <v>26</v>
      </c>
      <c r="C148" s="163">
        <v>2.0</v>
      </c>
      <c r="D148" s="164"/>
      <c r="E148" s="159">
        <f t="shared" si="1"/>
        <v>2</v>
      </c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</row>
    <row r="149">
      <c r="A149" s="36"/>
      <c r="B149" s="156" t="s">
        <v>27</v>
      </c>
      <c r="C149" s="163">
        <v>6.0</v>
      </c>
      <c r="D149" s="164"/>
      <c r="E149" s="159">
        <f t="shared" si="1"/>
        <v>6</v>
      </c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</row>
    <row r="150">
      <c r="A150" s="36"/>
      <c r="B150" s="156" t="s">
        <v>28</v>
      </c>
      <c r="C150" s="163">
        <v>0.0</v>
      </c>
      <c r="D150" s="164"/>
      <c r="E150" s="159">
        <f t="shared" si="1"/>
        <v>0</v>
      </c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</row>
    <row r="151">
      <c r="A151" s="36"/>
      <c r="B151" s="165" t="s">
        <v>29</v>
      </c>
      <c r="C151" s="163">
        <v>0.0</v>
      </c>
      <c r="D151" s="164"/>
      <c r="E151" s="159">
        <f t="shared" si="1"/>
        <v>0</v>
      </c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</row>
    <row r="152">
      <c r="A152" s="36"/>
      <c r="B152" s="166" t="s">
        <v>30</v>
      </c>
      <c r="C152" s="163">
        <v>2.0</v>
      </c>
      <c r="D152" s="164"/>
      <c r="E152" s="159">
        <f t="shared" si="1"/>
        <v>2</v>
      </c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</row>
    <row r="153">
      <c r="A153" s="36"/>
      <c r="B153" s="167" t="s">
        <v>31</v>
      </c>
      <c r="C153" s="163">
        <v>1.0</v>
      </c>
      <c r="D153" s="164"/>
      <c r="E153" s="159">
        <f t="shared" si="1"/>
        <v>1</v>
      </c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</row>
    <row r="154">
      <c r="A154" s="36"/>
      <c r="B154" s="167" t="s">
        <v>32</v>
      </c>
      <c r="C154" s="163">
        <v>0.0</v>
      </c>
      <c r="D154" s="164"/>
      <c r="E154" s="159">
        <f t="shared" si="1"/>
        <v>0</v>
      </c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</row>
    <row r="155">
      <c r="A155" s="36"/>
      <c r="B155" s="167" t="s">
        <v>33</v>
      </c>
      <c r="C155" s="163">
        <v>0.0</v>
      </c>
      <c r="D155" s="164"/>
      <c r="E155" s="159">
        <f t="shared" si="1"/>
        <v>0</v>
      </c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</row>
    <row r="156">
      <c r="A156" s="91"/>
      <c r="B156" s="167" t="s">
        <v>34</v>
      </c>
      <c r="C156" s="163">
        <v>0.0</v>
      </c>
      <c r="D156" s="164"/>
      <c r="E156" s="159">
        <f t="shared" si="1"/>
        <v>0</v>
      </c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</row>
    <row r="157">
      <c r="A157" s="155">
        <v>46173.0</v>
      </c>
      <c r="B157" s="156" t="s">
        <v>4</v>
      </c>
      <c r="C157" s="157">
        <v>0.0</v>
      </c>
      <c r="D157" s="158"/>
      <c r="E157" s="159">
        <f t="shared" si="1"/>
        <v>0</v>
      </c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</row>
    <row r="158">
      <c r="A158" s="36"/>
      <c r="B158" s="156" t="s">
        <v>5</v>
      </c>
      <c r="C158" s="157">
        <v>0.0</v>
      </c>
      <c r="D158" s="158"/>
      <c r="E158" s="159">
        <f t="shared" si="1"/>
        <v>0</v>
      </c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</row>
    <row r="159">
      <c r="A159" s="36"/>
      <c r="B159" s="156" t="s">
        <v>6</v>
      </c>
      <c r="C159" s="157">
        <v>0.0</v>
      </c>
      <c r="D159" s="158"/>
      <c r="E159" s="159">
        <f t="shared" si="1"/>
        <v>0</v>
      </c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</row>
    <row r="160">
      <c r="A160" s="36"/>
      <c r="B160" s="156" t="s">
        <v>22</v>
      </c>
      <c r="C160" s="157">
        <v>0.0</v>
      </c>
      <c r="D160" s="158"/>
      <c r="E160" s="159">
        <f t="shared" si="1"/>
        <v>0</v>
      </c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</row>
    <row r="161">
      <c r="A161" s="36"/>
      <c r="B161" s="156" t="s">
        <v>7</v>
      </c>
      <c r="C161" s="157">
        <v>0.0</v>
      </c>
      <c r="D161" s="158"/>
      <c r="E161" s="159">
        <f t="shared" si="1"/>
        <v>0</v>
      </c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</row>
    <row r="162">
      <c r="A162" s="36"/>
      <c r="B162" s="162" t="s">
        <v>8</v>
      </c>
      <c r="C162" s="157">
        <v>4.0</v>
      </c>
      <c r="D162" s="158"/>
      <c r="E162" s="159">
        <f t="shared" si="1"/>
        <v>4</v>
      </c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</row>
    <row r="163">
      <c r="A163" s="36"/>
      <c r="B163" s="156" t="s">
        <v>9</v>
      </c>
      <c r="C163" s="157">
        <v>1.0</v>
      </c>
      <c r="D163" s="158"/>
      <c r="E163" s="159">
        <f t="shared" si="1"/>
        <v>1</v>
      </c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</row>
    <row r="164">
      <c r="A164" s="36"/>
      <c r="B164" s="156" t="s">
        <v>10</v>
      </c>
      <c r="C164" s="157">
        <v>0.0</v>
      </c>
      <c r="D164" s="158"/>
      <c r="E164" s="159">
        <f t="shared" si="1"/>
        <v>0</v>
      </c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</row>
    <row r="165">
      <c r="A165" s="36"/>
      <c r="B165" s="156" t="s">
        <v>11</v>
      </c>
      <c r="C165" s="157">
        <v>0.0</v>
      </c>
      <c r="D165" s="158"/>
      <c r="E165" s="159">
        <f t="shared" si="1"/>
        <v>0</v>
      </c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</row>
    <row r="166">
      <c r="A166" s="36"/>
      <c r="B166" s="162" t="s">
        <v>12</v>
      </c>
      <c r="C166" s="157">
        <v>4.0</v>
      </c>
      <c r="D166" s="158"/>
      <c r="E166" s="159">
        <f t="shared" si="1"/>
        <v>4</v>
      </c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</row>
    <row r="167">
      <c r="A167" s="36"/>
      <c r="B167" s="162" t="s">
        <v>13</v>
      </c>
      <c r="C167" s="157">
        <v>0.0</v>
      </c>
      <c r="D167" s="158"/>
      <c r="E167" s="159">
        <f t="shared" si="1"/>
        <v>0</v>
      </c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</row>
    <row r="168">
      <c r="A168" s="36"/>
      <c r="B168" s="162" t="s">
        <v>14</v>
      </c>
      <c r="C168" s="157">
        <v>0.0</v>
      </c>
      <c r="D168" s="158"/>
      <c r="E168" s="159">
        <f t="shared" si="1"/>
        <v>0</v>
      </c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</row>
    <row r="169">
      <c r="A169" s="36"/>
      <c r="B169" s="162" t="s">
        <v>15</v>
      </c>
      <c r="C169" s="157">
        <v>0.0</v>
      </c>
      <c r="D169" s="158"/>
      <c r="E169" s="159">
        <f t="shared" si="1"/>
        <v>0</v>
      </c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</row>
    <row r="170">
      <c r="A170" s="36"/>
      <c r="B170" s="162" t="s">
        <v>16</v>
      </c>
      <c r="C170" s="157">
        <v>0.0</v>
      </c>
      <c r="D170" s="158"/>
      <c r="E170" s="159">
        <f t="shared" si="1"/>
        <v>0</v>
      </c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</row>
    <row r="171">
      <c r="A171" s="36"/>
      <c r="B171" s="162" t="s">
        <v>17</v>
      </c>
      <c r="C171" s="157">
        <v>1.0</v>
      </c>
      <c r="D171" s="158"/>
      <c r="E171" s="159">
        <f t="shared" si="1"/>
        <v>1</v>
      </c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</row>
    <row r="172">
      <c r="A172" s="36"/>
      <c r="B172" s="156" t="s">
        <v>18</v>
      </c>
      <c r="C172" s="157">
        <v>0.0</v>
      </c>
      <c r="D172" s="158"/>
      <c r="E172" s="159">
        <f t="shared" si="1"/>
        <v>0</v>
      </c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</row>
    <row r="173">
      <c r="A173" s="36"/>
      <c r="B173" s="156" t="s">
        <v>19</v>
      </c>
      <c r="C173" s="157">
        <v>0.0</v>
      </c>
      <c r="D173" s="158"/>
      <c r="E173" s="159">
        <f t="shared" si="1"/>
        <v>0</v>
      </c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</row>
    <row r="174">
      <c r="A174" s="36"/>
      <c r="B174" s="156" t="s">
        <v>20</v>
      </c>
      <c r="C174" s="163">
        <v>0.0</v>
      </c>
      <c r="D174" s="158"/>
      <c r="E174" s="159">
        <f t="shared" si="1"/>
        <v>0</v>
      </c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</row>
    <row r="175">
      <c r="A175" s="36"/>
      <c r="B175" s="156" t="s">
        <v>21</v>
      </c>
      <c r="C175" s="163">
        <v>0.0</v>
      </c>
      <c r="D175" s="158"/>
      <c r="E175" s="159">
        <f t="shared" si="1"/>
        <v>0</v>
      </c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</row>
    <row r="176">
      <c r="A176" s="36"/>
      <c r="B176" s="156" t="s">
        <v>23</v>
      </c>
      <c r="C176" s="163">
        <v>0.0</v>
      </c>
      <c r="D176" s="158"/>
      <c r="E176" s="159">
        <f t="shared" si="1"/>
        <v>0</v>
      </c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</row>
    <row r="177">
      <c r="A177" s="36"/>
      <c r="B177" s="156" t="s">
        <v>24</v>
      </c>
      <c r="C177" s="163">
        <v>3.0</v>
      </c>
      <c r="D177" s="158"/>
      <c r="E177" s="159">
        <f t="shared" si="1"/>
        <v>3</v>
      </c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</row>
    <row r="178">
      <c r="A178" s="36"/>
      <c r="B178" s="156" t="s">
        <v>25</v>
      </c>
      <c r="C178" s="163">
        <v>4.0</v>
      </c>
      <c r="D178" s="164"/>
      <c r="E178" s="159">
        <f t="shared" si="1"/>
        <v>4</v>
      </c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</row>
    <row r="179">
      <c r="A179" s="36"/>
      <c r="B179" s="156" t="s">
        <v>26</v>
      </c>
      <c r="C179" s="163">
        <v>4.0</v>
      </c>
      <c r="D179" s="164"/>
      <c r="E179" s="159">
        <f t="shared" si="1"/>
        <v>4</v>
      </c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</row>
    <row r="180">
      <c r="A180" s="36"/>
      <c r="B180" s="156" t="s">
        <v>27</v>
      </c>
      <c r="C180" s="163">
        <v>6.0</v>
      </c>
      <c r="D180" s="164"/>
      <c r="E180" s="159">
        <f t="shared" si="1"/>
        <v>6</v>
      </c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</row>
    <row r="181">
      <c r="A181" s="36"/>
      <c r="B181" s="156" t="s">
        <v>28</v>
      </c>
      <c r="C181" s="163">
        <v>0.0</v>
      </c>
      <c r="D181" s="164"/>
      <c r="E181" s="159">
        <f t="shared" si="1"/>
        <v>0</v>
      </c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</row>
    <row r="182">
      <c r="A182" s="36"/>
      <c r="B182" s="165" t="s">
        <v>29</v>
      </c>
      <c r="C182" s="163">
        <v>0.0</v>
      </c>
      <c r="D182" s="164"/>
      <c r="E182" s="159">
        <f t="shared" si="1"/>
        <v>0</v>
      </c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</row>
    <row r="183">
      <c r="A183" s="36"/>
      <c r="B183" s="166" t="s">
        <v>30</v>
      </c>
      <c r="C183" s="163">
        <v>0.0</v>
      </c>
      <c r="D183" s="164"/>
      <c r="E183" s="159">
        <f t="shared" si="1"/>
        <v>0</v>
      </c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</row>
    <row r="184">
      <c r="A184" s="36"/>
      <c r="B184" s="167" t="s">
        <v>31</v>
      </c>
      <c r="C184" s="163">
        <v>0.0</v>
      </c>
      <c r="D184" s="164"/>
      <c r="E184" s="159">
        <f t="shared" si="1"/>
        <v>0</v>
      </c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</row>
    <row r="185">
      <c r="A185" s="36"/>
      <c r="B185" s="167" t="s">
        <v>32</v>
      </c>
      <c r="C185" s="163">
        <v>0.0</v>
      </c>
      <c r="D185" s="164"/>
      <c r="E185" s="159">
        <f t="shared" si="1"/>
        <v>0</v>
      </c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</row>
    <row r="186">
      <c r="A186" s="36"/>
      <c r="B186" s="167" t="s">
        <v>33</v>
      </c>
      <c r="C186" s="163">
        <v>0.0</v>
      </c>
      <c r="D186" s="164"/>
      <c r="E186" s="159">
        <f t="shared" si="1"/>
        <v>0</v>
      </c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</row>
    <row r="187">
      <c r="A187" s="91"/>
      <c r="B187" s="167" t="s">
        <v>34</v>
      </c>
      <c r="C187" s="163">
        <v>0.0</v>
      </c>
      <c r="D187" s="164"/>
      <c r="E187" s="159">
        <f t="shared" si="1"/>
        <v>0</v>
      </c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</row>
    <row r="188">
      <c r="A188" s="155">
        <v>46174.0</v>
      </c>
      <c r="B188" s="156" t="s">
        <v>4</v>
      </c>
      <c r="C188" s="157">
        <v>0.0</v>
      </c>
      <c r="D188" s="158"/>
      <c r="E188" s="159">
        <f t="shared" si="1"/>
        <v>0</v>
      </c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</row>
    <row r="189">
      <c r="A189" s="36"/>
      <c r="B189" s="156" t="s">
        <v>5</v>
      </c>
      <c r="C189" s="157">
        <v>0.0</v>
      </c>
      <c r="D189" s="158"/>
      <c r="E189" s="159">
        <f t="shared" si="1"/>
        <v>0</v>
      </c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</row>
    <row r="190">
      <c r="A190" s="36"/>
      <c r="B190" s="156" t="s">
        <v>6</v>
      </c>
      <c r="C190" s="157">
        <v>0.0</v>
      </c>
      <c r="D190" s="158"/>
      <c r="E190" s="159">
        <f t="shared" si="1"/>
        <v>0</v>
      </c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</row>
    <row r="191">
      <c r="A191" s="36"/>
      <c r="B191" s="156" t="s">
        <v>22</v>
      </c>
      <c r="C191" s="157">
        <v>0.0</v>
      </c>
      <c r="D191" s="158"/>
      <c r="E191" s="159">
        <f t="shared" si="1"/>
        <v>0</v>
      </c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</row>
    <row r="192">
      <c r="A192" s="36"/>
      <c r="B192" s="156" t="s">
        <v>7</v>
      </c>
      <c r="C192" s="157">
        <v>0.0</v>
      </c>
      <c r="D192" s="158"/>
      <c r="E192" s="159">
        <f t="shared" si="1"/>
        <v>0</v>
      </c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</row>
    <row r="193">
      <c r="A193" s="36"/>
      <c r="B193" s="162" t="s">
        <v>8</v>
      </c>
      <c r="C193" s="157">
        <v>5.0</v>
      </c>
      <c r="D193" s="158"/>
      <c r="E193" s="159">
        <f t="shared" si="1"/>
        <v>5</v>
      </c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</row>
    <row r="194">
      <c r="A194" s="36"/>
      <c r="B194" s="156" t="s">
        <v>9</v>
      </c>
      <c r="C194" s="157">
        <v>3.0</v>
      </c>
      <c r="D194" s="158"/>
      <c r="E194" s="159">
        <f t="shared" si="1"/>
        <v>3</v>
      </c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</row>
    <row r="195">
      <c r="A195" s="36"/>
      <c r="B195" s="156" t="s">
        <v>10</v>
      </c>
      <c r="C195" s="157">
        <v>0.0</v>
      </c>
      <c r="D195" s="158"/>
      <c r="E195" s="159">
        <f t="shared" si="1"/>
        <v>0</v>
      </c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</row>
    <row r="196">
      <c r="A196" s="36"/>
      <c r="B196" s="156" t="s">
        <v>11</v>
      </c>
      <c r="C196" s="157">
        <v>0.0</v>
      </c>
      <c r="D196" s="158"/>
      <c r="E196" s="159">
        <f t="shared" si="1"/>
        <v>0</v>
      </c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</row>
    <row r="197">
      <c r="A197" s="36"/>
      <c r="B197" s="162" t="s">
        <v>12</v>
      </c>
      <c r="C197" s="157">
        <v>2.0</v>
      </c>
      <c r="D197" s="158"/>
      <c r="E197" s="159">
        <f t="shared" si="1"/>
        <v>2</v>
      </c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</row>
    <row r="198">
      <c r="A198" s="36"/>
      <c r="B198" s="162" t="s">
        <v>13</v>
      </c>
      <c r="C198" s="157">
        <v>0.0</v>
      </c>
      <c r="D198" s="158"/>
      <c r="E198" s="159">
        <f t="shared" si="1"/>
        <v>0</v>
      </c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</row>
    <row r="199">
      <c r="A199" s="36"/>
      <c r="B199" s="162" t="s">
        <v>14</v>
      </c>
      <c r="C199" s="157">
        <v>0.0</v>
      </c>
      <c r="D199" s="158"/>
      <c r="E199" s="159">
        <f t="shared" si="1"/>
        <v>0</v>
      </c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</row>
    <row r="200">
      <c r="A200" s="36"/>
      <c r="B200" s="162" t="s">
        <v>15</v>
      </c>
      <c r="C200" s="157">
        <v>0.0</v>
      </c>
      <c r="D200" s="158"/>
      <c r="E200" s="159">
        <f t="shared" si="1"/>
        <v>0</v>
      </c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</row>
    <row r="201">
      <c r="A201" s="36"/>
      <c r="B201" s="162" t="s">
        <v>16</v>
      </c>
      <c r="C201" s="157">
        <v>0.0</v>
      </c>
      <c r="D201" s="158"/>
      <c r="E201" s="159">
        <f t="shared" si="1"/>
        <v>0</v>
      </c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</row>
    <row r="202">
      <c r="A202" s="36"/>
      <c r="B202" s="162" t="s">
        <v>17</v>
      </c>
      <c r="C202" s="157">
        <v>0.0</v>
      </c>
      <c r="D202" s="158"/>
      <c r="E202" s="159">
        <f t="shared" si="1"/>
        <v>0</v>
      </c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</row>
    <row r="203">
      <c r="A203" s="36"/>
      <c r="B203" s="156" t="s">
        <v>18</v>
      </c>
      <c r="C203" s="157">
        <v>0.0</v>
      </c>
      <c r="D203" s="158"/>
      <c r="E203" s="159">
        <f t="shared" si="1"/>
        <v>0</v>
      </c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</row>
    <row r="204">
      <c r="A204" s="36"/>
      <c r="B204" s="156" t="s">
        <v>19</v>
      </c>
      <c r="C204" s="157">
        <v>2.0</v>
      </c>
      <c r="D204" s="158"/>
      <c r="E204" s="159">
        <f t="shared" si="1"/>
        <v>2</v>
      </c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</row>
    <row r="205">
      <c r="A205" s="36"/>
      <c r="B205" s="156" t="s">
        <v>20</v>
      </c>
      <c r="C205" s="163">
        <v>0.0</v>
      </c>
      <c r="D205" s="158"/>
      <c r="E205" s="159">
        <f t="shared" si="1"/>
        <v>0</v>
      </c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</row>
    <row r="206">
      <c r="A206" s="36"/>
      <c r="B206" s="156" t="s">
        <v>21</v>
      </c>
      <c r="C206" s="163">
        <v>0.0</v>
      </c>
      <c r="D206" s="158"/>
      <c r="E206" s="159">
        <f t="shared" si="1"/>
        <v>0</v>
      </c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</row>
    <row r="207">
      <c r="A207" s="36"/>
      <c r="B207" s="156" t="s">
        <v>23</v>
      </c>
      <c r="C207" s="163">
        <v>0.0</v>
      </c>
      <c r="D207" s="158"/>
      <c r="E207" s="159">
        <f t="shared" si="1"/>
        <v>0</v>
      </c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</row>
    <row r="208">
      <c r="A208" s="36"/>
      <c r="B208" s="156" t="s">
        <v>24</v>
      </c>
      <c r="C208" s="163">
        <v>2.0</v>
      </c>
      <c r="D208" s="158"/>
      <c r="E208" s="159">
        <f t="shared" si="1"/>
        <v>2</v>
      </c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</row>
    <row r="209">
      <c r="A209" s="36"/>
      <c r="B209" s="156" t="s">
        <v>25</v>
      </c>
      <c r="C209" s="163">
        <v>0.0</v>
      </c>
      <c r="D209" s="164"/>
      <c r="E209" s="159">
        <f t="shared" si="1"/>
        <v>0</v>
      </c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</row>
    <row r="210">
      <c r="A210" s="36"/>
      <c r="B210" s="156" t="s">
        <v>26</v>
      </c>
      <c r="C210" s="163">
        <v>3.0</v>
      </c>
      <c r="D210" s="164"/>
      <c r="E210" s="159">
        <f t="shared" si="1"/>
        <v>3</v>
      </c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</row>
    <row r="211">
      <c r="A211" s="36"/>
      <c r="B211" s="156" t="s">
        <v>27</v>
      </c>
      <c r="C211" s="163">
        <v>3.0</v>
      </c>
      <c r="D211" s="164"/>
      <c r="E211" s="159">
        <f t="shared" si="1"/>
        <v>3</v>
      </c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</row>
    <row r="212">
      <c r="A212" s="36"/>
      <c r="B212" s="156" t="s">
        <v>28</v>
      </c>
      <c r="C212" s="163">
        <v>0.0</v>
      </c>
      <c r="D212" s="164"/>
      <c r="E212" s="159">
        <f t="shared" si="1"/>
        <v>0</v>
      </c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</row>
    <row r="213">
      <c r="A213" s="36"/>
      <c r="B213" s="165" t="s">
        <v>29</v>
      </c>
      <c r="C213" s="163">
        <v>0.0</v>
      </c>
      <c r="D213" s="164"/>
      <c r="E213" s="159">
        <f t="shared" si="1"/>
        <v>0</v>
      </c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</row>
    <row r="214">
      <c r="A214" s="36"/>
      <c r="B214" s="166" t="s">
        <v>30</v>
      </c>
      <c r="C214" s="163">
        <v>2.0</v>
      </c>
      <c r="D214" s="164"/>
      <c r="E214" s="159">
        <f t="shared" si="1"/>
        <v>2</v>
      </c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</row>
    <row r="215">
      <c r="A215" s="36"/>
      <c r="B215" s="167" t="s">
        <v>31</v>
      </c>
      <c r="C215" s="163">
        <v>0.0</v>
      </c>
      <c r="D215" s="164"/>
      <c r="E215" s="159">
        <f t="shared" si="1"/>
        <v>0</v>
      </c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</row>
    <row r="216">
      <c r="A216" s="36"/>
      <c r="B216" s="167" t="s">
        <v>32</v>
      </c>
      <c r="C216" s="163">
        <v>0.0</v>
      </c>
      <c r="D216" s="164"/>
      <c r="E216" s="159">
        <f t="shared" si="1"/>
        <v>0</v>
      </c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</row>
    <row r="217">
      <c r="A217" s="36"/>
      <c r="B217" s="167" t="s">
        <v>33</v>
      </c>
      <c r="C217" s="163">
        <v>0.0</v>
      </c>
      <c r="D217" s="164"/>
      <c r="E217" s="159">
        <f t="shared" si="1"/>
        <v>0</v>
      </c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</row>
    <row r="218">
      <c r="A218" s="91"/>
      <c r="B218" s="167" t="s">
        <v>34</v>
      </c>
      <c r="C218" s="163">
        <v>0.0</v>
      </c>
      <c r="D218" s="164"/>
      <c r="E218" s="159">
        <f t="shared" si="1"/>
        <v>0</v>
      </c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</row>
    <row r="219">
      <c r="A219" s="155">
        <v>46175.0</v>
      </c>
      <c r="B219" s="156" t="s">
        <v>4</v>
      </c>
      <c r="C219" s="157">
        <v>0.0</v>
      </c>
      <c r="D219" s="158"/>
      <c r="E219" s="159">
        <f t="shared" si="1"/>
        <v>0</v>
      </c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</row>
    <row r="220">
      <c r="A220" s="36"/>
      <c r="B220" s="156" t="s">
        <v>5</v>
      </c>
      <c r="C220" s="157">
        <v>0.0</v>
      </c>
      <c r="D220" s="158"/>
      <c r="E220" s="159">
        <f t="shared" si="1"/>
        <v>0</v>
      </c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</row>
    <row r="221">
      <c r="A221" s="36"/>
      <c r="B221" s="156" t="s">
        <v>6</v>
      </c>
      <c r="C221" s="157">
        <v>0.0</v>
      </c>
      <c r="D221" s="158"/>
      <c r="E221" s="159">
        <f t="shared" si="1"/>
        <v>0</v>
      </c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</row>
    <row r="222">
      <c r="A222" s="36"/>
      <c r="B222" s="156" t="s">
        <v>22</v>
      </c>
      <c r="C222" s="157">
        <v>3.0</v>
      </c>
      <c r="D222" s="158"/>
      <c r="E222" s="159">
        <f t="shared" si="1"/>
        <v>3</v>
      </c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</row>
    <row r="223">
      <c r="A223" s="36"/>
      <c r="B223" s="156" t="s">
        <v>7</v>
      </c>
      <c r="C223" s="157">
        <v>0.0</v>
      </c>
      <c r="D223" s="158"/>
      <c r="E223" s="159">
        <f t="shared" si="1"/>
        <v>0</v>
      </c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</row>
    <row r="224">
      <c r="A224" s="36"/>
      <c r="B224" s="162" t="s">
        <v>8</v>
      </c>
      <c r="C224" s="157">
        <v>3.0</v>
      </c>
      <c r="D224" s="158"/>
      <c r="E224" s="159">
        <f t="shared" si="1"/>
        <v>3</v>
      </c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</row>
    <row r="225">
      <c r="A225" s="36"/>
      <c r="B225" s="156" t="s">
        <v>9</v>
      </c>
      <c r="C225" s="157">
        <v>0.0</v>
      </c>
      <c r="D225" s="158"/>
      <c r="E225" s="159">
        <f t="shared" si="1"/>
        <v>0</v>
      </c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</row>
    <row r="226">
      <c r="A226" s="36"/>
      <c r="B226" s="156" t="s">
        <v>10</v>
      </c>
      <c r="C226" s="157">
        <v>2.0</v>
      </c>
      <c r="D226" s="158"/>
      <c r="E226" s="159">
        <f t="shared" si="1"/>
        <v>2</v>
      </c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</row>
    <row r="227">
      <c r="A227" s="36"/>
      <c r="B227" s="156" t="s">
        <v>11</v>
      </c>
      <c r="C227" s="157">
        <v>0.0</v>
      </c>
      <c r="D227" s="158"/>
      <c r="E227" s="159">
        <f t="shared" si="1"/>
        <v>0</v>
      </c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</row>
    <row r="228">
      <c r="A228" s="36"/>
      <c r="B228" s="162" t="s">
        <v>12</v>
      </c>
      <c r="C228" s="157">
        <v>2.0</v>
      </c>
      <c r="D228" s="158"/>
      <c r="E228" s="159">
        <f t="shared" si="1"/>
        <v>2</v>
      </c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</row>
    <row r="229">
      <c r="A229" s="36"/>
      <c r="B229" s="162" t="s">
        <v>13</v>
      </c>
      <c r="C229" s="157">
        <v>0.0</v>
      </c>
      <c r="D229" s="158"/>
      <c r="E229" s="159">
        <f t="shared" si="1"/>
        <v>0</v>
      </c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</row>
    <row r="230">
      <c r="A230" s="36"/>
      <c r="B230" s="162" t="s">
        <v>14</v>
      </c>
      <c r="C230" s="157">
        <v>2.0</v>
      </c>
      <c r="D230" s="158"/>
      <c r="E230" s="159">
        <f t="shared" si="1"/>
        <v>2</v>
      </c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</row>
    <row r="231">
      <c r="A231" s="36"/>
      <c r="B231" s="162" t="s">
        <v>15</v>
      </c>
      <c r="C231" s="157">
        <v>0.0</v>
      </c>
      <c r="D231" s="158"/>
      <c r="E231" s="159">
        <f t="shared" si="1"/>
        <v>0</v>
      </c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</row>
    <row r="232">
      <c r="A232" s="36"/>
      <c r="B232" s="162" t="s">
        <v>16</v>
      </c>
      <c r="C232" s="157">
        <v>2.0</v>
      </c>
      <c r="D232" s="158"/>
      <c r="E232" s="159">
        <f t="shared" si="1"/>
        <v>2</v>
      </c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</row>
    <row r="233">
      <c r="A233" s="36"/>
      <c r="B233" s="162" t="s">
        <v>17</v>
      </c>
      <c r="C233" s="157">
        <v>2.0</v>
      </c>
      <c r="D233" s="158"/>
      <c r="E233" s="159">
        <f t="shared" si="1"/>
        <v>2</v>
      </c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</row>
    <row r="234">
      <c r="A234" s="36"/>
      <c r="B234" s="156" t="s">
        <v>18</v>
      </c>
      <c r="C234" s="157">
        <v>2.0</v>
      </c>
      <c r="D234" s="158"/>
      <c r="E234" s="159">
        <f t="shared" si="1"/>
        <v>2</v>
      </c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</row>
    <row r="235">
      <c r="A235" s="36"/>
      <c r="B235" s="156" t="s">
        <v>19</v>
      </c>
      <c r="C235" s="157">
        <v>1.0</v>
      </c>
      <c r="D235" s="158"/>
      <c r="E235" s="159">
        <f t="shared" si="1"/>
        <v>1</v>
      </c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</row>
    <row r="236">
      <c r="A236" s="36"/>
      <c r="B236" s="156" t="s">
        <v>20</v>
      </c>
      <c r="C236" s="157">
        <v>1.0</v>
      </c>
      <c r="D236" s="158"/>
      <c r="E236" s="159">
        <f t="shared" si="1"/>
        <v>1</v>
      </c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</row>
    <row r="237">
      <c r="A237" s="36"/>
      <c r="B237" s="156" t="s">
        <v>21</v>
      </c>
      <c r="C237" s="157">
        <v>0.0</v>
      </c>
      <c r="D237" s="158"/>
      <c r="E237" s="159">
        <f t="shared" si="1"/>
        <v>0</v>
      </c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</row>
    <row r="238">
      <c r="A238" s="36"/>
      <c r="B238" s="156" t="s">
        <v>23</v>
      </c>
      <c r="C238" s="157">
        <v>1.0</v>
      </c>
      <c r="D238" s="158"/>
      <c r="E238" s="159">
        <f t="shared" si="1"/>
        <v>1</v>
      </c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</row>
    <row r="239">
      <c r="A239" s="36"/>
      <c r="B239" s="156" t="s">
        <v>24</v>
      </c>
      <c r="C239" s="157">
        <v>5.0</v>
      </c>
      <c r="D239" s="158"/>
      <c r="E239" s="159">
        <f t="shared" si="1"/>
        <v>5</v>
      </c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</row>
    <row r="240">
      <c r="A240" s="36"/>
      <c r="B240" s="156" t="s">
        <v>25</v>
      </c>
      <c r="C240" s="163">
        <v>6.0</v>
      </c>
      <c r="D240" s="164"/>
      <c r="E240" s="159">
        <f t="shared" si="1"/>
        <v>6</v>
      </c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</row>
    <row r="241">
      <c r="A241" s="36"/>
      <c r="B241" s="156" t="s">
        <v>26</v>
      </c>
      <c r="C241" s="163">
        <v>3.0</v>
      </c>
      <c r="D241" s="164"/>
      <c r="E241" s="159">
        <f t="shared" si="1"/>
        <v>3</v>
      </c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</row>
    <row r="242">
      <c r="A242" s="36"/>
      <c r="B242" s="156" t="s">
        <v>27</v>
      </c>
      <c r="C242" s="163">
        <v>11.0</v>
      </c>
      <c r="D242" s="164"/>
      <c r="E242" s="159">
        <f t="shared" si="1"/>
        <v>11</v>
      </c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</row>
    <row r="243">
      <c r="A243" s="36"/>
      <c r="B243" s="156" t="s">
        <v>28</v>
      </c>
      <c r="C243" s="163">
        <v>0.0</v>
      </c>
      <c r="D243" s="164"/>
      <c r="E243" s="159">
        <f t="shared" si="1"/>
        <v>0</v>
      </c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</row>
    <row r="244">
      <c r="A244" s="36"/>
      <c r="B244" s="165" t="s">
        <v>29</v>
      </c>
      <c r="C244" s="163">
        <v>0.0</v>
      </c>
      <c r="D244" s="164"/>
      <c r="E244" s="159">
        <f t="shared" si="1"/>
        <v>0</v>
      </c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</row>
    <row r="245">
      <c r="A245" s="36"/>
      <c r="B245" s="166" t="s">
        <v>30</v>
      </c>
      <c r="C245" s="163">
        <v>1.0</v>
      </c>
      <c r="D245" s="164"/>
      <c r="E245" s="159">
        <f t="shared" si="1"/>
        <v>1</v>
      </c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</row>
    <row r="246">
      <c r="A246" s="36"/>
      <c r="B246" s="167" t="s">
        <v>31</v>
      </c>
      <c r="C246" s="163">
        <v>1.0</v>
      </c>
      <c r="D246" s="164"/>
      <c r="E246" s="159">
        <f t="shared" si="1"/>
        <v>1</v>
      </c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</row>
    <row r="247">
      <c r="A247" s="36"/>
      <c r="B247" s="167" t="s">
        <v>32</v>
      </c>
      <c r="C247" s="163">
        <v>0.0</v>
      </c>
      <c r="D247" s="164"/>
      <c r="E247" s="159">
        <f t="shared" si="1"/>
        <v>0</v>
      </c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</row>
    <row r="248">
      <c r="A248" s="36"/>
      <c r="B248" s="167" t="s">
        <v>33</v>
      </c>
      <c r="C248" s="163">
        <v>0.0</v>
      </c>
      <c r="D248" s="164"/>
      <c r="E248" s="159">
        <f t="shared" si="1"/>
        <v>0</v>
      </c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</row>
    <row r="249">
      <c r="A249" s="91"/>
      <c r="B249" s="167" t="s">
        <v>34</v>
      </c>
      <c r="C249" s="163">
        <v>0.0</v>
      </c>
      <c r="D249" s="164"/>
      <c r="E249" s="159">
        <f t="shared" si="1"/>
        <v>0</v>
      </c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</row>
    <row r="250">
      <c r="A250" s="155">
        <v>46176.0</v>
      </c>
      <c r="B250" s="156" t="s">
        <v>4</v>
      </c>
      <c r="C250" s="157">
        <v>0.0</v>
      </c>
      <c r="D250" s="158"/>
      <c r="E250" s="159">
        <f t="shared" si="1"/>
        <v>0</v>
      </c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</row>
    <row r="251">
      <c r="A251" s="36"/>
      <c r="B251" s="156" t="s">
        <v>5</v>
      </c>
      <c r="C251" s="157">
        <v>0.0</v>
      </c>
      <c r="D251" s="158"/>
      <c r="E251" s="159">
        <f t="shared" si="1"/>
        <v>0</v>
      </c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</row>
    <row r="252">
      <c r="A252" s="36"/>
      <c r="B252" s="156" t="s">
        <v>6</v>
      </c>
      <c r="C252" s="157">
        <v>0.0</v>
      </c>
      <c r="D252" s="158"/>
      <c r="E252" s="159">
        <f t="shared" si="1"/>
        <v>0</v>
      </c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</row>
    <row r="253">
      <c r="A253" s="36"/>
      <c r="B253" s="156" t="s">
        <v>22</v>
      </c>
      <c r="C253" s="157">
        <v>0.0</v>
      </c>
      <c r="D253" s="158"/>
      <c r="E253" s="159">
        <f t="shared" si="1"/>
        <v>0</v>
      </c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</row>
    <row r="254">
      <c r="A254" s="36"/>
      <c r="B254" s="156" t="s">
        <v>7</v>
      </c>
      <c r="C254" s="157">
        <v>1.0</v>
      </c>
      <c r="D254" s="158"/>
      <c r="E254" s="159">
        <f t="shared" si="1"/>
        <v>1</v>
      </c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</row>
    <row r="255">
      <c r="A255" s="36"/>
      <c r="B255" s="162" t="s">
        <v>8</v>
      </c>
      <c r="C255" s="157">
        <v>2.0</v>
      </c>
      <c r="D255" s="158"/>
      <c r="E255" s="159">
        <f t="shared" si="1"/>
        <v>2</v>
      </c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</row>
    <row r="256">
      <c r="A256" s="36"/>
      <c r="B256" s="156" t="s">
        <v>9</v>
      </c>
      <c r="C256" s="157">
        <v>0.0</v>
      </c>
      <c r="D256" s="158"/>
      <c r="E256" s="159">
        <f t="shared" si="1"/>
        <v>0</v>
      </c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</row>
    <row r="257">
      <c r="A257" s="36"/>
      <c r="B257" s="156" t="s">
        <v>10</v>
      </c>
      <c r="C257" s="157">
        <v>3.0</v>
      </c>
      <c r="D257" s="158"/>
      <c r="E257" s="159">
        <f t="shared" si="1"/>
        <v>3</v>
      </c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</row>
    <row r="258">
      <c r="A258" s="36"/>
      <c r="B258" s="156" t="s">
        <v>11</v>
      </c>
      <c r="C258" s="157">
        <v>2.0</v>
      </c>
      <c r="D258" s="158"/>
      <c r="E258" s="159">
        <f t="shared" si="1"/>
        <v>2</v>
      </c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</row>
    <row r="259">
      <c r="A259" s="36"/>
      <c r="B259" s="162" t="s">
        <v>12</v>
      </c>
      <c r="C259" s="157">
        <v>2.0</v>
      </c>
      <c r="D259" s="158"/>
      <c r="E259" s="159">
        <f t="shared" si="1"/>
        <v>2</v>
      </c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</row>
    <row r="260">
      <c r="A260" s="36"/>
      <c r="B260" s="162" t="s">
        <v>13</v>
      </c>
      <c r="C260" s="157">
        <v>0.0</v>
      </c>
      <c r="D260" s="158"/>
      <c r="E260" s="159">
        <f t="shared" si="1"/>
        <v>0</v>
      </c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</row>
    <row r="261">
      <c r="A261" s="36"/>
      <c r="B261" s="162" t="s">
        <v>14</v>
      </c>
      <c r="C261" s="157">
        <v>0.0</v>
      </c>
      <c r="D261" s="158"/>
      <c r="E261" s="159">
        <f t="shared" si="1"/>
        <v>0</v>
      </c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</row>
    <row r="262">
      <c r="A262" s="36"/>
      <c r="B262" s="162" t="s">
        <v>15</v>
      </c>
      <c r="C262" s="157">
        <v>0.0</v>
      </c>
      <c r="D262" s="158"/>
      <c r="E262" s="159">
        <f t="shared" si="1"/>
        <v>0</v>
      </c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</row>
    <row r="263">
      <c r="A263" s="36"/>
      <c r="B263" s="162" t="s">
        <v>16</v>
      </c>
      <c r="C263" s="157">
        <v>0.0</v>
      </c>
      <c r="D263" s="158"/>
      <c r="E263" s="159">
        <f t="shared" si="1"/>
        <v>0</v>
      </c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</row>
    <row r="264">
      <c r="A264" s="36"/>
      <c r="B264" s="162" t="s">
        <v>17</v>
      </c>
      <c r="C264" s="157">
        <v>0.0</v>
      </c>
      <c r="D264" s="158"/>
      <c r="E264" s="159">
        <f t="shared" si="1"/>
        <v>0</v>
      </c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</row>
    <row r="265">
      <c r="A265" s="36"/>
      <c r="B265" s="156" t="s">
        <v>18</v>
      </c>
      <c r="C265" s="157">
        <v>0.0</v>
      </c>
      <c r="D265" s="158"/>
      <c r="E265" s="159">
        <f t="shared" si="1"/>
        <v>0</v>
      </c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</row>
    <row r="266">
      <c r="A266" s="36"/>
      <c r="B266" s="156" t="s">
        <v>19</v>
      </c>
      <c r="C266" s="157">
        <v>0.0</v>
      </c>
      <c r="D266" s="158"/>
      <c r="E266" s="159">
        <f t="shared" si="1"/>
        <v>0</v>
      </c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</row>
    <row r="267">
      <c r="A267" s="36"/>
      <c r="B267" s="156" t="s">
        <v>20</v>
      </c>
      <c r="C267" s="157">
        <v>0.0</v>
      </c>
      <c r="D267" s="158"/>
      <c r="E267" s="159">
        <f t="shared" si="1"/>
        <v>0</v>
      </c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</row>
    <row r="268">
      <c r="A268" s="36"/>
      <c r="B268" s="156" t="s">
        <v>21</v>
      </c>
      <c r="C268" s="157">
        <v>0.0</v>
      </c>
      <c r="D268" s="158"/>
      <c r="E268" s="159">
        <f t="shared" si="1"/>
        <v>0</v>
      </c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</row>
    <row r="269">
      <c r="A269" s="36"/>
      <c r="B269" s="156" t="s">
        <v>23</v>
      </c>
      <c r="C269" s="157">
        <v>0.0</v>
      </c>
      <c r="D269" s="158"/>
      <c r="E269" s="159">
        <f t="shared" si="1"/>
        <v>0</v>
      </c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</row>
    <row r="270">
      <c r="A270" s="36"/>
      <c r="B270" s="156" t="s">
        <v>24</v>
      </c>
      <c r="C270" s="157">
        <v>1.0</v>
      </c>
      <c r="D270" s="158"/>
      <c r="E270" s="159">
        <f t="shared" si="1"/>
        <v>1</v>
      </c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</row>
    <row r="271">
      <c r="A271" s="36"/>
      <c r="B271" s="156" t="s">
        <v>25</v>
      </c>
      <c r="C271" s="163">
        <v>1.0</v>
      </c>
      <c r="D271" s="164"/>
      <c r="E271" s="159">
        <f t="shared" si="1"/>
        <v>1</v>
      </c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</row>
    <row r="272">
      <c r="A272" s="36"/>
      <c r="B272" s="156" t="s">
        <v>26</v>
      </c>
      <c r="C272" s="163">
        <v>3.0</v>
      </c>
      <c r="D272" s="164"/>
      <c r="E272" s="159">
        <f t="shared" si="1"/>
        <v>3</v>
      </c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</row>
    <row r="273">
      <c r="A273" s="36"/>
      <c r="B273" s="156" t="s">
        <v>27</v>
      </c>
      <c r="C273" s="163">
        <v>7.0</v>
      </c>
      <c r="D273" s="164"/>
      <c r="E273" s="159">
        <f t="shared" si="1"/>
        <v>7</v>
      </c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</row>
    <row r="274">
      <c r="A274" s="36"/>
      <c r="B274" s="156" t="s">
        <v>28</v>
      </c>
      <c r="C274" s="163">
        <v>0.0</v>
      </c>
      <c r="D274" s="164"/>
      <c r="E274" s="159">
        <f t="shared" si="1"/>
        <v>0</v>
      </c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</row>
    <row r="275">
      <c r="A275" s="36"/>
      <c r="B275" s="165" t="s">
        <v>29</v>
      </c>
      <c r="C275" s="163">
        <v>0.0</v>
      </c>
      <c r="D275" s="164"/>
      <c r="E275" s="159">
        <f t="shared" si="1"/>
        <v>0</v>
      </c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</row>
    <row r="276">
      <c r="A276" s="36"/>
      <c r="B276" s="166" t="s">
        <v>30</v>
      </c>
      <c r="C276" s="163">
        <v>0.0</v>
      </c>
      <c r="D276" s="164"/>
      <c r="E276" s="159">
        <f t="shared" si="1"/>
        <v>0</v>
      </c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</row>
    <row r="277">
      <c r="A277" s="36"/>
      <c r="B277" s="167" t="s">
        <v>31</v>
      </c>
      <c r="C277" s="163">
        <v>0.0</v>
      </c>
      <c r="D277" s="164"/>
      <c r="E277" s="159">
        <f t="shared" si="1"/>
        <v>0</v>
      </c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</row>
    <row r="278">
      <c r="A278" s="36"/>
      <c r="B278" s="167" t="s">
        <v>32</v>
      </c>
      <c r="C278" s="163">
        <v>0.0</v>
      </c>
      <c r="D278" s="164"/>
      <c r="E278" s="159">
        <f t="shared" si="1"/>
        <v>0</v>
      </c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</row>
    <row r="279">
      <c r="A279" s="36"/>
      <c r="B279" s="167" t="s">
        <v>33</v>
      </c>
      <c r="C279" s="163">
        <v>0.0</v>
      </c>
      <c r="D279" s="164"/>
      <c r="E279" s="159">
        <f t="shared" si="1"/>
        <v>0</v>
      </c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</row>
    <row r="280">
      <c r="A280" s="91"/>
      <c r="B280" s="167" t="s">
        <v>34</v>
      </c>
      <c r="C280" s="163">
        <v>0.0</v>
      </c>
      <c r="D280" s="164"/>
      <c r="E280" s="159">
        <f t="shared" si="1"/>
        <v>0</v>
      </c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</row>
    <row r="281">
      <c r="A281" s="155">
        <v>46177.0</v>
      </c>
      <c r="B281" s="156" t="s">
        <v>4</v>
      </c>
      <c r="C281" s="157">
        <v>0.0</v>
      </c>
      <c r="D281" s="158"/>
      <c r="E281" s="159">
        <f t="shared" si="1"/>
        <v>0</v>
      </c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</row>
    <row r="282">
      <c r="A282" s="36"/>
      <c r="B282" s="156" t="s">
        <v>5</v>
      </c>
      <c r="C282" s="157">
        <v>0.0</v>
      </c>
      <c r="D282" s="158"/>
      <c r="E282" s="159">
        <f t="shared" si="1"/>
        <v>0</v>
      </c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</row>
    <row r="283">
      <c r="A283" s="36"/>
      <c r="B283" s="156" t="s">
        <v>6</v>
      </c>
      <c r="C283" s="157">
        <v>0.0</v>
      </c>
      <c r="D283" s="158"/>
      <c r="E283" s="159">
        <f t="shared" si="1"/>
        <v>0</v>
      </c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</row>
    <row r="284">
      <c r="A284" s="36"/>
      <c r="B284" s="156" t="s">
        <v>22</v>
      </c>
      <c r="C284" s="157">
        <v>0.0</v>
      </c>
      <c r="D284" s="158"/>
      <c r="E284" s="159">
        <f t="shared" si="1"/>
        <v>0</v>
      </c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</row>
    <row r="285">
      <c r="A285" s="36"/>
      <c r="B285" s="156" t="s">
        <v>7</v>
      </c>
      <c r="C285" s="157">
        <v>0.0</v>
      </c>
      <c r="D285" s="158"/>
      <c r="E285" s="159">
        <f t="shared" si="1"/>
        <v>0</v>
      </c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</row>
    <row r="286">
      <c r="A286" s="36"/>
      <c r="B286" s="162" t="s">
        <v>8</v>
      </c>
      <c r="C286" s="157">
        <v>2.0</v>
      </c>
      <c r="D286" s="158"/>
      <c r="E286" s="159">
        <f t="shared" si="1"/>
        <v>2</v>
      </c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</row>
    <row r="287">
      <c r="A287" s="36"/>
      <c r="B287" s="156" t="s">
        <v>9</v>
      </c>
      <c r="C287" s="157">
        <v>0.0</v>
      </c>
      <c r="D287" s="158"/>
      <c r="E287" s="159">
        <f t="shared" si="1"/>
        <v>0</v>
      </c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</row>
    <row r="288">
      <c r="A288" s="36"/>
      <c r="B288" s="156" t="s">
        <v>10</v>
      </c>
      <c r="C288" s="157">
        <v>0.0</v>
      </c>
      <c r="D288" s="158"/>
      <c r="E288" s="159">
        <f t="shared" si="1"/>
        <v>0</v>
      </c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</row>
    <row r="289">
      <c r="A289" s="36"/>
      <c r="B289" s="156" t="s">
        <v>11</v>
      </c>
      <c r="C289" s="157">
        <v>0.0</v>
      </c>
      <c r="D289" s="158"/>
      <c r="E289" s="159">
        <f t="shared" si="1"/>
        <v>0</v>
      </c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</row>
    <row r="290">
      <c r="A290" s="36"/>
      <c r="B290" s="162" t="s">
        <v>12</v>
      </c>
      <c r="C290" s="157">
        <v>2.0</v>
      </c>
      <c r="D290" s="158"/>
      <c r="E290" s="159">
        <f t="shared" si="1"/>
        <v>2</v>
      </c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</row>
    <row r="291">
      <c r="A291" s="36"/>
      <c r="B291" s="162" t="s">
        <v>13</v>
      </c>
      <c r="C291" s="157">
        <v>0.0</v>
      </c>
      <c r="D291" s="158"/>
      <c r="E291" s="159">
        <f t="shared" si="1"/>
        <v>0</v>
      </c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</row>
    <row r="292">
      <c r="A292" s="36"/>
      <c r="B292" s="162" t="s">
        <v>14</v>
      </c>
      <c r="C292" s="157">
        <v>0.0</v>
      </c>
      <c r="D292" s="158"/>
      <c r="E292" s="159">
        <f t="shared" si="1"/>
        <v>0</v>
      </c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</row>
    <row r="293">
      <c r="A293" s="36"/>
      <c r="B293" s="162" t="s">
        <v>15</v>
      </c>
      <c r="C293" s="157">
        <v>1.0</v>
      </c>
      <c r="D293" s="158"/>
      <c r="E293" s="159">
        <f t="shared" si="1"/>
        <v>1</v>
      </c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</row>
    <row r="294">
      <c r="A294" s="36"/>
      <c r="B294" s="162" t="s">
        <v>16</v>
      </c>
      <c r="C294" s="157">
        <v>0.0</v>
      </c>
      <c r="D294" s="158"/>
      <c r="E294" s="159">
        <f t="shared" si="1"/>
        <v>0</v>
      </c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</row>
    <row r="295">
      <c r="A295" s="36"/>
      <c r="B295" s="162" t="s">
        <v>17</v>
      </c>
      <c r="C295" s="157">
        <v>0.0</v>
      </c>
      <c r="D295" s="158"/>
      <c r="E295" s="159">
        <f t="shared" si="1"/>
        <v>0</v>
      </c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</row>
    <row r="296">
      <c r="A296" s="36"/>
      <c r="B296" s="156" t="s">
        <v>18</v>
      </c>
      <c r="C296" s="157">
        <v>0.0</v>
      </c>
      <c r="D296" s="158"/>
      <c r="E296" s="159">
        <f t="shared" si="1"/>
        <v>0</v>
      </c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</row>
    <row r="297">
      <c r="A297" s="36"/>
      <c r="B297" s="156" t="s">
        <v>19</v>
      </c>
      <c r="C297" s="157">
        <v>0.0</v>
      </c>
      <c r="D297" s="158"/>
      <c r="E297" s="159">
        <f t="shared" si="1"/>
        <v>0</v>
      </c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</row>
    <row r="298">
      <c r="A298" s="36"/>
      <c r="B298" s="156" t="s">
        <v>20</v>
      </c>
      <c r="C298" s="157">
        <v>0.0</v>
      </c>
      <c r="D298" s="158"/>
      <c r="E298" s="159">
        <f t="shared" si="1"/>
        <v>0</v>
      </c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</row>
    <row r="299">
      <c r="A299" s="36"/>
      <c r="B299" s="156" t="s">
        <v>21</v>
      </c>
      <c r="C299" s="157">
        <v>0.0</v>
      </c>
      <c r="D299" s="158"/>
      <c r="E299" s="159">
        <f t="shared" si="1"/>
        <v>0</v>
      </c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</row>
    <row r="300">
      <c r="A300" s="36"/>
      <c r="B300" s="156" t="s">
        <v>23</v>
      </c>
      <c r="C300" s="157">
        <v>0.0</v>
      </c>
      <c r="D300" s="158"/>
      <c r="E300" s="159">
        <f t="shared" si="1"/>
        <v>0</v>
      </c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</row>
    <row r="301">
      <c r="A301" s="36"/>
      <c r="B301" s="156" t="s">
        <v>24</v>
      </c>
      <c r="C301" s="157">
        <v>2.0</v>
      </c>
      <c r="D301" s="158"/>
      <c r="E301" s="159">
        <f t="shared" si="1"/>
        <v>2</v>
      </c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</row>
    <row r="302">
      <c r="A302" s="36"/>
      <c r="B302" s="156" t="s">
        <v>25</v>
      </c>
      <c r="C302" s="163">
        <v>0.0</v>
      </c>
      <c r="D302" s="164"/>
      <c r="E302" s="159">
        <f t="shared" si="1"/>
        <v>0</v>
      </c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</row>
    <row r="303">
      <c r="A303" s="36"/>
      <c r="B303" s="156" t="s">
        <v>26</v>
      </c>
      <c r="C303" s="163">
        <v>0.0</v>
      </c>
      <c r="D303" s="164"/>
      <c r="E303" s="159">
        <f t="shared" si="1"/>
        <v>0</v>
      </c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</row>
    <row r="304">
      <c r="A304" s="36"/>
      <c r="B304" s="156" t="s">
        <v>27</v>
      </c>
      <c r="C304" s="163">
        <v>2.0</v>
      </c>
      <c r="D304" s="164"/>
      <c r="E304" s="159">
        <f t="shared" si="1"/>
        <v>2</v>
      </c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</row>
    <row r="305">
      <c r="A305" s="36"/>
      <c r="B305" s="156" t="s">
        <v>28</v>
      </c>
      <c r="C305" s="163">
        <v>0.0</v>
      </c>
      <c r="D305" s="164"/>
      <c r="E305" s="159">
        <f t="shared" si="1"/>
        <v>0</v>
      </c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</row>
    <row r="306">
      <c r="A306" s="36"/>
      <c r="B306" s="165" t="s">
        <v>29</v>
      </c>
      <c r="C306" s="163">
        <v>0.0</v>
      </c>
      <c r="D306" s="164"/>
      <c r="E306" s="159">
        <f t="shared" si="1"/>
        <v>0</v>
      </c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</row>
    <row r="307">
      <c r="A307" s="36"/>
      <c r="B307" s="166" t="s">
        <v>30</v>
      </c>
      <c r="C307" s="163">
        <v>0.0</v>
      </c>
      <c r="D307" s="164"/>
      <c r="E307" s="159">
        <f t="shared" si="1"/>
        <v>0</v>
      </c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</row>
    <row r="308">
      <c r="A308" s="36"/>
      <c r="B308" s="167" t="s">
        <v>31</v>
      </c>
      <c r="C308" s="163">
        <v>0.0</v>
      </c>
      <c r="D308" s="164"/>
      <c r="E308" s="159">
        <f t="shared" si="1"/>
        <v>0</v>
      </c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</row>
    <row r="309">
      <c r="A309" s="36"/>
      <c r="B309" s="167" t="s">
        <v>32</v>
      </c>
      <c r="C309" s="163">
        <v>0.0</v>
      </c>
      <c r="D309" s="164"/>
      <c r="E309" s="159">
        <f t="shared" si="1"/>
        <v>0</v>
      </c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</row>
    <row r="310">
      <c r="A310" s="36"/>
      <c r="B310" s="167" t="s">
        <v>33</v>
      </c>
      <c r="C310" s="163">
        <v>0.0</v>
      </c>
      <c r="D310" s="164"/>
      <c r="E310" s="159">
        <f t="shared" si="1"/>
        <v>0</v>
      </c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</row>
    <row r="311">
      <c r="A311" s="91"/>
      <c r="B311" s="167" t="s">
        <v>34</v>
      </c>
      <c r="C311" s="163">
        <v>0.0</v>
      </c>
      <c r="D311" s="164"/>
      <c r="E311" s="159">
        <f t="shared" si="1"/>
        <v>0</v>
      </c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</row>
    <row r="312">
      <c r="A312" s="155">
        <v>46178.0</v>
      </c>
      <c r="B312" s="156" t="s">
        <v>4</v>
      </c>
      <c r="C312" s="157">
        <v>0.0</v>
      </c>
      <c r="D312" s="158"/>
      <c r="E312" s="159">
        <f t="shared" si="1"/>
        <v>0</v>
      </c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</row>
    <row r="313">
      <c r="A313" s="36"/>
      <c r="B313" s="156" t="s">
        <v>5</v>
      </c>
      <c r="C313" s="157">
        <v>0.0</v>
      </c>
      <c r="D313" s="158"/>
      <c r="E313" s="159">
        <f t="shared" si="1"/>
        <v>0</v>
      </c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</row>
    <row r="314">
      <c r="A314" s="36"/>
      <c r="B314" s="156" t="s">
        <v>6</v>
      </c>
      <c r="C314" s="157">
        <v>1.0</v>
      </c>
      <c r="D314" s="158"/>
      <c r="E314" s="159">
        <f t="shared" si="1"/>
        <v>1</v>
      </c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</row>
    <row r="315">
      <c r="A315" s="36"/>
      <c r="B315" s="156" t="s">
        <v>22</v>
      </c>
      <c r="C315" s="157">
        <v>0.0</v>
      </c>
      <c r="D315" s="158"/>
      <c r="E315" s="159">
        <f t="shared" si="1"/>
        <v>0</v>
      </c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</row>
    <row r="316">
      <c r="A316" s="36"/>
      <c r="B316" s="156" t="s">
        <v>7</v>
      </c>
      <c r="C316" s="157">
        <v>1.0</v>
      </c>
      <c r="D316" s="158"/>
      <c r="E316" s="159">
        <f t="shared" si="1"/>
        <v>1</v>
      </c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</row>
    <row r="317">
      <c r="A317" s="36"/>
      <c r="B317" s="162" t="s">
        <v>8</v>
      </c>
      <c r="C317" s="157">
        <v>4.0</v>
      </c>
      <c r="D317" s="158"/>
      <c r="E317" s="159">
        <f t="shared" si="1"/>
        <v>4</v>
      </c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</row>
    <row r="318">
      <c r="A318" s="36"/>
      <c r="B318" s="156" t="s">
        <v>9</v>
      </c>
      <c r="C318" s="157">
        <v>1.0</v>
      </c>
      <c r="D318" s="158"/>
      <c r="E318" s="159">
        <f t="shared" si="1"/>
        <v>1</v>
      </c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</row>
    <row r="319">
      <c r="A319" s="36"/>
      <c r="B319" s="156" t="s">
        <v>10</v>
      </c>
      <c r="C319" s="157">
        <v>0.0</v>
      </c>
      <c r="D319" s="158"/>
      <c r="E319" s="159">
        <f t="shared" si="1"/>
        <v>0</v>
      </c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</row>
    <row r="320">
      <c r="A320" s="36"/>
      <c r="B320" s="156" t="s">
        <v>11</v>
      </c>
      <c r="C320" s="157">
        <v>0.0</v>
      </c>
      <c r="D320" s="158"/>
      <c r="E320" s="159">
        <f t="shared" si="1"/>
        <v>0</v>
      </c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</row>
    <row r="321">
      <c r="A321" s="36"/>
      <c r="B321" s="162" t="s">
        <v>12</v>
      </c>
      <c r="C321" s="157">
        <v>5.0</v>
      </c>
      <c r="D321" s="158"/>
      <c r="E321" s="159">
        <f t="shared" si="1"/>
        <v>5</v>
      </c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</row>
    <row r="322">
      <c r="A322" s="36"/>
      <c r="B322" s="162" t="s">
        <v>13</v>
      </c>
      <c r="C322" s="157">
        <v>0.0</v>
      </c>
      <c r="D322" s="158"/>
      <c r="E322" s="159">
        <f t="shared" si="1"/>
        <v>0</v>
      </c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</row>
    <row r="323">
      <c r="A323" s="36"/>
      <c r="B323" s="162" t="s">
        <v>14</v>
      </c>
      <c r="C323" s="157">
        <v>0.0</v>
      </c>
      <c r="D323" s="158"/>
      <c r="E323" s="159">
        <f t="shared" si="1"/>
        <v>0</v>
      </c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</row>
    <row r="324">
      <c r="A324" s="36"/>
      <c r="B324" s="162" t="s">
        <v>15</v>
      </c>
      <c r="C324" s="157">
        <v>0.0</v>
      </c>
      <c r="D324" s="158"/>
      <c r="E324" s="159">
        <f t="shared" si="1"/>
        <v>0</v>
      </c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</row>
    <row r="325">
      <c r="A325" s="36"/>
      <c r="B325" s="162" t="s">
        <v>16</v>
      </c>
      <c r="C325" s="157">
        <v>0.0</v>
      </c>
      <c r="D325" s="158"/>
      <c r="E325" s="159">
        <f t="shared" si="1"/>
        <v>0</v>
      </c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</row>
    <row r="326">
      <c r="A326" s="36"/>
      <c r="B326" s="162" t="s">
        <v>17</v>
      </c>
      <c r="C326" s="157">
        <v>1.0</v>
      </c>
      <c r="D326" s="158"/>
      <c r="E326" s="159">
        <f t="shared" si="1"/>
        <v>1</v>
      </c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</row>
    <row r="327">
      <c r="A327" s="36"/>
      <c r="B327" s="156" t="s">
        <v>18</v>
      </c>
      <c r="C327" s="157">
        <v>3.0</v>
      </c>
      <c r="D327" s="158"/>
      <c r="E327" s="159">
        <f t="shared" si="1"/>
        <v>3</v>
      </c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</row>
    <row r="328">
      <c r="A328" s="36"/>
      <c r="B328" s="156" t="s">
        <v>19</v>
      </c>
      <c r="C328" s="157">
        <v>0.0</v>
      </c>
      <c r="D328" s="158"/>
      <c r="E328" s="159">
        <f t="shared" si="1"/>
        <v>0</v>
      </c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</row>
    <row r="329">
      <c r="A329" s="36"/>
      <c r="B329" s="156" t="s">
        <v>20</v>
      </c>
      <c r="C329" s="157">
        <v>0.0</v>
      </c>
      <c r="D329" s="158"/>
      <c r="E329" s="159">
        <f t="shared" si="1"/>
        <v>0</v>
      </c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</row>
    <row r="330">
      <c r="A330" s="36"/>
      <c r="B330" s="156" t="s">
        <v>21</v>
      </c>
      <c r="C330" s="157">
        <v>0.0</v>
      </c>
      <c r="D330" s="158"/>
      <c r="E330" s="159">
        <f t="shared" si="1"/>
        <v>0</v>
      </c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</row>
    <row r="331">
      <c r="A331" s="36"/>
      <c r="B331" s="156" t="s">
        <v>23</v>
      </c>
      <c r="C331" s="157">
        <v>0.0</v>
      </c>
      <c r="D331" s="158"/>
      <c r="E331" s="159">
        <f t="shared" si="1"/>
        <v>0</v>
      </c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</row>
    <row r="332">
      <c r="A332" s="36"/>
      <c r="B332" s="156" t="s">
        <v>24</v>
      </c>
      <c r="C332" s="157">
        <v>3.0</v>
      </c>
      <c r="D332" s="158"/>
      <c r="E332" s="159">
        <f t="shared" si="1"/>
        <v>3</v>
      </c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</row>
    <row r="333">
      <c r="A333" s="36"/>
      <c r="B333" s="156" t="s">
        <v>25</v>
      </c>
      <c r="C333" s="163">
        <v>3.0</v>
      </c>
      <c r="D333" s="164"/>
      <c r="E333" s="159">
        <f t="shared" si="1"/>
        <v>3</v>
      </c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</row>
    <row r="334">
      <c r="A334" s="36"/>
      <c r="B334" s="156" t="s">
        <v>26</v>
      </c>
      <c r="C334" s="163">
        <v>6.0</v>
      </c>
      <c r="D334" s="164"/>
      <c r="E334" s="159">
        <f t="shared" si="1"/>
        <v>6</v>
      </c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</row>
    <row r="335">
      <c r="A335" s="36"/>
      <c r="B335" s="156" t="s">
        <v>27</v>
      </c>
      <c r="C335" s="163">
        <v>10.0</v>
      </c>
      <c r="D335" s="164"/>
      <c r="E335" s="159">
        <f t="shared" si="1"/>
        <v>10</v>
      </c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</row>
    <row r="336">
      <c r="A336" s="36"/>
      <c r="B336" s="156" t="s">
        <v>28</v>
      </c>
      <c r="C336" s="163">
        <v>0.0</v>
      </c>
      <c r="D336" s="164"/>
      <c r="E336" s="159">
        <f t="shared" si="1"/>
        <v>0</v>
      </c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</row>
    <row r="337">
      <c r="A337" s="36"/>
      <c r="B337" s="165" t="s">
        <v>29</v>
      </c>
      <c r="C337" s="163">
        <v>0.0</v>
      </c>
      <c r="D337" s="164"/>
      <c r="E337" s="159">
        <f t="shared" si="1"/>
        <v>0</v>
      </c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</row>
    <row r="338">
      <c r="A338" s="36"/>
      <c r="B338" s="166" t="s">
        <v>30</v>
      </c>
      <c r="C338" s="163">
        <v>1.0</v>
      </c>
      <c r="D338" s="164"/>
      <c r="E338" s="159">
        <f t="shared" si="1"/>
        <v>1</v>
      </c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</row>
    <row r="339">
      <c r="A339" s="36"/>
      <c r="B339" s="167" t="s">
        <v>31</v>
      </c>
      <c r="C339" s="163">
        <v>0.0</v>
      </c>
      <c r="D339" s="164"/>
      <c r="E339" s="159">
        <f t="shared" si="1"/>
        <v>0</v>
      </c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</row>
    <row r="340">
      <c r="A340" s="36"/>
      <c r="B340" s="167" t="s">
        <v>32</v>
      </c>
      <c r="C340" s="163">
        <v>0.0</v>
      </c>
      <c r="D340" s="164"/>
      <c r="E340" s="159">
        <f t="shared" si="1"/>
        <v>0</v>
      </c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</row>
    <row r="341">
      <c r="A341" s="36"/>
      <c r="B341" s="167" t="s">
        <v>33</v>
      </c>
      <c r="C341" s="163">
        <v>0.0</v>
      </c>
      <c r="D341" s="164"/>
      <c r="E341" s="159">
        <f t="shared" si="1"/>
        <v>0</v>
      </c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</row>
    <row r="342">
      <c r="A342" s="91"/>
      <c r="B342" s="167" t="s">
        <v>34</v>
      </c>
      <c r="C342" s="163">
        <v>0.0</v>
      </c>
      <c r="D342" s="164"/>
      <c r="E342" s="159">
        <f t="shared" si="1"/>
        <v>0</v>
      </c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</row>
    <row r="343">
      <c r="A343" s="155">
        <v>46179.0</v>
      </c>
      <c r="B343" s="156" t="s">
        <v>4</v>
      </c>
      <c r="C343" s="157">
        <v>0.0</v>
      </c>
      <c r="D343" s="158"/>
      <c r="E343" s="159">
        <f t="shared" si="1"/>
        <v>0</v>
      </c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</row>
    <row r="344">
      <c r="A344" s="36"/>
      <c r="B344" s="156" t="s">
        <v>5</v>
      </c>
      <c r="C344" s="157">
        <v>0.0</v>
      </c>
      <c r="D344" s="158"/>
      <c r="E344" s="159">
        <f t="shared" si="1"/>
        <v>0</v>
      </c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</row>
    <row r="345">
      <c r="A345" s="36"/>
      <c r="B345" s="156" t="s">
        <v>6</v>
      </c>
      <c r="C345" s="157">
        <v>3.0</v>
      </c>
      <c r="D345" s="158"/>
      <c r="E345" s="159">
        <f t="shared" si="1"/>
        <v>3</v>
      </c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</row>
    <row r="346">
      <c r="A346" s="36"/>
      <c r="B346" s="156" t="s">
        <v>22</v>
      </c>
      <c r="C346" s="157">
        <v>1.0</v>
      </c>
      <c r="D346" s="158"/>
      <c r="E346" s="159">
        <f t="shared" si="1"/>
        <v>1</v>
      </c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</row>
    <row r="347">
      <c r="A347" s="36"/>
      <c r="B347" s="156" t="s">
        <v>7</v>
      </c>
      <c r="C347" s="157">
        <v>0.0</v>
      </c>
      <c r="D347" s="158"/>
      <c r="E347" s="159">
        <f t="shared" si="1"/>
        <v>0</v>
      </c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</row>
    <row r="348">
      <c r="A348" s="36"/>
      <c r="B348" s="162" t="s">
        <v>8</v>
      </c>
      <c r="C348" s="157">
        <v>6.0</v>
      </c>
      <c r="D348" s="158"/>
      <c r="E348" s="159">
        <f t="shared" si="1"/>
        <v>6</v>
      </c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</row>
    <row r="349">
      <c r="A349" s="36"/>
      <c r="B349" s="156" t="s">
        <v>9</v>
      </c>
      <c r="C349" s="157">
        <v>0.0</v>
      </c>
      <c r="D349" s="158"/>
      <c r="E349" s="159">
        <f t="shared" si="1"/>
        <v>0</v>
      </c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</row>
    <row r="350">
      <c r="A350" s="36"/>
      <c r="B350" s="156" t="s">
        <v>10</v>
      </c>
      <c r="C350" s="157">
        <v>0.0</v>
      </c>
      <c r="D350" s="158"/>
      <c r="E350" s="159">
        <f t="shared" si="1"/>
        <v>0</v>
      </c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</row>
    <row r="351">
      <c r="A351" s="36"/>
      <c r="B351" s="156" t="s">
        <v>11</v>
      </c>
      <c r="C351" s="157">
        <v>2.0</v>
      </c>
      <c r="D351" s="158"/>
      <c r="E351" s="159">
        <f t="shared" si="1"/>
        <v>2</v>
      </c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</row>
    <row r="352">
      <c r="A352" s="36"/>
      <c r="B352" s="162" t="s">
        <v>12</v>
      </c>
      <c r="C352" s="157">
        <v>5.0</v>
      </c>
      <c r="D352" s="158"/>
      <c r="E352" s="159">
        <f t="shared" si="1"/>
        <v>5</v>
      </c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</row>
    <row r="353">
      <c r="A353" s="36"/>
      <c r="B353" s="162" t="s">
        <v>13</v>
      </c>
      <c r="C353" s="157">
        <v>0.0</v>
      </c>
      <c r="D353" s="158"/>
      <c r="E353" s="159">
        <f t="shared" si="1"/>
        <v>0</v>
      </c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</row>
    <row r="354">
      <c r="A354" s="36"/>
      <c r="B354" s="162" t="s">
        <v>14</v>
      </c>
      <c r="C354" s="157">
        <v>0.0</v>
      </c>
      <c r="D354" s="158"/>
      <c r="E354" s="159">
        <f t="shared" si="1"/>
        <v>0</v>
      </c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</row>
    <row r="355">
      <c r="A355" s="36"/>
      <c r="B355" s="162" t="s">
        <v>15</v>
      </c>
      <c r="C355" s="157">
        <v>1.0</v>
      </c>
      <c r="D355" s="158"/>
      <c r="E355" s="159">
        <f t="shared" si="1"/>
        <v>1</v>
      </c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</row>
    <row r="356">
      <c r="A356" s="36"/>
      <c r="B356" s="162" t="s">
        <v>16</v>
      </c>
      <c r="C356" s="157">
        <v>0.0</v>
      </c>
      <c r="D356" s="158"/>
      <c r="E356" s="159">
        <f t="shared" si="1"/>
        <v>0</v>
      </c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</row>
    <row r="357">
      <c r="A357" s="36"/>
      <c r="B357" s="162" t="s">
        <v>17</v>
      </c>
      <c r="C357" s="157">
        <v>1.0</v>
      </c>
      <c r="D357" s="158"/>
      <c r="E357" s="159">
        <f t="shared" si="1"/>
        <v>1</v>
      </c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</row>
    <row r="358">
      <c r="A358" s="36"/>
      <c r="B358" s="156" t="s">
        <v>18</v>
      </c>
      <c r="C358" s="157">
        <v>0.0</v>
      </c>
      <c r="D358" s="158"/>
      <c r="E358" s="159">
        <f t="shared" si="1"/>
        <v>0</v>
      </c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</row>
    <row r="359">
      <c r="A359" s="36"/>
      <c r="B359" s="156" t="s">
        <v>19</v>
      </c>
      <c r="C359" s="157">
        <v>1.0</v>
      </c>
      <c r="D359" s="158"/>
      <c r="E359" s="159">
        <f t="shared" si="1"/>
        <v>1</v>
      </c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</row>
    <row r="360">
      <c r="A360" s="36"/>
      <c r="B360" s="156" t="s">
        <v>20</v>
      </c>
      <c r="C360" s="157">
        <v>0.0</v>
      </c>
      <c r="D360" s="158"/>
      <c r="E360" s="159">
        <f t="shared" si="1"/>
        <v>0</v>
      </c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</row>
    <row r="361">
      <c r="A361" s="36"/>
      <c r="B361" s="156" t="s">
        <v>21</v>
      </c>
      <c r="C361" s="157">
        <v>0.0</v>
      </c>
      <c r="D361" s="158"/>
      <c r="E361" s="159">
        <f t="shared" si="1"/>
        <v>0</v>
      </c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</row>
    <row r="362">
      <c r="A362" s="36"/>
      <c r="B362" s="156" t="s">
        <v>23</v>
      </c>
      <c r="C362" s="157">
        <v>0.0</v>
      </c>
      <c r="D362" s="158"/>
      <c r="E362" s="159">
        <f t="shared" si="1"/>
        <v>0</v>
      </c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</row>
    <row r="363">
      <c r="A363" s="36"/>
      <c r="B363" s="156" t="s">
        <v>24</v>
      </c>
      <c r="C363" s="157">
        <v>4.0</v>
      </c>
      <c r="D363" s="158"/>
      <c r="E363" s="159">
        <f t="shared" si="1"/>
        <v>4</v>
      </c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</row>
    <row r="364">
      <c r="A364" s="36"/>
      <c r="B364" s="156" t="s">
        <v>25</v>
      </c>
      <c r="C364" s="163">
        <v>2.0</v>
      </c>
      <c r="D364" s="164"/>
      <c r="E364" s="159">
        <f t="shared" si="1"/>
        <v>2</v>
      </c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</row>
    <row r="365">
      <c r="A365" s="36"/>
      <c r="B365" s="156" t="s">
        <v>26</v>
      </c>
      <c r="C365" s="163">
        <v>4.0</v>
      </c>
      <c r="D365" s="164"/>
      <c r="E365" s="159">
        <f t="shared" si="1"/>
        <v>4</v>
      </c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</row>
    <row r="366">
      <c r="A366" s="36"/>
      <c r="B366" s="156" t="s">
        <v>27</v>
      </c>
      <c r="C366" s="163">
        <v>5.0</v>
      </c>
      <c r="D366" s="164"/>
      <c r="E366" s="159">
        <f t="shared" si="1"/>
        <v>5</v>
      </c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</row>
    <row r="367">
      <c r="A367" s="36"/>
      <c r="B367" s="156" t="s">
        <v>28</v>
      </c>
      <c r="C367" s="163">
        <v>0.0</v>
      </c>
      <c r="D367" s="164"/>
      <c r="E367" s="159">
        <f t="shared" si="1"/>
        <v>0</v>
      </c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</row>
    <row r="368">
      <c r="A368" s="36"/>
      <c r="B368" s="165" t="s">
        <v>29</v>
      </c>
      <c r="C368" s="163">
        <v>0.0</v>
      </c>
      <c r="D368" s="164"/>
      <c r="E368" s="159">
        <f t="shared" si="1"/>
        <v>0</v>
      </c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</row>
    <row r="369">
      <c r="A369" s="36"/>
      <c r="B369" s="166" t="s">
        <v>30</v>
      </c>
      <c r="C369" s="163">
        <v>4.0</v>
      </c>
      <c r="D369" s="164"/>
      <c r="E369" s="159">
        <f t="shared" si="1"/>
        <v>4</v>
      </c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</row>
    <row r="370">
      <c r="A370" s="36"/>
      <c r="B370" s="167" t="s">
        <v>31</v>
      </c>
      <c r="C370" s="163">
        <v>0.0</v>
      </c>
      <c r="D370" s="164"/>
      <c r="E370" s="159">
        <f t="shared" si="1"/>
        <v>0</v>
      </c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</row>
    <row r="371">
      <c r="A371" s="36"/>
      <c r="B371" s="167" t="s">
        <v>32</v>
      </c>
      <c r="C371" s="163">
        <v>0.0</v>
      </c>
      <c r="D371" s="164"/>
      <c r="E371" s="159">
        <f t="shared" si="1"/>
        <v>0</v>
      </c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</row>
    <row r="372">
      <c r="A372" s="36"/>
      <c r="B372" s="167" t="s">
        <v>33</v>
      </c>
      <c r="C372" s="163">
        <v>0.0</v>
      </c>
      <c r="D372" s="164"/>
      <c r="E372" s="159">
        <f t="shared" si="1"/>
        <v>0</v>
      </c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</row>
    <row r="373">
      <c r="A373" s="91"/>
      <c r="B373" s="167" t="s">
        <v>34</v>
      </c>
      <c r="C373" s="163">
        <v>0.0</v>
      </c>
      <c r="D373" s="164"/>
      <c r="E373" s="159">
        <f t="shared" si="1"/>
        <v>0</v>
      </c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</row>
    <row r="374">
      <c r="A374" s="155">
        <v>46180.0</v>
      </c>
      <c r="B374" s="156" t="s">
        <v>4</v>
      </c>
      <c r="C374" s="157">
        <v>0.0</v>
      </c>
      <c r="D374" s="158"/>
      <c r="E374" s="159">
        <f t="shared" si="1"/>
        <v>0</v>
      </c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</row>
    <row r="375">
      <c r="A375" s="36"/>
      <c r="B375" s="156" t="s">
        <v>5</v>
      </c>
      <c r="C375" s="157">
        <v>0.0</v>
      </c>
      <c r="D375" s="158"/>
      <c r="E375" s="159">
        <f t="shared" si="1"/>
        <v>0</v>
      </c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</row>
    <row r="376">
      <c r="A376" s="36"/>
      <c r="B376" s="156" t="s">
        <v>6</v>
      </c>
      <c r="C376" s="157">
        <v>0.0</v>
      </c>
      <c r="D376" s="158"/>
      <c r="E376" s="159">
        <f t="shared" si="1"/>
        <v>0</v>
      </c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</row>
    <row r="377">
      <c r="A377" s="36"/>
      <c r="B377" s="156" t="s">
        <v>22</v>
      </c>
      <c r="C377" s="157">
        <v>2.0</v>
      </c>
      <c r="D377" s="158"/>
      <c r="E377" s="159">
        <f t="shared" si="1"/>
        <v>2</v>
      </c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</row>
    <row r="378">
      <c r="A378" s="36"/>
      <c r="B378" s="156" t="s">
        <v>7</v>
      </c>
      <c r="C378" s="157">
        <v>0.0</v>
      </c>
      <c r="D378" s="158"/>
      <c r="E378" s="159">
        <f t="shared" si="1"/>
        <v>0</v>
      </c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</row>
    <row r="379">
      <c r="A379" s="36"/>
      <c r="B379" s="162" t="s">
        <v>8</v>
      </c>
      <c r="C379" s="157">
        <v>6.0</v>
      </c>
      <c r="D379" s="158"/>
      <c r="E379" s="159">
        <f t="shared" si="1"/>
        <v>6</v>
      </c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</row>
    <row r="380">
      <c r="A380" s="36"/>
      <c r="B380" s="156" t="s">
        <v>9</v>
      </c>
      <c r="C380" s="157">
        <v>0.0</v>
      </c>
      <c r="D380" s="158"/>
      <c r="E380" s="159">
        <f t="shared" si="1"/>
        <v>0</v>
      </c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</row>
    <row r="381">
      <c r="A381" s="36"/>
      <c r="B381" s="156" t="s">
        <v>10</v>
      </c>
      <c r="C381" s="157">
        <v>0.0</v>
      </c>
      <c r="D381" s="158"/>
      <c r="E381" s="159">
        <f t="shared" si="1"/>
        <v>0</v>
      </c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</row>
    <row r="382">
      <c r="A382" s="36"/>
      <c r="B382" s="156" t="s">
        <v>11</v>
      </c>
      <c r="C382" s="157">
        <v>3.0</v>
      </c>
      <c r="D382" s="158"/>
      <c r="E382" s="159">
        <f t="shared" si="1"/>
        <v>3</v>
      </c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</row>
    <row r="383">
      <c r="A383" s="36"/>
      <c r="B383" s="162" t="s">
        <v>12</v>
      </c>
      <c r="C383" s="157">
        <v>4.0</v>
      </c>
      <c r="D383" s="158"/>
      <c r="E383" s="159">
        <f t="shared" si="1"/>
        <v>4</v>
      </c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</row>
    <row r="384">
      <c r="A384" s="36"/>
      <c r="B384" s="162" t="s">
        <v>13</v>
      </c>
      <c r="C384" s="157">
        <v>0.0</v>
      </c>
      <c r="D384" s="158"/>
      <c r="E384" s="159">
        <f t="shared" si="1"/>
        <v>0</v>
      </c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</row>
    <row r="385">
      <c r="A385" s="36"/>
      <c r="B385" s="162" t="s">
        <v>14</v>
      </c>
      <c r="C385" s="157">
        <v>0.0</v>
      </c>
      <c r="D385" s="158"/>
      <c r="E385" s="159">
        <f t="shared" si="1"/>
        <v>0</v>
      </c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</row>
    <row r="386">
      <c r="A386" s="36"/>
      <c r="B386" s="162" t="s">
        <v>15</v>
      </c>
      <c r="C386" s="157">
        <v>0.0</v>
      </c>
      <c r="D386" s="158"/>
      <c r="E386" s="159">
        <f t="shared" si="1"/>
        <v>0</v>
      </c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</row>
    <row r="387">
      <c r="A387" s="36"/>
      <c r="B387" s="162" t="s">
        <v>16</v>
      </c>
      <c r="C387" s="157">
        <v>2.0</v>
      </c>
      <c r="D387" s="158"/>
      <c r="E387" s="159">
        <f t="shared" si="1"/>
        <v>2</v>
      </c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</row>
    <row r="388">
      <c r="A388" s="36"/>
      <c r="B388" s="162" t="s">
        <v>17</v>
      </c>
      <c r="C388" s="157">
        <v>0.0</v>
      </c>
      <c r="D388" s="158"/>
      <c r="E388" s="159">
        <f t="shared" si="1"/>
        <v>0</v>
      </c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</row>
    <row r="389">
      <c r="A389" s="36"/>
      <c r="B389" s="156" t="s">
        <v>18</v>
      </c>
      <c r="C389" s="157">
        <v>1.0</v>
      </c>
      <c r="D389" s="158"/>
      <c r="E389" s="159">
        <f t="shared" si="1"/>
        <v>1</v>
      </c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</row>
    <row r="390">
      <c r="A390" s="36"/>
      <c r="B390" s="156" t="s">
        <v>19</v>
      </c>
      <c r="C390" s="157">
        <v>0.0</v>
      </c>
      <c r="D390" s="158"/>
      <c r="E390" s="159">
        <f t="shared" si="1"/>
        <v>0</v>
      </c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</row>
    <row r="391">
      <c r="A391" s="36"/>
      <c r="B391" s="156" t="s">
        <v>20</v>
      </c>
      <c r="C391" s="157">
        <v>0.0</v>
      </c>
      <c r="D391" s="158"/>
      <c r="E391" s="159">
        <f t="shared" si="1"/>
        <v>0</v>
      </c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</row>
    <row r="392">
      <c r="A392" s="36"/>
      <c r="B392" s="156" t="s">
        <v>21</v>
      </c>
      <c r="C392" s="157">
        <v>0.0</v>
      </c>
      <c r="D392" s="158"/>
      <c r="E392" s="159">
        <f t="shared" si="1"/>
        <v>0</v>
      </c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</row>
    <row r="393">
      <c r="A393" s="36"/>
      <c r="B393" s="156" t="s">
        <v>23</v>
      </c>
      <c r="C393" s="157">
        <v>0.0</v>
      </c>
      <c r="D393" s="158"/>
      <c r="E393" s="159">
        <f t="shared" si="1"/>
        <v>0</v>
      </c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</row>
    <row r="394">
      <c r="A394" s="36"/>
      <c r="B394" s="156" t="s">
        <v>24</v>
      </c>
      <c r="C394" s="157">
        <v>1.0</v>
      </c>
      <c r="D394" s="158"/>
      <c r="E394" s="159">
        <f t="shared" si="1"/>
        <v>1</v>
      </c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</row>
    <row r="395">
      <c r="A395" s="36"/>
      <c r="B395" s="156" t="s">
        <v>25</v>
      </c>
      <c r="C395" s="163">
        <v>3.0</v>
      </c>
      <c r="D395" s="164"/>
      <c r="E395" s="159">
        <f t="shared" si="1"/>
        <v>3</v>
      </c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</row>
    <row r="396">
      <c r="A396" s="36"/>
      <c r="B396" s="156" t="s">
        <v>26</v>
      </c>
      <c r="C396" s="163">
        <v>3.0</v>
      </c>
      <c r="D396" s="164"/>
      <c r="E396" s="159">
        <f t="shared" si="1"/>
        <v>3</v>
      </c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</row>
    <row r="397">
      <c r="A397" s="36"/>
      <c r="B397" s="156" t="s">
        <v>27</v>
      </c>
      <c r="C397" s="163">
        <v>10.0</v>
      </c>
      <c r="D397" s="164"/>
      <c r="E397" s="159">
        <f t="shared" si="1"/>
        <v>10</v>
      </c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</row>
    <row r="398">
      <c r="A398" s="36"/>
      <c r="B398" s="156" t="s">
        <v>28</v>
      </c>
      <c r="C398" s="163">
        <v>0.0</v>
      </c>
      <c r="D398" s="164"/>
      <c r="E398" s="159">
        <f t="shared" si="1"/>
        <v>0</v>
      </c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</row>
    <row r="399">
      <c r="A399" s="36"/>
      <c r="B399" s="165" t="s">
        <v>29</v>
      </c>
      <c r="C399" s="163">
        <v>0.0</v>
      </c>
      <c r="D399" s="164"/>
      <c r="E399" s="159">
        <f t="shared" si="1"/>
        <v>0</v>
      </c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</row>
    <row r="400">
      <c r="A400" s="36"/>
      <c r="B400" s="166" t="s">
        <v>30</v>
      </c>
      <c r="C400" s="163">
        <v>2.0</v>
      </c>
      <c r="D400" s="164"/>
      <c r="E400" s="159">
        <f t="shared" si="1"/>
        <v>2</v>
      </c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</row>
    <row r="401">
      <c r="A401" s="36"/>
      <c r="B401" s="167" t="s">
        <v>31</v>
      </c>
      <c r="C401" s="163">
        <v>0.0</v>
      </c>
      <c r="D401" s="164"/>
      <c r="E401" s="159">
        <f t="shared" si="1"/>
        <v>0</v>
      </c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</row>
    <row r="402">
      <c r="A402" s="36"/>
      <c r="B402" s="167" t="s">
        <v>32</v>
      </c>
      <c r="C402" s="163">
        <v>0.0</v>
      </c>
      <c r="D402" s="164"/>
      <c r="E402" s="159">
        <f t="shared" si="1"/>
        <v>0</v>
      </c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</row>
    <row r="403">
      <c r="A403" s="36"/>
      <c r="B403" s="167" t="s">
        <v>33</v>
      </c>
      <c r="C403" s="163">
        <v>0.0</v>
      </c>
      <c r="D403" s="164"/>
      <c r="E403" s="159">
        <f t="shared" si="1"/>
        <v>0</v>
      </c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</row>
    <row r="404">
      <c r="A404" s="91"/>
      <c r="B404" s="167" t="s">
        <v>34</v>
      </c>
      <c r="C404" s="163">
        <v>0.0</v>
      </c>
      <c r="D404" s="164"/>
      <c r="E404" s="159">
        <f t="shared" si="1"/>
        <v>0</v>
      </c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</row>
    <row r="405">
      <c r="A405" s="155">
        <v>46181.0</v>
      </c>
      <c r="B405" s="156" t="s">
        <v>4</v>
      </c>
      <c r="C405" s="157">
        <v>0.0</v>
      </c>
      <c r="D405" s="158"/>
      <c r="E405" s="159">
        <f t="shared" si="1"/>
        <v>0</v>
      </c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</row>
    <row r="406">
      <c r="A406" s="36"/>
      <c r="B406" s="156" t="s">
        <v>5</v>
      </c>
      <c r="C406" s="157">
        <v>0.0</v>
      </c>
      <c r="D406" s="158"/>
      <c r="E406" s="159">
        <f t="shared" si="1"/>
        <v>0</v>
      </c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</row>
    <row r="407">
      <c r="A407" s="36"/>
      <c r="B407" s="156" t="s">
        <v>6</v>
      </c>
      <c r="C407" s="157">
        <v>0.0</v>
      </c>
      <c r="D407" s="158"/>
      <c r="E407" s="159">
        <f t="shared" si="1"/>
        <v>0</v>
      </c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</row>
    <row r="408">
      <c r="A408" s="36"/>
      <c r="B408" s="156" t="s">
        <v>22</v>
      </c>
      <c r="C408" s="157">
        <v>0.0</v>
      </c>
      <c r="D408" s="158"/>
      <c r="E408" s="159">
        <f t="shared" si="1"/>
        <v>0</v>
      </c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</row>
    <row r="409">
      <c r="A409" s="36"/>
      <c r="B409" s="156" t="s">
        <v>7</v>
      </c>
      <c r="C409" s="157">
        <v>0.0</v>
      </c>
      <c r="D409" s="158"/>
      <c r="E409" s="159">
        <f t="shared" si="1"/>
        <v>0</v>
      </c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</row>
    <row r="410">
      <c r="A410" s="36"/>
      <c r="B410" s="162" t="s">
        <v>8</v>
      </c>
      <c r="C410" s="157">
        <v>4.0</v>
      </c>
      <c r="D410" s="158"/>
      <c r="E410" s="159">
        <f t="shared" si="1"/>
        <v>4</v>
      </c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</row>
    <row r="411">
      <c r="A411" s="36"/>
      <c r="B411" s="156" t="s">
        <v>9</v>
      </c>
      <c r="C411" s="157">
        <v>0.0</v>
      </c>
      <c r="D411" s="158"/>
      <c r="E411" s="159">
        <f t="shared" si="1"/>
        <v>0</v>
      </c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</row>
    <row r="412">
      <c r="A412" s="36"/>
      <c r="B412" s="156" t="s">
        <v>10</v>
      </c>
      <c r="C412" s="157">
        <v>0.0</v>
      </c>
      <c r="D412" s="158"/>
      <c r="E412" s="159">
        <f t="shared" si="1"/>
        <v>0</v>
      </c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</row>
    <row r="413">
      <c r="A413" s="36"/>
      <c r="B413" s="156" t="s">
        <v>11</v>
      </c>
      <c r="C413" s="157">
        <v>2.0</v>
      </c>
      <c r="D413" s="158"/>
      <c r="E413" s="159">
        <f t="shared" si="1"/>
        <v>2</v>
      </c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</row>
    <row r="414">
      <c r="A414" s="36"/>
      <c r="B414" s="162" t="s">
        <v>12</v>
      </c>
      <c r="C414" s="157">
        <v>3.0</v>
      </c>
      <c r="D414" s="158"/>
      <c r="E414" s="159">
        <f t="shared" si="1"/>
        <v>3</v>
      </c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</row>
    <row r="415">
      <c r="A415" s="36"/>
      <c r="B415" s="162" t="s">
        <v>13</v>
      </c>
      <c r="C415" s="157">
        <v>0.0</v>
      </c>
      <c r="D415" s="158"/>
      <c r="E415" s="159">
        <f t="shared" si="1"/>
        <v>0</v>
      </c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</row>
    <row r="416">
      <c r="A416" s="36"/>
      <c r="B416" s="162" t="s">
        <v>14</v>
      </c>
      <c r="C416" s="157">
        <v>0.0</v>
      </c>
      <c r="D416" s="158"/>
      <c r="E416" s="159">
        <f t="shared" si="1"/>
        <v>0</v>
      </c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</row>
    <row r="417">
      <c r="A417" s="36"/>
      <c r="B417" s="162" t="s">
        <v>15</v>
      </c>
      <c r="C417" s="157">
        <v>2.0</v>
      </c>
      <c r="D417" s="158"/>
      <c r="E417" s="159">
        <f t="shared" si="1"/>
        <v>2</v>
      </c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</row>
    <row r="418">
      <c r="A418" s="36"/>
      <c r="B418" s="162" t="s">
        <v>16</v>
      </c>
      <c r="C418" s="157">
        <v>0.0</v>
      </c>
      <c r="D418" s="158"/>
      <c r="E418" s="159">
        <f t="shared" si="1"/>
        <v>0</v>
      </c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</row>
    <row r="419">
      <c r="A419" s="36"/>
      <c r="B419" s="162" t="s">
        <v>17</v>
      </c>
      <c r="C419" s="157">
        <v>0.0</v>
      </c>
      <c r="D419" s="158"/>
      <c r="E419" s="159">
        <f t="shared" si="1"/>
        <v>0</v>
      </c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</row>
    <row r="420">
      <c r="A420" s="36"/>
      <c r="B420" s="156" t="s">
        <v>18</v>
      </c>
      <c r="C420" s="157">
        <v>0.0</v>
      </c>
      <c r="D420" s="158"/>
      <c r="E420" s="159">
        <f t="shared" si="1"/>
        <v>0</v>
      </c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</row>
    <row r="421">
      <c r="A421" s="36"/>
      <c r="B421" s="156" t="s">
        <v>19</v>
      </c>
      <c r="C421" s="157">
        <v>0.0</v>
      </c>
      <c r="D421" s="158"/>
      <c r="E421" s="159">
        <f t="shared" si="1"/>
        <v>0</v>
      </c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</row>
    <row r="422">
      <c r="A422" s="36"/>
      <c r="B422" s="156" t="s">
        <v>20</v>
      </c>
      <c r="C422" s="157">
        <v>0.0</v>
      </c>
      <c r="D422" s="158"/>
      <c r="E422" s="159">
        <f t="shared" si="1"/>
        <v>0</v>
      </c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</row>
    <row r="423">
      <c r="A423" s="36"/>
      <c r="B423" s="156" t="s">
        <v>21</v>
      </c>
      <c r="C423" s="157">
        <v>0.0</v>
      </c>
      <c r="D423" s="158"/>
      <c r="E423" s="159">
        <f t="shared" si="1"/>
        <v>0</v>
      </c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</row>
    <row r="424">
      <c r="A424" s="36"/>
      <c r="B424" s="156" t="s">
        <v>23</v>
      </c>
      <c r="C424" s="157">
        <v>0.0</v>
      </c>
      <c r="D424" s="158"/>
      <c r="E424" s="159">
        <f t="shared" si="1"/>
        <v>0</v>
      </c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</row>
    <row r="425">
      <c r="A425" s="36"/>
      <c r="B425" s="156" t="s">
        <v>24</v>
      </c>
      <c r="C425" s="157">
        <v>0.0</v>
      </c>
      <c r="D425" s="158"/>
      <c r="E425" s="159">
        <f t="shared" si="1"/>
        <v>0</v>
      </c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</row>
    <row r="426">
      <c r="A426" s="36"/>
      <c r="B426" s="156" t="s">
        <v>25</v>
      </c>
      <c r="C426" s="163">
        <v>0.0</v>
      </c>
      <c r="D426" s="164"/>
      <c r="E426" s="159">
        <f t="shared" si="1"/>
        <v>0</v>
      </c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</row>
    <row r="427">
      <c r="A427" s="36"/>
      <c r="B427" s="156" t="s">
        <v>26</v>
      </c>
      <c r="C427" s="163">
        <v>2.0</v>
      </c>
      <c r="D427" s="164"/>
      <c r="E427" s="159">
        <f t="shared" si="1"/>
        <v>2</v>
      </c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</row>
    <row r="428">
      <c r="A428" s="36"/>
      <c r="B428" s="156" t="s">
        <v>27</v>
      </c>
      <c r="C428" s="163">
        <v>5.0</v>
      </c>
      <c r="D428" s="164"/>
      <c r="E428" s="159">
        <f t="shared" si="1"/>
        <v>5</v>
      </c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</row>
    <row r="429">
      <c r="A429" s="36"/>
      <c r="B429" s="156" t="s">
        <v>28</v>
      </c>
      <c r="C429" s="163">
        <v>0.0</v>
      </c>
      <c r="D429" s="164"/>
      <c r="E429" s="159">
        <f t="shared" si="1"/>
        <v>0</v>
      </c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</row>
    <row r="430">
      <c r="A430" s="36"/>
      <c r="B430" s="165" t="s">
        <v>29</v>
      </c>
      <c r="C430" s="163">
        <v>0.0</v>
      </c>
      <c r="D430" s="164"/>
      <c r="E430" s="159">
        <f t="shared" si="1"/>
        <v>0</v>
      </c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</row>
    <row r="431">
      <c r="A431" s="36"/>
      <c r="B431" s="166" t="s">
        <v>30</v>
      </c>
      <c r="C431" s="163">
        <v>0.0</v>
      </c>
      <c r="D431" s="164"/>
      <c r="E431" s="159">
        <f t="shared" si="1"/>
        <v>0</v>
      </c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</row>
    <row r="432">
      <c r="A432" s="36"/>
      <c r="B432" s="167" t="s">
        <v>31</v>
      </c>
      <c r="C432" s="163">
        <v>0.0</v>
      </c>
      <c r="D432" s="164"/>
      <c r="E432" s="159">
        <f t="shared" si="1"/>
        <v>0</v>
      </c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</row>
    <row r="433">
      <c r="A433" s="36"/>
      <c r="B433" s="167" t="s">
        <v>32</v>
      </c>
      <c r="C433" s="163">
        <v>0.0</v>
      </c>
      <c r="D433" s="164"/>
      <c r="E433" s="159">
        <f t="shared" si="1"/>
        <v>0</v>
      </c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</row>
    <row r="434">
      <c r="A434" s="36"/>
      <c r="B434" s="167" t="s">
        <v>33</v>
      </c>
      <c r="C434" s="163">
        <v>0.0</v>
      </c>
      <c r="D434" s="164"/>
      <c r="E434" s="159">
        <f t="shared" si="1"/>
        <v>0</v>
      </c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</row>
    <row r="435">
      <c r="A435" s="91"/>
      <c r="B435" s="167" t="s">
        <v>34</v>
      </c>
      <c r="C435" s="163">
        <v>0.0</v>
      </c>
      <c r="D435" s="164"/>
      <c r="E435" s="159">
        <f t="shared" si="1"/>
        <v>0</v>
      </c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</row>
    <row r="436">
      <c r="A436" s="155">
        <v>46182.0</v>
      </c>
      <c r="B436" s="156" t="s">
        <v>4</v>
      </c>
      <c r="C436" s="157">
        <v>0.0</v>
      </c>
      <c r="D436" s="158"/>
      <c r="E436" s="159">
        <f t="shared" si="1"/>
        <v>0</v>
      </c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</row>
    <row r="437">
      <c r="A437" s="36"/>
      <c r="B437" s="156" t="s">
        <v>5</v>
      </c>
      <c r="C437" s="157">
        <v>0.0</v>
      </c>
      <c r="D437" s="158"/>
      <c r="E437" s="159">
        <f t="shared" si="1"/>
        <v>0</v>
      </c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</row>
    <row r="438">
      <c r="A438" s="36"/>
      <c r="B438" s="156" t="s">
        <v>6</v>
      </c>
      <c r="C438" s="157">
        <v>0.0</v>
      </c>
      <c r="D438" s="158"/>
      <c r="E438" s="159">
        <f t="shared" si="1"/>
        <v>0</v>
      </c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</row>
    <row r="439">
      <c r="A439" s="36"/>
      <c r="B439" s="156" t="s">
        <v>22</v>
      </c>
      <c r="C439" s="157">
        <v>0.0</v>
      </c>
      <c r="D439" s="158"/>
      <c r="E439" s="159">
        <f t="shared" si="1"/>
        <v>0</v>
      </c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</row>
    <row r="440">
      <c r="A440" s="36"/>
      <c r="B440" s="156" t="s">
        <v>7</v>
      </c>
      <c r="C440" s="157">
        <v>1.0</v>
      </c>
      <c r="D440" s="158"/>
      <c r="E440" s="159">
        <f t="shared" si="1"/>
        <v>1</v>
      </c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</row>
    <row r="441">
      <c r="A441" s="36"/>
      <c r="B441" s="162" t="s">
        <v>8</v>
      </c>
      <c r="C441" s="157">
        <v>0.0</v>
      </c>
      <c r="D441" s="158"/>
      <c r="E441" s="159">
        <f t="shared" si="1"/>
        <v>0</v>
      </c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</row>
    <row r="442">
      <c r="A442" s="36"/>
      <c r="B442" s="156" t="s">
        <v>9</v>
      </c>
      <c r="C442" s="157">
        <v>0.0</v>
      </c>
      <c r="D442" s="158"/>
      <c r="E442" s="159">
        <f t="shared" si="1"/>
        <v>0</v>
      </c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</row>
    <row r="443">
      <c r="A443" s="36"/>
      <c r="B443" s="156" t="s">
        <v>10</v>
      </c>
      <c r="C443" s="157">
        <v>0.0</v>
      </c>
      <c r="D443" s="158"/>
      <c r="E443" s="159">
        <f t="shared" si="1"/>
        <v>0</v>
      </c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</row>
    <row r="444">
      <c r="A444" s="36"/>
      <c r="B444" s="156" t="s">
        <v>11</v>
      </c>
      <c r="C444" s="157">
        <v>2.0</v>
      </c>
      <c r="D444" s="158"/>
      <c r="E444" s="159">
        <f t="shared" si="1"/>
        <v>2</v>
      </c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</row>
    <row r="445">
      <c r="A445" s="36"/>
      <c r="B445" s="162" t="s">
        <v>12</v>
      </c>
      <c r="C445" s="157">
        <v>3.0</v>
      </c>
      <c r="D445" s="158"/>
      <c r="E445" s="159">
        <f t="shared" si="1"/>
        <v>3</v>
      </c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</row>
    <row r="446">
      <c r="A446" s="36"/>
      <c r="B446" s="162" t="s">
        <v>13</v>
      </c>
      <c r="C446" s="157">
        <v>0.0</v>
      </c>
      <c r="D446" s="158"/>
      <c r="E446" s="159">
        <f t="shared" si="1"/>
        <v>0</v>
      </c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</row>
    <row r="447">
      <c r="A447" s="36"/>
      <c r="B447" s="162" t="s">
        <v>14</v>
      </c>
      <c r="C447" s="157">
        <v>0.0</v>
      </c>
      <c r="D447" s="158"/>
      <c r="E447" s="159">
        <f t="shared" si="1"/>
        <v>0</v>
      </c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</row>
    <row r="448">
      <c r="A448" s="36"/>
      <c r="B448" s="162" t="s">
        <v>15</v>
      </c>
      <c r="C448" s="157">
        <v>0.0</v>
      </c>
      <c r="D448" s="158"/>
      <c r="E448" s="159">
        <f t="shared" si="1"/>
        <v>0</v>
      </c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</row>
    <row r="449">
      <c r="A449" s="36"/>
      <c r="B449" s="162" t="s">
        <v>16</v>
      </c>
      <c r="C449" s="157">
        <v>0.0</v>
      </c>
      <c r="D449" s="158"/>
      <c r="E449" s="159">
        <f t="shared" si="1"/>
        <v>0</v>
      </c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</row>
    <row r="450">
      <c r="A450" s="36"/>
      <c r="B450" s="162" t="s">
        <v>17</v>
      </c>
      <c r="C450" s="157">
        <v>0.0</v>
      </c>
      <c r="D450" s="158"/>
      <c r="E450" s="159">
        <f t="shared" si="1"/>
        <v>0</v>
      </c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</row>
    <row r="451">
      <c r="A451" s="36"/>
      <c r="B451" s="156" t="s">
        <v>18</v>
      </c>
      <c r="C451" s="157">
        <v>1.0</v>
      </c>
      <c r="D451" s="158"/>
      <c r="E451" s="159">
        <f t="shared" si="1"/>
        <v>1</v>
      </c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</row>
    <row r="452">
      <c r="A452" s="36"/>
      <c r="B452" s="156" t="s">
        <v>19</v>
      </c>
      <c r="C452" s="157">
        <v>0.0</v>
      </c>
      <c r="D452" s="158"/>
      <c r="E452" s="159">
        <f t="shared" si="1"/>
        <v>0</v>
      </c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</row>
    <row r="453">
      <c r="A453" s="36"/>
      <c r="B453" s="156" t="s">
        <v>20</v>
      </c>
      <c r="C453" s="157">
        <v>0.0</v>
      </c>
      <c r="D453" s="158"/>
      <c r="E453" s="159">
        <f t="shared" si="1"/>
        <v>0</v>
      </c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</row>
    <row r="454">
      <c r="A454" s="36"/>
      <c r="B454" s="156" t="s">
        <v>21</v>
      </c>
      <c r="C454" s="157">
        <v>0.0</v>
      </c>
      <c r="D454" s="158"/>
      <c r="E454" s="159">
        <f t="shared" si="1"/>
        <v>0</v>
      </c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</row>
    <row r="455">
      <c r="A455" s="36"/>
      <c r="B455" s="156" t="s">
        <v>23</v>
      </c>
      <c r="C455" s="157">
        <v>0.0</v>
      </c>
      <c r="D455" s="158"/>
      <c r="E455" s="159">
        <f t="shared" si="1"/>
        <v>0</v>
      </c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</row>
    <row r="456">
      <c r="A456" s="36"/>
      <c r="B456" s="156" t="s">
        <v>24</v>
      </c>
      <c r="C456" s="157">
        <v>2.0</v>
      </c>
      <c r="D456" s="158"/>
      <c r="E456" s="159">
        <f t="shared" si="1"/>
        <v>2</v>
      </c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</row>
    <row r="457">
      <c r="A457" s="36"/>
      <c r="B457" s="156" t="s">
        <v>25</v>
      </c>
      <c r="C457" s="163">
        <v>0.0</v>
      </c>
      <c r="D457" s="164"/>
      <c r="E457" s="159">
        <f t="shared" si="1"/>
        <v>0</v>
      </c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</row>
    <row r="458">
      <c r="A458" s="36"/>
      <c r="B458" s="156" t="s">
        <v>26</v>
      </c>
      <c r="C458" s="163">
        <v>1.0</v>
      </c>
      <c r="D458" s="164"/>
      <c r="E458" s="159">
        <f t="shared" si="1"/>
        <v>1</v>
      </c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</row>
    <row r="459">
      <c r="A459" s="36"/>
      <c r="B459" s="156" t="s">
        <v>27</v>
      </c>
      <c r="C459" s="163">
        <v>6.0</v>
      </c>
      <c r="D459" s="164"/>
      <c r="E459" s="159">
        <f t="shared" si="1"/>
        <v>6</v>
      </c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</row>
    <row r="460">
      <c r="A460" s="36"/>
      <c r="B460" s="156" t="s">
        <v>28</v>
      </c>
      <c r="C460" s="163">
        <v>0.0</v>
      </c>
      <c r="D460" s="164"/>
      <c r="E460" s="159">
        <f t="shared" si="1"/>
        <v>0</v>
      </c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</row>
    <row r="461">
      <c r="A461" s="36"/>
      <c r="B461" s="165" t="s">
        <v>29</v>
      </c>
      <c r="C461" s="163">
        <v>0.0</v>
      </c>
      <c r="D461" s="164"/>
      <c r="E461" s="159">
        <f t="shared" si="1"/>
        <v>0</v>
      </c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</row>
    <row r="462">
      <c r="A462" s="36"/>
      <c r="B462" s="166" t="s">
        <v>30</v>
      </c>
      <c r="C462" s="163">
        <v>0.0</v>
      </c>
      <c r="D462" s="164"/>
      <c r="E462" s="159">
        <f t="shared" si="1"/>
        <v>0</v>
      </c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</row>
    <row r="463">
      <c r="A463" s="36"/>
      <c r="B463" s="167" t="s">
        <v>31</v>
      </c>
      <c r="C463" s="163">
        <v>0.0</v>
      </c>
      <c r="D463" s="164"/>
      <c r="E463" s="159">
        <f t="shared" si="1"/>
        <v>0</v>
      </c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</row>
    <row r="464">
      <c r="A464" s="36"/>
      <c r="B464" s="167" t="s">
        <v>32</v>
      </c>
      <c r="C464" s="163">
        <v>0.0</v>
      </c>
      <c r="D464" s="164"/>
      <c r="E464" s="159">
        <f t="shared" si="1"/>
        <v>0</v>
      </c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</row>
    <row r="465">
      <c r="A465" s="36"/>
      <c r="B465" s="167" t="s">
        <v>33</v>
      </c>
      <c r="C465" s="163">
        <v>0.0</v>
      </c>
      <c r="D465" s="164"/>
      <c r="E465" s="159">
        <f t="shared" si="1"/>
        <v>0</v>
      </c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</row>
    <row r="466">
      <c r="A466" s="91"/>
      <c r="B466" s="167" t="s">
        <v>34</v>
      </c>
      <c r="C466" s="163">
        <v>0.0</v>
      </c>
      <c r="D466" s="164"/>
      <c r="E466" s="159">
        <f t="shared" si="1"/>
        <v>0</v>
      </c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</row>
    <row r="467">
      <c r="A467" s="155">
        <v>46183.0</v>
      </c>
      <c r="B467" s="156" t="s">
        <v>4</v>
      </c>
      <c r="C467" s="157">
        <v>0.0</v>
      </c>
      <c r="D467" s="158"/>
      <c r="E467" s="159">
        <f t="shared" si="1"/>
        <v>0</v>
      </c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</row>
    <row r="468">
      <c r="A468" s="36"/>
      <c r="B468" s="156" t="s">
        <v>5</v>
      </c>
      <c r="C468" s="157">
        <v>0.0</v>
      </c>
      <c r="D468" s="158"/>
      <c r="E468" s="159">
        <f t="shared" si="1"/>
        <v>0</v>
      </c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</row>
    <row r="469">
      <c r="A469" s="36"/>
      <c r="B469" s="156" t="s">
        <v>6</v>
      </c>
      <c r="C469" s="157">
        <v>1.0</v>
      </c>
      <c r="D469" s="158"/>
      <c r="E469" s="159">
        <f t="shared" si="1"/>
        <v>1</v>
      </c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</row>
    <row r="470">
      <c r="A470" s="36"/>
      <c r="B470" s="156" t="s">
        <v>22</v>
      </c>
      <c r="C470" s="157">
        <v>0.0</v>
      </c>
      <c r="D470" s="158"/>
      <c r="E470" s="159">
        <f t="shared" si="1"/>
        <v>0</v>
      </c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</row>
    <row r="471">
      <c r="A471" s="36"/>
      <c r="B471" s="156" t="s">
        <v>7</v>
      </c>
      <c r="C471" s="157">
        <v>0.0</v>
      </c>
      <c r="D471" s="158"/>
      <c r="E471" s="159">
        <f t="shared" si="1"/>
        <v>0</v>
      </c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</row>
    <row r="472">
      <c r="A472" s="36"/>
      <c r="B472" s="162" t="s">
        <v>8</v>
      </c>
      <c r="C472" s="157">
        <v>3.0</v>
      </c>
      <c r="D472" s="158"/>
      <c r="E472" s="159">
        <f t="shared" si="1"/>
        <v>3</v>
      </c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</row>
    <row r="473">
      <c r="A473" s="36"/>
      <c r="B473" s="156" t="s">
        <v>9</v>
      </c>
      <c r="C473" s="157">
        <v>0.0</v>
      </c>
      <c r="D473" s="158"/>
      <c r="E473" s="159">
        <f t="shared" si="1"/>
        <v>0</v>
      </c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</row>
    <row r="474">
      <c r="A474" s="36"/>
      <c r="B474" s="156" t="s">
        <v>10</v>
      </c>
      <c r="C474" s="157">
        <v>1.0</v>
      </c>
      <c r="D474" s="158"/>
      <c r="E474" s="159">
        <f t="shared" si="1"/>
        <v>1</v>
      </c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</row>
    <row r="475">
      <c r="A475" s="36"/>
      <c r="B475" s="156" t="s">
        <v>11</v>
      </c>
      <c r="C475" s="157">
        <v>2.0</v>
      </c>
      <c r="D475" s="158"/>
      <c r="E475" s="159">
        <f t="shared" si="1"/>
        <v>2</v>
      </c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</row>
    <row r="476">
      <c r="A476" s="36"/>
      <c r="B476" s="162" t="s">
        <v>12</v>
      </c>
      <c r="C476" s="157">
        <v>4.0</v>
      </c>
      <c r="D476" s="158"/>
      <c r="E476" s="159">
        <f t="shared" si="1"/>
        <v>4</v>
      </c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</row>
    <row r="477">
      <c r="A477" s="36"/>
      <c r="B477" s="162" t="s">
        <v>13</v>
      </c>
      <c r="C477" s="157">
        <v>0.0</v>
      </c>
      <c r="D477" s="158"/>
      <c r="E477" s="159">
        <f t="shared" si="1"/>
        <v>0</v>
      </c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</row>
    <row r="478">
      <c r="A478" s="36"/>
      <c r="B478" s="162" t="s">
        <v>14</v>
      </c>
      <c r="C478" s="157">
        <v>0.0</v>
      </c>
      <c r="D478" s="158"/>
      <c r="E478" s="159">
        <f t="shared" si="1"/>
        <v>0</v>
      </c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</row>
    <row r="479">
      <c r="A479" s="36"/>
      <c r="B479" s="162" t="s">
        <v>15</v>
      </c>
      <c r="C479" s="157">
        <v>1.0</v>
      </c>
      <c r="D479" s="158"/>
      <c r="E479" s="159">
        <f t="shared" si="1"/>
        <v>1</v>
      </c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</row>
    <row r="480">
      <c r="A480" s="36"/>
      <c r="B480" s="162" t="s">
        <v>16</v>
      </c>
      <c r="C480" s="157">
        <v>0.0</v>
      </c>
      <c r="D480" s="158"/>
      <c r="E480" s="159">
        <f t="shared" si="1"/>
        <v>0</v>
      </c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</row>
    <row r="481">
      <c r="A481" s="36"/>
      <c r="B481" s="162" t="s">
        <v>17</v>
      </c>
      <c r="C481" s="157">
        <v>1.0</v>
      </c>
      <c r="D481" s="158"/>
      <c r="E481" s="159">
        <f t="shared" si="1"/>
        <v>1</v>
      </c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</row>
    <row r="482">
      <c r="A482" s="36"/>
      <c r="B482" s="156" t="s">
        <v>18</v>
      </c>
      <c r="C482" s="157">
        <v>1.0</v>
      </c>
      <c r="D482" s="158"/>
      <c r="E482" s="159">
        <f t="shared" si="1"/>
        <v>1</v>
      </c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</row>
    <row r="483">
      <c r="A483" s="36"/>
      <c r="B483" s="156" t="s">
        <v>19</v>
      </c>
      <c r="C483" s="157">
        <v>0.0</v>
      </c>
      <c r="D483" s="158"/>
      <c r="E483" s="159">
        <f t="shared" si="1"/>
        <v>0</v>
      </c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</row>
    <row r="484">
      <c r="A484" s="36"/>
      <c r="B484" s="156" t="s">
        <v>20</v>
      </c>
      <c r="C484" s="157">
        <v>0.0</v>
      </c>
      <c r="D484" s="158"/>
      <c r="E484" s="159">
        <f t="shared" si="1"/>
        <v>0</v>
      </c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</row>
    <row r="485">
      <c r="A485" s="36"/>
      <c r="B485" s="156" t="s">
        <v>21</v>
      </c>
      <c r="C485" s="157">
        <v>0.0</v>
      </c>
      <c r="D485" s="158"/>
      <c r="E485" s="159">
        <f t="shared" si="1"/>
        <v>0</v>
      </c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</row>
    <row r="486">
      <c r="A486" s="36"/>
      <c r="B486" s="156" t="s">
        <v>23</v>
      </c>
      <c r="C486" s="157">
        <v>0.0</v>
      </c>
      <c r="D486" s="158"/>
      <c r="E486" s="159">
        <f t="shared" si="1"/>
        <v>0</v>
      </c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</row>
    <row r="487">
      <c r="A487" s="36"/>
      <c r="B487" s="156" t="s">
        <v>24</v>
      </c>
      <c r="C487" s="157">
        <v>2.0</v>
      </c>
      <c r="D487" s="158"/>
      <c r="E487" s="159">
        <f t="shared" si="1"/>
        <v>2</v>
      </c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</row>
    <row r="488">
      <c r="A488" s="36"/>
      <c r="B488" s="156" t="s">
        <v>25</v>
      </c>
      <c r="C488" s="163">
        <v>5.0</v>
      </c>
      <c r="D488" s="164"/>
      <c r="E488" s="159">
        <f t="shared" si="1"/>
        <v>5</v>
      </c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</row>
    <row r="489">
      <c r="A489" s="36"/>
      <c r="B489" s="156" t="s">
        <v>26</v>
      </c>
      <c r="C489" s="163">
        <v>5.0</v>
      </c>
      <c r="D489" s="164"/>
      <c r="E489" s="159">
        <f t="shared" si="1"/>
        <v>5</v>
      </c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</row>
    <row r="490">
      <c r="A490" s="36"/>
      <c r="B490" s="156" t="s">
        <v>27</v>
      </c>
      <c r="C490" s="163">
        <v>9.0</v>
      </c>
      <c r="D490" s="164"/>
      <c r="E490" s="159">
        <f t="shared" si="1"/>
        <v>9</v>
      </c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</row>
    <row r="491">
      <c r="A491" s="36"/>
      <c r="B491" s="156" t="s">
        <v>28</v>
      </c>
      <c r="C491" s="163">
        <v>0.0</v>
      </c>
      <c r="D491" s="164"/>
      <c r="E491" s="159">
        <f t="shared" si="1"/>
        <v>0</v>
      </c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</row>
    <row r="492">
      <c r="A492" s="36"/>
      <c r="B492" s="165" t="s">
        <v>29</v>
      </c>
      <c r="C492" s="163">
        <v>0.0</v>
      </c>
      <c r="D492" s="164"/>
      <c r="E492" s="159">
        <f t="shared" si="1"/>
        <v>0</v>
      </c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</row>
    <row r="493">
      <c r="A493" s="36"/>
      <c r="B493" s="166" t="s">
        <v>30</v>
      </c>
      <c r="C493" s="163">
        <v>2.0</v>
      </c>
      <c r="D493" s="164"/>
      <c r="E493" s="159">
        <f t="shared" si="1"/>
        <v>2</v>
      </c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</row>
    <row r="494">
      <c r="A494" s="36"/>
      <c r="B494" s="167" t="s">
        <v>31</v>
      </c>
      <c r="C494" s="163">
        <v>0.0</v>
      </c>
      <c r="D494" s="164"/>
      <c r="E494" s="159">
        <f t="shared" si="1"/>
        <v>0</v>
      </c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</row>
    <row r="495">
      <c r="A495" s="36"/>
      <c r="B495" s="167" t="s">
        <v>32</v>
      </c>
      <c r="C495" s="163">
        <v>0.0</v>
      </c>
      <c r="D495" s="164"/>
      <c r="E495" s="159">
        <f t="shared" si="1"/>
        <v>0</v>
      </c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</row>
    <row r="496">
      <c r="A496" s="36"/>
      <c r="B496" s="167" t="s">
        <v>33</v>
      </c>
      <c r="C496" s="163">
        <v>0.0</v>
      </c>
      <c r="D496" s="164"/>
      <c r="E496" s="159">
        <f t="shared" si="1"/>
        <v>0</v>
      </c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</row>
    <row r="497">
      <c r="A497" s="91"/>
      <c r="B497" s="167" t="s">
        <v>34</v>
      </c>
      <c r="C497" s="163">
        <v>0.0</v>
      </c>
      <c r="D497" s="164"/>
      <c r="E497" s="159">
        <f t="shared" si="1"/>
        <v>0</v>
      </c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</row>
    <row r="498">
      <c r="A498" s="155">
        <v>46184.0</v>
      </c>
      <c r="B498" s="156" t="s">
        <v>4</v>
      </c>
      <c r="C498" s="157">
        <v>0.0</v>
      </c>
      <c r="D498" s="158"/>
      <c r="E498" s="159">
        <f t="shared" si="1"/>
        <v>0</v>
      </c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</row>
    <row r="499">
      <c r="A499" s="36"/>
      <c r="B499" s="156" t="s">
        <v>5</v>
      </c>
      <c r="C499" s="157">
        <v>0.0</v>
      </c>
      <c r="D499" s="158"/>
      <c r="E499" s="159">
        <f t="shared" si="1"/>
        <v>0</v>
      </c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</row>
    <row r="500">
      <c r="A500" s="36"/>
      <c r="B500" s="156" t="s">
        <v>6</v>
      </c>
      <c r="C500" s="157">
        <v>1.0</v>
      </c>
      <c r="D500" s="158"/>
      <c r="E500" s="159">
        <f t="shared" si="1"/>
        <v>1</v>
      </c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</row>
    <row r="501">
      <c r="A501" s="36"/>
      <c r="B501" s="156" t="s">
        <v>22</v>
      </c>
      <c r="C501" s="157">
        <v>3.0</v>
      </c>
      <c r="D501" s="158"/>
      <c r="E501" s="159">
        <f t="shared" si="1"/>
        <v>3</v>
      </c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</row>
    <row r="502">
      <c r="A502" s="36"/>
      <c r="B502" s="156" t="s">
        <v>7</v>
      </c>
      <c r="C502" s="157">
        <v>0.0</v>
      </c>
      <c r="D502" s="158"/>
      <c r="E502" s="159">
        <f t="shared" si="1"/>
        <v>0</v>
      </c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</row>
    <row r="503">
      <c r="A503" s="36"/>
      <c r="B503" s="162" t="s">
        <v>8</v>
      </c>
      <c r="C503" s="157">
        <v>3.0</v>
      </c>
      <c r="D503" s="158"/>
      <c r="E503" s="159">
        <f t="shared" si="1"/>
        <v>3</v>
      </c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</row>
    <row r="504">
      <c r="A504" s="36"/>
      <c r="B504" s="156" t="s">
        <v>9</v>
      </c>
      <c r="C504" s="157">
        <v>0.0</v>
      </c>
      <c r="D504" s="158"/>
      <c r="E504" s="159">
        <f t="shared" si="1"/>
        <v>0</v>
      </c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</row>
    <row r="505">
      <c r="A505" s="36"/>
      <c r="B505" s="156" t="s">
        <v>10</v>
      </c>
      <c r="C505" s="157">
        <v>2.0</v>
      </c>
      <c r="D505" s="158"/>
      <c r="E505" s="159">
        <f t="shared" si="1"/>
        <v>2</v>
      </c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</row>
    <row r="506">
      <c r="A506" s="36"/>
      <c r="B506" s="156" t="s">
        <v>11</v>
      </c>
      <c r="C506" s="157">
        <v>3.0</v>
      </c>
      <c r="D506" s="158"/>
      <c r="E506" s="159">
        <f t="shared" si="1"/>
        <v>3</v>
      </c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</row>
    <row r="507">
      <c r="A507" s="36"/>
      <c r="B507" s="162" t="s">
        <v>12</v>
      </c>
      <c r="C507" s="157">
        <v>3.0</v>
      </c>
      <c r="D507" s="158"/>
      <c r="E507" s="159">
        <f t="shared" si="1"/>
        <v>3</v>
      </c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</row>
    <row r="508">
      <c r="A508" s="36"/>
      <c r="B508" s="162" t="s">
        <v>13</v>
      </c>
      <c r="C508" s="157">
        <v>0.0</v>
      </c>
      <c r="D508" s="158"/>
      <c r="E508" s="159">
        <f t="shared" si="1"/>
        <v>0</v>
      </c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</row>
    <row r="509">
      <c r="A509" s="36"/>
      <c r="B509" s="162" t="s">
        <v>14</v>
      </c>
      <c r="C509" s="157">
        <v>0.0</v>
      </c>
      <c r="D509" s="158"/>
      <c r="E509" s="159">
        <f t="shared" si="1"/>
        <v>0</v>
      </c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</row>
    <row r="510">
      <c r="A510" s="36"/>
      <c r="B510" s="162" t="s">
        <v>15</v>
      </c>
      <c r="C510" s="157">
        <v>0.0</v>
      </c>
      <c r="D510" s="158"/>
      <c r="E510" s="159">
        <f t="shared" si="1"/>
        <v>0</v>
      </c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</row>
    <row r="511">
      <c r="A511" s="36"/>
      <c r="B511" s="162" t="s">
        <v>16</v>
      </c>
      <c r="C511" s="157">
        <v>2.0</v>
      </c>
      <c r="D511" s="158"/>
      <c r="E511" s="159">
        <f t="shared" si="1"/>
        <v>2</v>
      </c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</row>
    <row r="512">
      <c r="A512" s="36"/>
      <c r="B512" s="162" t="s">
        <v>17</v>
      </c>
      <c r="C512" s="157">
        <v>0.0</v>
      </c>
      <c r="D512" s="158"/>
      <c r="E512" s="159">
        <f t="shared" si="1"/>
        <v>0</v>
      </c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</row>
    <row r="513">
      <c r="A513" s="36"/>
      <c r="B513" s="156" t="s">
        <v>18</v>
      </c>
      <c r="C513" s="157">
        <v>1.0</v>
      </c>
      <c r="D513" s="158"/>
      <c r="E513" s="159">
        <f t="shared" si="1"/>
        <v>1</v>
      </c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</row>
    <row r="514">
      <c r="A514" s="36"/>
      <c r="B514" s="156" t="s">
        <v>19</v>
      </c>
      <c r="C514" s="157">
        <v>0.0</v>
      </c>
      <c r="D514" s="158"/>
      <c r="E514" s="159">
        <f t="shared" si="1"/>
        <v>0</v>
      </c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</row>
    <row r="515">
      <c r="A515" s="36"/>
      <c r="B515" s="156" t="s">
        <v>20</v>
      </c>
      <c r="C515" s="157">
        <v>0.0</v>
      </c>
      <c r="D515" s="158"/>
      <c r="E515" s="159">
        <f t="shared" si="1"/>
        <v>0</v>
      </c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</row>
    <row r="516">
      <c r="A516" s="36"/>
      <c r="B516" s="156" t="s">
        <v>21</v>
      </c>
      <c r="C516" s="157">
        <v>0.0</v>
      </c>
      <c r="D516" s="158"/>
      <c r="E516" s="159">
        <f t="shared" si="1"/>
        <v>0</v>
      </c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</row>
    <row r="517">
      <c r="A517" s="36"/>
      <c r="B517" s="156" t="s">
        <v>23</v>
      </c>
      <c r="C517" s="157">
        <v>0.0</v>
      </c>
      <c r="D517" s="158"/>
      <c r="E517" s="159">
        <f t="shared" si="1"/>
        <v>0</v>
      </c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</row>
    <row r="518">
      <c r="A518" s="36"/>
      <c r="B518" s="156" t="s">
        <v>24</v>
      </c>
      <c r="C518" s="157">
        <v>5.0</v>
      </c>
      <c r="D518" s="158"/>
      <c r="E518" s="159">
        <f t="shared" si="1"/>
        <v>5</v>
      </c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</row>
    <row r="519">
      <c r="A519" s="36"/>
      <c r="B519" s="156" t="s">
        <v>25</v>
      </c>
      <c r="C519" s="163">
        <v>3.0</v>
      </c>
      <c r="D519" s="164"/>
      <c r="E519" s="159">
        <f t="shared" si="1"/>
        <v>3</v>
      </c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</row>
    <row r="520">
      <c r="A520" s="36"/>
      <c r="B520" s="156" t="s">
        <v>26</v>
      </c>
      <c r="C520" s="163">
        <v>0.0</v>
      </c>
      <c r="D520" s="164"/>
      <c r="E520" s="159">
        <f t="shared" si="1"/>
        <v>0</v>
      </c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</row>
    <row r="521">
      <c r="A521" s="36"/>
      <c r="B521" s="156" t="s">
        <v>27</v>
      </c>
      <c r="C521" s="163">
        <v>9.0</v>
      </c>
      <c r="D521" s="164"/>
      <c r="E521" s="159">
        <f t="shared" si="1"/>
        <v>9</v>
      </c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</row>
    <row r="522">
      <c r="A522" s="36"/>
      <c r="B522" s="156" t="s">
        <v>28</v>
      </c>
      <c r="C522" s="163">
        <v>0.0</v>
      </c>
      <c r="D522" s="164"/>
      <c r="E522" s="159">
        <f t="shared" si="1"/>
        <v>0</v>
      </c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</row>
    <row r="523">
      <c r="A523" s="36"/>
      <c r="B523" s="165" t="s">
        <v>29</v>
      </c>
      <c r="C523" s="163">
        <v>0.0</v>
      </c>
      <c r="D523" s="164"/>
      <c r="E523" s="159">
        <f t="shared" si="1"/>
        <v>0</v>
      </c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</row>
    <row r="524">
      <c r="A524" s="36"/>
      <c r="B524" s="166" t="s">
        <v>30</v>
      </c>
      <c r="C524" s="163">
        <v>0.0</v>
      </c>
      <c r="D524" s="164"/>
      <c r="E524" s="159">
        <f t="shared" si="1"/>
        <v>0</v>
      </c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</row>
    <row r="525">
      <c r="A525" s="36"/>
      <c r="B525" s="167" t="s">
        <v>31</v>
      </c>
      <c r="C525" s="163">
        <v>0.0</v>
      </c>
      <c r="D525" s="164"/>
      <c r="E525" s="159">
        <f t="shared" si="1"/>
        <v>0</v>
      </c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</row>
    <row r="526">
      <c r="A526" s="36"/>
      <c r="B526" s="167" t="s">
        <v>32</v>
      </c>
      <c r="C526" s="163">
        <v>0.0</v>
      </c>
      <c r="D526" s="164"/>
      <c r="E526" s="159">
        <f t="shared" si="1"/>
        <v>0</v>
      </c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</row>
    <row r="527">
      <c r="A527" s="36"/>
      <c r="B527" s="167" t="s">
        <v>33</v>
      </c>
      <c r="C527" s="163">
        <v>0.0</v>
      </c>
      <c r="D527" s="164"/>
      <c r="E527" s="159">
        <f t="shared" si="1"/>
        <v>0</v>
      </c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</row>
    <row r="528">
      <c r="A528" s="91"/>
      <c r="B528" s="167" t="s">
        <v>34</v>
      </c>
      <c r="C528" s="163">
        <v>0.0</v>
      </c>
      <c r="D528" s="164"/>
      <c r="E528" s="159">
        <f t="shared" si="1"/>
        <v>0</v>
      </c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</row>
    <row r="529">
      <c r="A529" s="155">
        <v>46185.0</v>
      </c>
      <c r="B529" s="156" t="s">
        <v>4</v>
      </c>
      <c r="C529" s="157">
        <v>0.0</v>
      </c>
      <c r="D529" s="158"/>
      <c r="E529" s="159">
        <f t="shared" si="1"/>
        <v>0</v>
      </c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</row>
    <row r="530">
      <c r="A530" s="36"/>
      <c r="B530" s="156" t="s">
        <v>5</v>
      </c>
      <c r="C530" s="157">
        <v>0.0</v>
      </c>
      <c r="D530" s="158"/>
      <c r="E530" s="159">
        <f t="shared" si="1"/>
        <v>0</v>
      </c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</row>
    <row r="531">
      <c r="A531" s="36"/>
      <c r="B531" s="156" t="s">
        <v>6</v>
      </c>
      <c r="C531" s="157">
        <v>0.0</v>
      </c>
      <c r="D531" s="158"/>
      <c r="E531" s="159">
        <f t="shared" si="1"/>
        <v>0</v>
      </c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</row>
    <row r="532">
      <c r="A532" s="36"/>
      <c r="B532" s="156" t="s">
        <v>22</v>
      </c>
      <c r="C532" s="157">
        <v>0.0</v>
      </c>
      <c r="D532" s="158"/>
      <c r="E532" s="159">
        <f t="shared" si="1"/>
        <v>0</v>
      </c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</row>
    <row r="533">
      <c r="A533" s="36"/>
      <c r="B533" s="156" t="s">
        <v>7</v>
      </c>
      <c r="C533" s="157">
        <v>0.0</v>
      </c>
      <c r="D533" s="158"/>
      <c r="E533" s="159">
        <f t="shared" si="1"/>
        <v>0</v>
      </c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</row>
    <row r="534">
      <c r="A534" s="36"/>
      <c r="B534" s="162" t="s">
        <v>8</v>
      </c>
      <c r="C534" s="157">
        <v>0.0</v>
      </c>
      <c r="D534" s="158"/>
      <c r="E534" s="159">
        <f t="shared" si="1"/>
        <v>0</v>
      </c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</row>
    <row r="535">
      <c r="A535" s="36"/>
      <c r="B535" s="156" t="s">
        <v>9</v>
      </c>
      <c r="C535" s="157">
        <v>1.0</v>
      </c>
      <c r="D535" s="158"/>
      <c r="E535" s="159">
        <f t="shared" si="1"/>
        <v>1</v>
      </c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</row>
    <row r="536">
      <c r="A536" s="36"/>
      <c r="B536" s="156" t="s">
        <v>10</v>
      </c>
      <c r="C536" s="157">
        <v>2.0</v>
      </c>
      <c r="D536" s="158"/>
      <c r="E536" s="159">
        <f t="shared" si="1"/>
        <v>2</v>
      </c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</row>
    <row r="537">
      <c r="A537" s="36"/>
      <c r="B537" s="156" t="s">
        <v>11</v>
      </c>
      <c r="C537" s="157">
        <v>1.0</v>
      </c>
      <c r="D537" s="158"/>
      <c r="E537" s="159">
        <f t="shared" si="1"/>
        <v>1</v>
      </c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</row>
    <row r="538">
      <c r="A538" s="36"/>
      <c r="B538" s="162" t="s">
        <v>12</v>
      </c>
      <c r="C538" s="157">
        <v>1.0</v>
      </c>
      <c r="D538" s="158"/>
      <c r="E538" s="159">
        <f t="shared" si="1"/>
        <v>1</v>
      </c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</row>
    <row r="539">
      <c r="A539" s="36"/>
      <c r="B539" s="162" t="s">
        <v>13</v>
      </c>
      <c r="C539" s="157">
        <v>0.0</v>
      </c>
      <c r="D539" s="158"/>
      <c r="E539" s="159">
        <f t="shared" si="1"/>
        <v>0</v>
      </c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</row>
    <row r="540">
      <c r="A540" s="36"/>
      <c r="B540" s="162" t="s">
        <v>14</v>
      </c>
      <c r="C540" s="157">
        <v>0.0</v>
      </c>
      <c r="D540" s="158"/>
      <c r="E540" s="159">
        <f t="shared" si="1"/>
        <v>0</v>
      </c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</row>
    <row r="541">
      <c r="A541" s="36"/>
      <c r="B541" s="162" t="s">
        <v>15</v>
      </c>
      <c r="C541" s="157">
        <v>0.0</v>
      </c>
      <c r="D541" s="158"/>
      <c r="E541" s="159">
        <f t="shared" si="1"/>
        <v>0</v>
      </c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</row>
    <row r="542">
      <c r="A542" s="36"/>
      <c r="B542" s="162" t="s">
        <v>16</v>
      </c>
      <c r="C542" s="157">
        <v>0.0</v>
      </c>
      <c r="D542" s="158"/>
      <c r="E542" s="159">
        <f t="shared" si="1"/>
        <v>0</v>
      </c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</row>
    <row r="543">
      <c r="A543" s="36"/>
      <c r="B543" s="162" t="s">
        <v>17</v>
      </c>
      <c r="C543" s="157">
        <v>0.0</v>
      </c>
      <c r="D543" s="158"/>
      <c r="E543" s="159">
        <f t="shared" si="1"/>
        <v>0</v>
      </c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</row>
    <row r="544">
      <c r="A544" s="36"/>
      <c r="B544" s="156" t="s">
        <v>18</v>
      </c>
      <c r="C544" s="157">
        <v>1.0</v>
      </c>
      <c r="D544" s="158"/>
      <c r="E544" s="159">
        <f t="shared" si="1"/>
        <v>1</v>
      </c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</row>
    <row r="545">
      <c r="A545" s="36"/>
      <c r="B545" s="156" t="s">
        <v>19</v>
      </c>
      <c r="C545" s="157">
        <v>0.0</v>
      </c>
      <c r="D545" s="158"/>
      <c r="E545" s="159">
        <f t="shared" si="1"/>
        <v>0</v>
      </c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</row>
    <row r="546">
      <c r="A546" s="36"/>
      <c r="B546" s="156" t="s">
        <v>20</v>
      </c>
      <c r="C546" s="157">
        <v>0.0</v>
      </c>
      <c r="D546" s="158"/>
      <c r="E546" s="159">
        <f t="shared" si="1"/>
        <v>0</v>
      </c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</row>
    <row r="547">
      <c r="A547" s="36"/>
      <c r="B547" s="156" t="s">
        <v>21</v>
      </c>
      <c r="C547" s="157">
        <v>0.0</v>
      </c>
      <c r="D547" s="158"/>
      <c r="E547" s="159">
        <f t="shared" si="1"/>
        <v>0</v>
      </c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</row>
    <row r="548">
      <c r="A548" s="36"/>
      <c r="B548" s="156" t="s">
        <v>23</v>
      </c>
      <c r="C548" s="157">
        <v>0.0</v>
      </c>
      <c r="D548" s="158"/>
      <c r="E548" s="159">
        <f t="shared" si="1"/>
        <v>0</v>
      </c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</row>
    <row r="549">
      <c r="A549" s="36"/>
      <c r="B549" s="156" t="s">
        <v>24</v>
      </c>
      <c r="C549" s="157">
        <v>0.0</v>
      </c>
      <c r="D549" s="158"/>
      <c r="E549" s="159">
        <f t="shared" si="1"/>
        <v>0</v>
      </c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</row>
    <row r="550">
      <c r="A550" s="36"/>
      <c r="B550" s="156" t="s">
        <v>25</v>
      </c>
      <c r="C550" s="163">
        <v>2.0</v>
      </c>
      <c r="D550" s="164"/>
      <c r="E550" s="159">
        <f t="shared" si="1"/>
        <v>2</v>
      </c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</row>
    <row r="551">
      <c r="A551" s="36"/>
      <c r="B551" s="156" t="s">
        <v>26</v>
      </c>
      <c r="C551" s="163">
        <v>5.0</v>
      </c>
      <c r="D551" s="164"/>
      <c r="E551" s="159">
        <f t="shared" si="1"/>
        <v>5</v>
      </c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</row>
    <row r="552">
      <c r="A552" s="36"/>
      <c r="B552" s="156" t="s">
        <v>27</v>
      </c>
      <c r="C552" s="163">
        <v>6.0</v>
      </c>
      <c r="D552" s="164"/>
      <c r="E552" s="159">
        <f t="shared" si="1"/>
        <v>6</v>
      </c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</row>
    <row r="553">
      <c r="A553" s="36"/>
      <c r="B553" s="156" t="s">
        <v>28</v>
      </c>
      <c r="C553" s="163">
        <v>0.0</v>
      </c>
      <c r="D553" s="164"/>
      <c r="E553" s="159">
        <f t="shared" si="1"/>
        <v>0</v>
      </c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</row>
    <row r="554">
      <c r="A554" s="36"/>
      <c r="B554" s="165" t="s">
        <v>29</v>
      </c>
      <c r="C554" s="163">
        <v>0.0</v>
      </c>
      <c r="D554" s="164"/>
      <c r="E554" s="159">
        <f t="shared" si="1"/>
        <v>0</v>
      </c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</row>
    <row r="555">
      <c r="A555" s="36"/>
      <c r="B555" s="166" t="s">
        <v>30</v>
      </c>
      <c r="C555" s="163">
        <v>0.0</v>
      </c>
      <c r="D555" s="164"/>
      <c r="E555" s="159">
        <f t="shared" si="1"/>
        <v>0</v>
      </c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</row>
    <row r="556">
      <c r="A556" s="36"/>
      <c r="B556" s="167" t="s">
        <v>31</v>
      </c>
      <c r="C556" s="163">
        <v>0.0</v>
      </c>
      <c r="D556" s="164"/>
      <c r="E556" s="159">
        <f t="shared" si="1"/>
        <v>0</v>
      </c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</row>
    <row r="557">
      <c r="A557" s="36"/>
      <c r="B557" s="167" t="s">
        <v>32</v>
      </c>
      <c r="C557" s="163">
        <v>0.0</v>
      </c>
      <c r="D557" s="164"/>
      <c r="E557" s="159">
        <f t="shared" si="1"/>
        <v>0</v>
      </c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</row>
    <row r="558">
      <c r="A558" s="36"/>
      <c r="B558" s="167" t="s">
        <v>33</v>
      </c>
      <c r="C558" s="163">
        <v>0.0</v>
      </c>
      <c r="D558" s="164"/>
      <c r="E558" s="159">
        <f t="shared" si="1"/>
        <v>0</v>
      </c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</row>
    <row r="559">
      <c r="A559" s="91"/>
      <c r="B559" s="167" t="s">
        <v>34</v>
      </c>
      <c r="C559" s="163">
        <v>0.0</v>
      </c>
      <c r="D559" s="164"/>
      <c r="E559" s="159">
        <f t="shared" si="1"/>
        <v>0</v>
      </c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</row>
    <row r="560">
      <c r="A560" s="155">
        <v>46186.0</v>
      </c>
      <c r="B560" s="156" t="s">
        <v>4</v>
      </c>
      <c r="C560" s="157">
        <v>0.0</v>
      </c>
      <c r="D560" s="158"/>
      <c r="E560" s="159">
        <f t="shared" si="1"/>
        <v>0</v>
      </c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</row>
    <row r="561">
      <c r="A561" s="36"/>
      <c r="B561" s="156" t="s">
        <v>5</v>
      </c>
      <c r="C561" s="157">
        <v>0.0</v>
      </c>
      <c r="D561" s="158"/>
      <c r="E561" s="159">
        <f t="shared" si="1"/>
        <v>0</v>
      </c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</row>
    <row r="562">
      <c r="A562" s="36"/>
      <c r="B562" s="156" t="s">
        <v>6</v>
      </c>
      <c r="C562" s="157">
        <v>0.0</v>
      </c>
      <c r="D562" s="158"/>
      <c r="E562" s="159">
        <f t="shared" si="1"/>
        <v>0</v>
      </c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</row>
    <row r="563">
      <c r="A563" s="36"/>
      <c r="B563" s="156" t="s">
        <v>22</v>
      </c>
      <c r="C563" s="157">
        <v>0.0</v>
      </c>
      <c r="D563" s="158"/>
      <c r="E563" s="159">
        <f t="shared" si="1"/>
        <v>0</v>
      </c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</row>
    <row r="564">
      <c r="A564" s="36"/>
      <c r="B564" s="156" t="s">
        <v>7</v>
      </c>
      <c r="C564" s="157">
        <v>0.0</v>
      </c>
      <c r="D564" s="158"/>
      <c r="E564" s="159">
        <f t="shared" si="1"/>
        <v>0</v>
      </c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</row>
    <row r="565">
      <c r="A565" s="36"/>
      <c r="B565" s="162" t="s">
        <v>8</v>
      </c>
      <c r="C565" s="157">
        <v>0.0</v>
      </c>
      <c r="D565" s="158"/>
      <c r="E565" s="159">
        <f t="shared" si="1"/>
        <v>0</v>
      </c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</row>
    <row r="566">
      <c r="A566" s="36"/>
      <c r="B566" s="156" t="s">
        <v>9</v>
      </c>
      <c r="C566" s="157">
        <v>1.0</v>
      </c>
      <c r="D566" s="158"/>
      <c r="E566" s="159">
        <f t="shared" si="1"/>
        <v>1</v>
      </c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</row>
    <row r="567">
      <c r="A567" s="36"/>
      <c r="B567" s="156" t="s">
        <v>10</v>
      </c>
      <c r="C567" s="157">
        <v>1.0</v>
      </c>
      <c r="D567" s="158"/>
      <c r="E567" s="159">
        <f t="shared" si="1"/>
        <v>1</v>
      </c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</row>
    <row r="568">
      <c r="A568" s="36"/>
      <c r="B568" s="156" t="s">
        <v>11</v>
      </c>
      <c r="C568" s="157">
        <v>0.0</v>
      </c>
      <c r="D568" s="158"/>
      <c r="E568" s="159">
        <f t="shared" si="1"/>
        <v>0</v>
      </c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</row>
    <row r="569">
      <c r="A569" s="36"/>
      <c r="B569" s="162" t="s">
        <v>12</v>
      </c>
      <c r="C569" s="157">
        <v>2.0</v>
      </c>
      <c r="D569" s="158"/>
      <c r="E569" s="159">
        <f t="shared" si="1"/>
        <v>2</v>
      </c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</row>
    <row r="570">
      <c r="A570" s="36"/>
      <c r="B570" s="162" t="s">
        <v>13</v>
      </c>
      <c r="C570" s="157">
        <v>0.0</v>
      </c>
      <c r="D570" s="158"/>
      <c r="E570" s="159">
        <f t="shared" si="1"/>
        <v>0</v>
      </c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</row>
    <row r="571">
      <c r="A571" s="36"/>
      <c r="B571" s="162" t="s">
        <v>14</v>
      </c>
      <c r="C571" s="157">
        <v>1.0</v>
      </c>
      <c r="D571" s="158"/>
      <c r="E571" s="159">
        <f t="shared" si="1"/>
        <v>1</v>
      </c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</row>
    <row r="572">
      <c r="A572" s="36"/>
      <c r="B572" s="162" t="s">
        <v>15</v>
      </c>
      <c r="C572" s="157">
        <v>0.0</v>
      </c>
      <c r="D572" s="158"/>
      <c r="E572" s="159">
        <f t="shared" si="1"/>
        <v>0</v>
      </c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</row>
    <row r="573">
      <c r="A573" s="36"/>
      <c r="B573" s="162" t="s">
        <v>16</v>
      </c>
      <c r="C573" s="157">
        <v>2.0</v>
      </c>
      <c r="D573" s="158"/>
      <c r="E573" s="159">
        <f t="shared" si="1"/>
        <v>2</v>
      </c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</row>
    <row r="574">
      <c r="A574" s="36"/>
      <c r="B574" s="162" t="s">
        <v>17</v>
      </c>
      <c r="C574" s="157">
        <v>0.0</v>
      </c>
      <c r="D574" s="158"/>
      <c r="E574" s="159">
        <f t="shared" si="1"/>
        <v>0</v>
      </c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</row>
    <row r="575">
      <c r="A575" s="36"/>
      <c r="B575" s="156" t="s">
        <v>18</v>
      </c>
      <c r="C575" s="157">
        <v>0.0</v>
      </c>
      <c r="D575" s="158"/>
      <c r="E575" s="159">
        <f t="shared" si="1"/>
        <v>0</v>
      </c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</row>
    <row r="576">
      <c r="A576" s="36"/>
      <c r="B576" s="156" t="s">
        <v>19</v>
      </c>
      <c r="C576" s="157">
        <v>1.0</v>
      </c>
      <c r="D576" s="158"/>
      <c r="E576" s="159">
        <f t="shared" si="1"/>
        <v>1</v>
      </c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</row>
    <row r="577">
      <c r="A577" s="36"/>
      <c r="B577" s="156" t="s">
        <v>20</v>
      </c>
      <c r="C577" s="157">
        <v>0.0</v>
      </c>
      <c r="D577" s="158"/>
      <c r="E577" s="159">
        <f t="shared" si="1"/>
        <v>0</v>
      </c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</row>
    <row r="578">
      <c r="A578" s="36"/>
      <c r="B578" s="156" t="s">
        <v>21</v>
      </c>
      <c r="C578" s="157">
        <v>0.0</v>
      </c>
      <c r="D578" s="158"/>
      <c r="E578" s="159">
        <f t="shared" si="1"/>
        <v>0</v>
      </c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</row>
    <row r="579">
      <c r="A579" s="36"/>
      <c r="B579" s="156" t="s">
        <v>23</v>
      </c>
      <c r="C579" s="157">
        <v>0.0</v>
      </c>
      <c r="D579" s="158"/>
      <c r="E579" s="159">
        <f t="shared" si="1"/>
        <v>0</v>
      </c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</row>
    <row r="580">
      <c r="A580" s="36"/>
      <c r="B580" s="156" t="s">
        <v>24</v>
      </c>
      <c r="C580" s="157">
        <v>4.0</v>
      </c>
      <c r="D580" s="158"/>
      <c r="E580" s="159">
        <f t="shared" si="1"/>
        <v>4</v>
      </c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</row>
    <row r="581">
      <c r="A581" s="36"/>
      <c r="B581" s="156" t="s">
        <v>25</v>
      </c>
      <c r="C581" s="163">
        <v>2.0</v>
      </c>
      <c r="D581" s="164"/>
      <c r="E581" s="159">
        <f t="shared" si="1"/>
        <v>2</v>
      </c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</row>
    <row r="582">
      <c r="A582" s="36"/>
      <c r="B582" s="156" t="s">
        <v>26</v>
      </c>
      <c r="C582" s="163">
        <v>3.0</v>
      </c>
      <c r="D582" s="164"/>
      <c r="E582" s="159">
        <f t="shared" si="1"/>
        <v>3</v>
      </c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</row>
    <row r="583">
      <c r="A583" s="36"/>
      <c r="B583" s="156" t="s">
        <v>27</v>
      </c>
      <c r="C583" s="163">
        <v>6.0</v>
      </c>
      <c r="D583" s="164"/>
      <c r="E583" s="159">
        <f t="shared" si="1"/>
        <v>6</v>
      </c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</row>
    <row r="584">
      <c r="A584" s="36"/>
      <c r="B584" s="156" t="s">
        <v>28</v>
      </c>
      <c r="C584" s="163">
        <v>0.0</v>
      </c>
      <c r="D584" s="164"/>
      <c r="E584" s="159">
        <f t="shared" si="1"/>
        <v>0</v>
      </c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</row>
    <row r="585">
      <c r="A585" s="36"/>
      <c r="B585" s="165" t="s">
        <v>29</v>
      </c>
      <c r="C585" s="163">
        <v>0.0</v>
      </c>
      <c r="D585" s="164"/>
      <c r="E585" s="159">
        <f t="shared" si="1"/>
        <v>0</v>
      </c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</row>
    <row r="586">
      <c r="A586" s="36"/>
      <c r="B586" s="166" t="s">
        <v>30</v>
      </c>
      <c r="C586" s="163">
        <v>2.0</v>
      </c>
      <c r="D586" s="164"/>
      <c r="E586" s="159">
        <f t="shared" si="1"/>
        <v>2</v>
      </c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</row>
    <row r="587">
      <c r="A587" s="36"/>
      <c r="B587" s="167" t="s">
        <v>31</v>
      </c>
      <c r="C587" s="163">
        <v>0.0</v>
      </c>
      <c r="D587" s="164"/>
      <c r="E587" s="159">
        <f t="shared" si="1"/>
        <v>0</v>
      </c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</row>
    <row r="588">
      <c r="A588" s="36"/>
      <c r="B588" s="167" t="s">
        <v>32</v>
      </c>
      <c r="C588" s="163">
        <v>0.0</v>
      </c>
      <c r="D588" s="164"/>
      <c r="E588" s="159">
        <f t="shared" si="1"/>
        <v>0</v>
      </c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</row>
    <row r="589">
      <c r="A589" s="36"/>
      <c r="B589" s="167" t="s">
        <v>33</v>
      </c>
      <c r="C589" s="163">
        <v>0.0</v>
      </c>
      <c r="D589" s="164"/>
      <c r="E589" s="159">
        <f t="shared" si="1"/>
        <v>0</v>
      </c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</row>
    <row r="590">
      <c r="A590" s="91"/>
      <c r="B590" s="167" t="s">
        <v>34</v>
      </c>
      <c r="C590" s="163">
        <v>0.0</v>
      </c>
      <c r="D590" s="164"/>
      <c r="E590" s="159">
        <f t="shared" si="1"/>
        <v>0</v>
      </c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</row>
    <row r="591">
      <c r="A591" s="155">
        <v>46187.0</v>
      </c>
      <c r="B591" s="156" t="s">
        <v>4</v>
      </c>
      <c r="C591" s="157">
        <v>0.0</v>
      </c>
      <c r="D591" s="158"/>
      <c r="E591" s="159">
        <f t="shared" si="1"/>
        <v>0</v>
      </c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</row>
    <row r="592">
      <c r="A592" s="36"/>
      <c r="B592" s="156" t="s">
        <v>5</v>
      </c>
      <c r="C592" s="157">
        <v>0.0</v>
      </c>
      <c r="D592" s="158"/>
      <c r="E592" s="159">
        <f t="shared" si="1"/>
        <v>0</v>
      </c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</row>
    <row r="593">
      <c r="A593" s="36"/>
      <c r="B593" s="156" t="s">
        <v>6</v>
      </c>
      <c r="C593" s="157">
        <v>1.0</v>
      </c>
      <c r="D593" s="158"/>
      <c r="E593" s="159">
        <f t="shared" si="1"/>
        <v>1</v>
      </c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</row>
    <row r="594">
      <c r="A594" s="36"/>
      <c r="B594" s="156" t="s">
        <v>22</v>
      </c>
      <c r="C594" s="157">
        <v>1.0</v>
      </c>
      <c r="D594" s="158"/>
      <c r="E594" s="159">
        <f t="shared" si="1"/>
        <v>1</v>
      </c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</row>
    <row r="595">
      <c r="A595" s="36"/>
      <c r="B595" s="156" t="s">
        <v>7</v>
      </c>
      <c r="C595" s="157">
        <v>0.0</v>
      </c>
      <c r="D595" s="158"/>
      <c r="E595" s="159">
        <f t="shared" si="1"/>
        <v>0</v>
      </c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</row>
    <row r="596">
      <c r="A596" s="36"/>
      <c r="B596" s="162" t="s">
        <v>8</v>
      </c>
      <c r="C596" s="157">
        <v>2.0</v>
      </c>
      <c r="D596" s="158"/>
      <c r="E596" s="159">
        <f t="shared" si="1"/>
        <v>2</v>
      </c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</row>
    <row r="597">
      <c r="A597" s="36"/>
      <c r="B597" s="156" t="s">
        <v>9</v>
      </c>
      <c r="C597" s="157">
        <v>0.0</v>
      </c>
      <c r="D597" s="158"/>
      <c r="E597" s="159">
        <f t="shared" si="1"/>
        <v>0</v>
      </c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</row>
    <row r="598">
      <c r="A598" s="36"/>
      <c r="B598" s="156" t="s">
        <v>10</v>
      </c>
      <c r="C598" s="157">
        <v>0.0</v>
      </c>
      <c r="D598" s="158"/>
      <c r="E598" s="159">
        <f t="shared" si="1"/>
        <v>0</v>
      </c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</row>
    <row r="599">
      <c r="A599" s="36"/>
      <c r="B599" s="156" t="s">
        <v>11</v>
      </c>
      <c r="C599" s="157">
        <v>4.0</v>
      </c>
      <c r="D599" s="158"/>
      <c r="E599" s="159">
        <f t="shared" si="1"/>
        <v>4</v>
      </c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</row>
    <row r="600">
      <c r="A600" s="36"/>
      <c r="B600" s="162" t="s">
        <v>12</v>
      </c>
      <c r="C600" s="157">
        <v>3.0</v>
      </c>
      <c r="D600" s="158"/>
      <c r="E600" s="159">
        <f t="shared" si="1"/>
        <v>3</v>
      </c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</row>
    <row r="601">
      <c r="A601" s="36"/>
      <c r="B601" s="162" t="s">
        <v>13</v>
      </c>
      <c r="C601" s="157">
        <v>0.0</v>
      </c>
      <c r="D601" s="158"/>
      <c r="E601" s="159">
        <f t="shared" si="1"/>
        <v>0</v>
      </c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</row>
    <row r="602">
      <c r="A602" s="36"/>
      <c r="B602" s="162" t="s">
        <v>14</v>
      </c>
      <c r="C602" s="157">
        <v>0.0</v>
      </c>
      <c r="D602" s="158"/>
      <c r="E602" s="159">
        <f t="shared" si="1"/>
        <v>0</v>
      </c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</row>
    <row r="603">
      <c r="A603" s="36"/>
      <c r="B603" s="162" t="s">
        <v>15</v>
      </c>
      <c r="C603" s="157">
        <v>0.0</v>
      </c>
      <c r="D603" s="158"/>
      <c r="E603" s="159">
        <f t="shared" si="1"/>
        <v>0</v>
      </c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</row>
    <row r="604">
      <c r="A604" s="36"/>
      <c r="B604" s="162" t="s">
        <v>16</v>
      </c>
      <c r="C604" s="157">
        <v>0.0</v>
      </c>
      <c r="D604" s="158"/>
      <c r="E604" s="159">
        <f t="shared" si="1"/>
        <v>0</v>
      </c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</row>
    <row r="605">
      <c r="A605" s="36"/>
      <c r="B605" s="162" t="s">
        <v>17</v>
      </c>
      <c r="C605" s="157">
        <v>0.0</v>
      </c>
      <c r="D605" s="158"/>
      <c r="E605" s="159">
        <f t="shared" si="1"/>
        <v>0</v>
      </c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</row>
    <row r="606">
      <c r="A606" s="36"/>
      <c r="B606" s="156" t="s">
        <v>18</v>
      </c>
      <c r="C606" s="157">
        <v>1.0</v>
      </c>
      <c r="D606" s="158"/>
      <c r="E606" s="159">
        <f t="shared" si="1"/>
        <v>1</v>
      </c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</row>
    <row r="607">
      <c r="A607" s="36"/>
      <c r="B607" s="156" t="s">
        <v>19</v>
      </c>
      <c r="C607" s="157">
        <v>1.0</v>
      </c>
      <c r="D607" s="158"/>
      <c r="E607" s="159">
        <f t="shared" si="1"/>
        <v>1</v>
      </c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</row>
    <row r="608">
      <c r="A608" s="36"/>
      <c r="B608" s="156" t="s">
        <v>20</v>
      </c>
      <c r="C608" s="157">
        <v>0.0</v>
      </c>
      <c r="D608" s="158"/>
      <c r="E608" s="159">
        <f t="shared" si="1"/>
        <v>0</v>
      </c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</row>
    <row r="609">
      <c r="A609" s="36"/>
      <c r="B609" s="156" t="s">
        <v>21</v>
      </c>
      <c r="C609" s="157">
        <v>0.0</v>
      </c>
      <c r="D609" s="158"/>
      <c r="E609" s="159">
        <f t="shared" si="1"/>
        <v>0</v>
      </c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</row>
    <row r="610">
      <c r="A610" s="36"/>
      <c r="B610" s="156" t="s">
        <v>23</v>
      </c>
      <c r="C610" s="157">
        <v>0.0</v>
      </c>
      <c r="D610" s="158"/>
      <c r="E610" s="159">
        <f t="shared" si="1"/>
        <v>0</v>
      </c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</row>
    <row r="611">
      <c r="A611" s="36"/>
      <c r="B611" s="156" t="s">
        <v>24</v>
      </c>
      <c r="C611" s="157">
        <v>0.0</v>
      </c>
      <c r="D611" s="158"/>
      <c r="E611" s="159">
        <f t="shared" si="1"/>
        <v>0</v>
      </c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</row>
    <row r="612">
      <c r="A612" s="36"/>
      <c r="B612" s="156" t="s">
        <v>25</v>
      </c>
      <c r="C612" s="163">
        <v>3.0</v>
      </c>
      <c r="D612" s="164"/>
      <c r="E612" s="159">
        <f t="shared" si="1"/>
        <v>3</v>
      </c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</row>
    <row r="613">
      <c r="A613" s="36"/>
      <c r="B613" s="156" t="s">
        <v>26</v>
      </c>
      <c r="C613" s="163">
        <v>3.0</v>
      </c>
      <c r="D613" s="164"/>
      <c r="E613" s="159">
        <f t="shared" si="1"/>
        <v>3</v>
      </c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</row>
    <row r="614">
      <c r="A614" s="36"/>
      <c r="B614" s="156" t="s">
        <v>27</v>
      </c>
      <c r="C614" s="163">
        <v>6.0</v>
      </c>
      <c r="D614" s="164"/>
      <c r="E614" s="159">
        <f t="shared" si="1"/>
        <v>6</v>
      </c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</row>
    <row r="615">
      <c r="A615" s="36"/>
      <c r="B615" s="156" t="s">
        <v>28</v>
      </c>
      <c r="C615" s="163">
        <v>0.0</v>
      </c>
      <c r="D615" s="164"/>
      <c r="E615" s="159">
        <f t="shared" si="1"/>
        <v>0</v>
      </c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</row>
    <row r="616">
      <c r="A616" s="36"/>
      <c r="B616" s="165" t="s">
        <v>29</v>
      </c>
      <c r="C616" s="163">
        <v>0.0</v>
      </c>
      <c r="D616" s="164"/>
      <c r="E616" s="159">
        <f t="shared" si="1"/>
        <v>0</v>
      </c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</row>
    <row r="617">
      <c r="A617" s="36"/>
      <c r="B617" s="166" t="s">
        <v>30</v>
      </c>
      <c r="C617" s="163">
        <v>0.0</v>
      </c>
      <c r="D617" s="164"/>
      <c r="E617" s="159">
        <f t="shared" si="1"/>
        <v>0</v>
      </c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</row>
    <row r="618">
      <c r="A618" s="36"/>
      <c r="B618" s="167" t="s">
        <v>31</v>
      </c>
      <c r="C618" s="163">
        <v>0.0</v>
      </c>
      <c r="D618" s="164"/>
      <c r="E618" s="159">
        <f t="shared" si="1"/>
        <v>0</v>
      </c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</row>
    <row r="619">
      <c r="A619" s="36"/>
      <c r="B619" s="167" t="s">
        <v>32</v>
      </c>
      <c r="C619" s="163">
        <v>0.0</v>
      </c>
      <c r="D619" s="164"/>
      <c r="E619" s="159">
        <f t="shared" si="1"/>
        <v>0</v>
      </c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</row>
    <row r="620">
      <c r="A620" s="36"/>
      <c r="B620" s="167" t="s">
        <v>33</v>
      </c>
      <c r="C620" s="163">
        <v>0.0</v>
      </c>
      <c r="D620" s="164"/>
      <c r="E620" s="159">
        <f t="shared" si="1"/>
        <v>0</v>
      </c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</row>
    <row r="621">
      <c r="A621" s="91"/>
      <c r="B621" s="167" t="s">
        <v>34</v>
      </c>
      <c r="C621" s="163">
        <v>0.0</v>
      </c>
      <c r="D621" s="164"/>
      <c r="E621" s="159">
        <f t="shared" si="1"/>
        <v>0</v>
      </c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</row>
    <row r="622">
      <c r="A622" s="155">
        <v>46188.0</v>
      </c>
      <c r="B622" s="156" t="s">
        <v>4</v>
      </c>
      <c r="C622" s="157">
        <v>0.0</v>
      </c>
      <c r="D622" s="158"/>
      <c r="E622" s="159">
        <f t="shared" si="1"/>
        <v>0</v>
      </c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</row>
    <row r="623">
      <c r="A623" s="36"/>
      <c r="B623" s="156" t="s">
        <v>5</v>
      </c>
      <c r="C623" s="157">
        <v>0.0</v>
      </c>
      <c r="D623" s="158"/>
      <c r="E623" s="159">
        <f t="shared" si="1"/>
        <v>0</v>
      </c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</row>
    <row r="624">
      <c r="A624" s="36"/>
      <c r="B624" s="156" t="s">
        <v>6</v>
      </c>
      <c r="C624" s="157">
        <v>0.0</v>
      </c>
      <c r="D624" s="158"/>
      <c r="E624" s="159">
        <f t="shared" si="1"/>
        <v>0</v>
      </c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</row>
    <row r="625">
      <c r="A625" s="36"/>
      <c r="B625" s="156" t="s">
        <v>22</v>
      </c>
      <c r="C625" s="157">
        <v>0.0</v>
      </c>
      <c r="D625" s="158"/>
      <c r="E625" s="159">
        <f t="shared" si="1"/>
        <v>0</v>
      </c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</row>
    <row r="626">
      <c r="A626" s="36"/>
      <c r="B626" s="156" t="s">
        <v>7</v>
      </c>
      <c r="C626" s="157">
        <v>1.0</v>
      </c>
      <c r="D626" s="158"/>
      <c r="E626" s="159">
        <f t="shared" si="1"/>
        <v>1</v>
      </c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</row>
    <row r="627">
      <c r="A627" s="36"/>
      <c r="B627" s="162" t="s">
        <v>8</v>
      </c>
      <c r="C627" s="157">
        <v>0.0</v>
      </c>
      <c r="D627" s="158"/>
      <c r="E627" s="159">
        <f t="shared" si="1"/>
        <v>0</v>
      </c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</row>
    <row r="628">
      <c r="A628" s="36"/>
      <c r="B628" s="156" t="s">
        <v>9</v>
      </c>
      <c r="C628" s="157">
        <v>0.0</v>
      </c>
      <c r="D628" s="158"/>
      <c r="E628" s="159">
        <f t="shared" si="1"/>
        <v>0</v>
      </c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</row>
    <row r="629">
      <c r="A629" s="36"/>
      <c r="B629" s="156" t="s">
        <v>10</v>
      </c>
      <c r="C629" s="157">
        <v>0.0</v>
      </c>
      <c r="D629" s="158"/>
      <c r="E629" s="159">
        <f t="shared" si="1"/>
        <v>0</v>
      </c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</row>
    <row r="630">
      <c r="A630" s="36"/>
      <c r="B630" s="156" t="s">
        <v>11</v>
      </c>
      <c r="C630" s="157">
        <v>0.0</v>
      </c>
      <c r="D630" s="158"/>
      <c r="E630" s="159">
        <f t="shared" si="1"/>
        <v>0</v>
      </c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</row>
    <row r="631">
      <c r="A631" s="36"/>
      <c r="B631" s="162" t="s">
        <v>12</v>
      </c>
      <c r="C631" s="157">
        <v>3.0</v>
      </c>
      <c r="D631" s="158"/>
      <c r="E631" s="159">
        <f t="shared" si="1"/>
        <v>3</v>
      </c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</row>
    <row r="632">
      <c r="A632" s="36"/>
      <c r="B632" s="162" t="s">
        <v>13</v>
      </c>
      <c r="C632" s="157">
        <v>0.0</v>
      </c>
      <c r="D632" s="158"/>
      <c r="E632" s="159">
        <f t="shared" si="1"/>
        <v>0</v>
      </c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</row>
    <row r="633">
      <c r="A633" s="36"/>
      <c r="B633" s="162" t="s">
        <v>14</v>
      </c>
      <c r="C633" s="157">
        <v>0.0</v>
      </c>
      <c r="D633" s="158"/>
      <c r="E633" s="159">
        <f t="shared" si="1"/>
        <v>0</v>
      </c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</row>
    <row r="634">
      <c r="A634" s="36"/>
      <c r="B634" s="162" t="s">
        <v>15</v>
      </c>
      <c r="C634" s="157">
        <v>0.0</v>
      </c>
      <c r="D634" s="158"/>
      <c r="E634" s="159">
        <f t="shared" si="1"/>
        <v>0</v>
      </c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</row>
    <row r="635">
      <c r="A635" s="36"/>
      <c r="B635" s="162" t="s">
        <v>16</v>
      </c>
      <c r="C635" s="157">
        <v>0.0</v>
      </c>
      <c r="D635" s="158"/>
      <c r="E635" s="159">
        <f t="shared" si="1"/>
        <v>0</v>
      </c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</row>
    <row r="636">
      <c r="A636" s="36"/>
      <c r="B636" s="162" t="s">
        <v>17</v>
      </c>
      <c r="C636" s="157">
        <v>1.0</v>
      </c>
      <c r="D636" s="158"/>
      <c r="E636" s="159">
        <f t="shared" si="1"/>
        <v>1</v>
      </c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</row>
    <row r="637">
      <c r="A637" s="36"/>
      <c r="B637" s="156" t="s">
        <v>18</v>
      </c>
      <c r="C637" s="157">
        <v>0.0</v>
      </c>
      <c r="D637" s="158"/>
      <c r="E637" s="159">
        <f t="shared" si="1"/>
        <v>0</v>
      </c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</row>
    <row r="638">
      <c r="A638" s="36"/>
      <c r="B638" s="156" t="s">
        <v>19</v>
      </c>
      <c r="C638" s="157">
        <v>0.0</v>
      </c>
      <c r="D638" s="158"/>
      <c r="E638" s="159">
        <f t="shared" si="1"/>
        <v>0</v>
      </c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</row>
    <row r="639">
      <c r="A639" s="36"/>
      <c r="B639" s="156" t="s">
        <v>20</v>
      </c>
      <c r="C639" s="157">
        <v>0.0</v>
      </c>
      <c r="D639" s="158"/>
      <c r="E639" s="159">
        <f t="shared" si="1"/>
        <v>0</v>
      </c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</row>
    <row r="640">
      <c r="A640" s="36"/>
      <c r="B640" s="156" t="s">
        <v>21</v>
      </c>
      <c r="C640" s="157">
        <v>0.0</v>
      </c>
      <c r="D640" s="158"/>
      <c r="E640" s="159">
        <f t="shared" si="1"/>
        <v>0</v>
      </c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</row>
    <row r="641">
      <c r="A641" s="36"/>
      <c r="B641" s="156" t="s">
        <v>23</v>
      </c>
      <c r="C641" s="157">
        <v>0.0</v>
      </c>
      <c r="D641" s="158"/>
      <c r="E641" s="159">
        <f t="shared" si="1"/>
        <v>0</v>
      </c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</row>
    <row r="642">
      <c r="A642" s="36"/>
      <c r="B642" s="156" t="s">
        <v>24</v>
      </c>
      <c r="C642" s="157">
        <v>0.0</v>
      </c>
      <c r="D642" s="158"/>
      <c r="E642" s="159">
        <f t="shared" si="1"/>
        <v>0</v>
      </c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</row>
    <row r="643">
      <c r="A643" s="36"/>
      <c r="B643" s="156" t="s">
        <v>25</v>
      </c>
      <c r="C643" s="163">
        <v>2.0</v>
      </c>
      <c r="D643" s="164"/>
      <c r="E643" s="159">
        <f t="shared" si="1"/>
        <v>2</v>
      </c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</row>
    <row r="644">
      <c r="A644" s="36"/>
      <c r="B644" s="156" t="s">
        <v>26</v>
      </c>
      <c r="C644" s="163">
        <v>1.0</v>
      </c>
      <c r="D644" s="164"/>
      <c r="E644" s="159">
        <f t="shared" si="1"/>
        <v>1</v>
      </c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</row>
    <row r="645">
      <c r="A645" s="36"/>
      <c r="B645" s="156" t="s">
        <v>27</v>
      </c>
      <c r="C645" s="163">
        <v>5.0</v>
      </c>
      <c r="D645" s="164"/>
      <c r="E645" s="159">
        <f t="shared" si="1"/>
        <v>5</v>
      </c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</row>
    <row r="646">
      <c r="A646" s="36"/>
      <c r="B646" s="156" t="s">
        <v>28</v>
      </c>
      <c r="C646" s="163">
        <v>0.0</v>
      </c>
      <c r="D646" s="164"/>
      <c r="E646" s="159">
        <f t="shared" si="1"/>
        <v>0</v>
      </c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</row>
    <row r="647">
      <c r="A647" s="36"/>
      <c r="B647" s="165" t="s">
        <v>29</v>
      </c>
      <c r="C647" s="163">
        <v>0.0</v>
      </c>
      <c r="D647" s="164"/>
      <c r="E647" s="159">
        <f t="shared" si="1"/>
        <v>0</v>
      </c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</row>
    <row r="648">
      <c r="A648" s="36"/>
      <c r="B648" s="166" t="s">
        <v>30</v>
      </c>
      <c r="C648" s="163">
        <v>0.0</v>
      </c>
      <c r="D648" s="164"/>
      <c r="E648" s="159">
        <f t="shared" si="1"/>
        <v>0</v>
      </c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</row>
    <row r="649">
      <c r="A649" s="36"/>
      <c r="B649" s="167" t="s">
        <v>31</v>
      </c>
      <c r="C649" s="163">
        <v>1.0</v>
      </c>
      <c r="D649" s="164"/>
      <c r="E649" s="159">
        <f t="shared" si="1"/>
        <v>1</v>
      </c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</row>
    <row r="650">
      <c r="A650" s="36"/>
      <c r="B650" s="167" t="s">
        <v>32</v>
      </c>
      <c r="C650" s="163">
        <v>0.0</v>
      </c>
      <c r="D650" s="164"/>
      <c r="E650" s="159">
        <f t="shared" si="1"/>
        <v>0</v>
      </c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</row>
    <row r="651">
      <c r="A651" s="36"/>
      <c r="B651" s="167" t="s">
        <v>33</v>
      </c>
      <c r="C651" s="163">
        <v>0.0</v>
      </c>
      <c r="D651" s="164"/>
      <c r="E651" s="159">
        <f t="shared" si="1"/>
        <v>0</v>
      </c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</row>
    <row r="652">
      <c r="A652" s="91"/>
      <c r="B652" s="167" t="s">
        <v>34</v>
      </c>
      <c r="C652" s="163">
        <v>0.0</v>
      </c>
      <c r="D652" s="164"/>
      <c r="E652" s="159">
        <f t="shared" si="1"/>
        <v>0</v>
      </c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</row>
    <row r="653">
      <c r="A653" s="155">
        <v>46189.0</v>
      </c>
      <c r="B653" s="156" t="s">
        <v>4</v>
      </c>
      <c r="C653" s="157">
        <v>0.0</v>
      </c>
      <c r="D653" s="158"/>
      <c r="E653" s="159">
        <f t="shared" si="1"/>
        <v>0</v>
      </c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</row>
    <row r="654">
      <c r="A654" s="36"/>
      <c r="B654" s="156" t="s">
        <v>5</v>
      </c>
      <c r="C654" s="157">
        <v>0.0</v>
      </c>
      <c r="D654" s="158"/>
      <c r="E654" s="159">
        <f t="shared" si="1"/>
        <v>0</v>
      </c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</row>
    <row r="655">
      <c r="A655" s="36"/>
      <c r="B655" s="156" t="s">
        <v>6</v>
      </c>
      <c r="C655" s="157">
        <v>0.0</v>
      </c>
      <c r="D655" s="158"/>
      <c r="E655" s="159">
        <f t="shared" si="1"/>
        <v>0</v>
      </c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</row>
    <row r="656">
      <c r="A656" s="36"/>
      <c r="B656" s="156" t="s">
        <v>22</v>
      </c>
      <c r="C656" s="157">
        <v>0.0</v>
      </c>
      <c r="D656" s="158"/>
      <c r="E656" s="159">
        <f t="shared" si="1"/>
        <v>0</v>
      </c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</row>
    <row r="657">
      <c r="A657" s="36"/>
      <c r="B657" s="156" t="s">
        <v>7</v>
      </c>
      <c r="C657" s="157">
        <v>0.0</v>
      </c>
      <c r="D657" s="158"/>
      <c r="E657" s="159">
        <f t="shared" si="1"/>
        <v>0</v>
      </c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</row>
    <row r="658">
      <c r="A658" s="36"/>
      <c r="B658" s="162" t="s">
        <v>8</v>
      </c>
      <c r="C658" s="157">
        <v>0.0</v>
      </c>
      <c r="D658" s="158"/>
      <c r="E658" s="159">
        <f t="shared" si="1"/>
        <v>0</v>
      </c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</row>
    <row r="659">
      <c r="A659" s="36"/>
      <c r="B659" s="156" t="s">
        <v>9</v>
      </c>
      <c r="C659" s="157">
        <v>1.0</v>
      </c>
      <c r="D659" s="158"/>
      <c r="E659" s="159">
        <f t="shared" si="1"/>
        <v>1</v>
      </c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</row>
    <row r="660">
      <c r="A660" s="36"/>
      <c r="B660" s="156" t="s">
        <v>10</v>
      </c>
      <c r="C660" s="157">
        <v>2.0</v>
      </c>
      <c r="D660" s="158"/>
      <c r="E660" s="159">
        <f t="shared" si="1"/>
        <v>2</v>
      </c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</row>
    <row r="661">
      <c r="A661" s="36"/>
      <c r="B661" s="156" t="s">
        <v>11</v>
      </c>
      <c r="C661" s="157">
        <v>0.0</v>
      </c>
      <c r="D661" s="158"/>
      <c r="E661" s="159">
        <f t="shared" si="1"/>
        <v>0</v>
      </c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</row>
    <row r="662">
      <c r="A662" s="36"/>
      <c r="B662" s="162" t="s">
        <v>12</v>
      </c>
      <c r="C662" s="157">
        <v>2.0</v>
      </c>
      <c r="D662" s="158"/>
      <c r="E662" s="159">
        <f t="shared" si="1"/>
        <v>2</v>
      </c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</row>
    <row r="663">
      <c r="A663" s="36"/>
      <c r="B663" s="162" t="s">
        <v>13</v>
      </c>
      <c r="C663" s="157">
        <v>0.0</v>
      </c>
      <c r="D663" s="158"/>
      <c r="E663" s="159">
        <f t="shared" si="1"/>
        <v>0</v>
      </c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</row>
    <row r="664">
      <c r="A664" s="36"/>
      <c r="B664" s="162" t="s">
        <v>14</v>
      </c>
      <c r="C664" s="157">
        <v>0.0</v>
      </c>
      <c r="D664" s="158"/>
      <c r="E664" s="159">
        <f t="shared" si="1"/>
        <v>0</v>
      </c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</row>
    <row r="665">
      <c r="A665" s="36"/>
      <c r="B665" s="162" t="s">
        <v>15</v>
      </c>
      <c r="C665" s="157">
        <v>0.0</v>
      </c>
      <c r="D665" s="158"/>
      <c r="E665" s="159">
        <f t="shared" si="1"/>
        <v>0</v>
      </c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</row>
    <row r="666">
      <c r="A666" s="36"/>
      <c r="B666" s="162" t="s">
        <v>16</v>
      </c>
      <c r="C666" s="157">
        <v>0.0</v>
      </c>
      <c r="D666" s="158"/>
      <c r="E666" s="159">
        <f t="shared" si="1"/>
        <v>0</v>
      </c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</row>
    <row r="667">
      <c r="A667" s="36"/>
      <c r="B667" s="162" t="s">
        <v>17</v>
      </c>
      <c r="C667" s="157">
        <v>0.0</v>
      </c>
      <c r="D667" s="158"/>
      <c r="E667" s="159">
        <f t="shared" si="1"/>
        <v>0</v>
      </c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</row>
    <row r="668">
      <c r="A668" s="36"/>
      <c r="B668" s="156" t="s">
        <v>18</v>
      </c>
      <c r="C668" s="157">
        <v>0.0</v>
      </c>
      <c r="D668" s="158"/>
      <c r="E668" s="159">
        <f t="shared" si="1"/>
        <v>0</v>
      </c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</row>
    <row r="669">
      <c r="A669" s="36"/>
      <c r="B669" s="156" t="s">
        <v>19</v>
      </c>
      <c r="C669" s="157">
        <v>0.0</v>
      </c>
      <c r="D669" s="158"/>
      <c r="E669" s="159">
        <f t="shared" si="1"/>
        <v>0</v>
      </c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</row>
    <row r="670">
      <c r="A670" s="36"/>
      <c r="B670" s="156" t="s">
        <v>20</v>
      </c>
      <c r="C670" s="157">
        <v>0.0</v>
      </c>
      <c r="D670" s="158"/>
      <c r="E670" s="159">
        <f t="shared" si="1"/>
        <v>0</v>
      </c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</row>
    <row r="671">
      <c r="A671" s="36"/>
      <c r="B671" s="156" t="s">
        <v>21</v>
      </c>
      <c r="C671" s="157">
        <v>0.0</v>
      </c>
      <c r="D671" s="158"/>
      <c r="E671" s="159">
        <f t="shared" si="1"/>
        <v>0</v>
      </c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</row>
    <row r="672">
      <c r="A672" s="36"/>
      <c r="B672" s="156" t="s">
        <v>23</v>
      </c>
      <c r="C672" s="157">
        <v>0.0</v>
      </c>
      <c r="D672" s="158"/>
      <c r="E672" s="159">
        <f t="shared" si="1"/>
        <v>0</v>
      </c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</row>
    <row r="673">
      <c r="A673" s="36"/>
      <c r="B673" s="156" t="s">
        <v>24</v>
      </c>
      <c r="C673" s="157">
        <v>3.0</v>
      </c>
      <c r="D673" s="158"/>
      <c r="E673" s="159">
        <f t="shared" si="1"/>
        <v>3</v>
      </c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</row>
    <row r="674">
      <c r="A674" s="36"/>
      <c r="B674" s="156" t="s">
        <v>25</v>
      </c>
      <c r="C674" s="163">
        <v>1.0</v>
      </c>
      <c r="D674" s="164"/>
      <c r="E674" s="159">
        <f t="shared" si="1"/>
        <v>1</v>
      </c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</row>
    <row r="675">
      <c r="A675" s="36"/>
      <c r="B675" s="156" t="s">
        <v>26</v>
      </c>
      <c r="C675" s="163">
        <v>1.0</v>
      </c>
      <c r="D675" s="164"/>
      <c r="E675" s="159">
        <f t="shared" si="1"/>
        <v>1</v>
      </c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</row>
    <row r="676">
      <c r="A676" s="36"/>
      <c r="B676" s="156" t="s">
        <v>27</v>
      </c>
      <c r="C676" s="163">
        <v>6.0</v>
      </c>
      <c r="D676" s="164"/>
      <c r="E676" s="159">
        <f t="shared" si="1"/>
        <v>6</v>
      </c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</row>
    <row r="677">
      <c r="A677" s="36"/>
      <c r="B677" s="156" t="s">
        <v>28</v>
      </c>
      <c r="C677" s="163">
        <v>0.0</v>
      </c>
      <c r="D677" s="164"/>
      <c r="E677" s="159">
        <f t="shared" si="1"/>
        <v>0</v>
      </c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</row>
    <row r="678">
      <c r="A678" s="36"/>
      <c r="B678" s="165" t="s">
        <v>29</v>
      </c>
      <c r="C678" s="163">
        <v>0.0</v>
      </c>
      <c r="D678" s="164"/>
      <c r="E678" s="159">
        <f t="shared" si="1"/>
        <v>0</v>
      </c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</row>
    <row r="679">
      <c r="A679" s="36"/>
      <c r="B679" s="166" t="s">
        <v>30</v>
      </c>
      <c r="C679" s="163">
        <v>0.0</v>
      </c>
      <c r="D679" s="164"/>
      <c r="E679" s="159">
        <f t="shared" si="1"/>
        <v>0</v>
      </c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</row>
    <row r="680">
      <c r="A680" s="36"/>
      <c r="B680" s="167" t="s">
        <v>31</v>
      </c>
      <c r="C680" s="163">
        <v>1.0</v>
      </c>
      <c r="D680" s="164"/>
      <c r="E680" s="159">
        <f t="shared" si="1"/>
        <v>1</v>
      </c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</row>
    <row r="681">
      <c r="A681" s="36"/>
      <c r="B681" s="167" t="s">
        <v>32</v>
      </c>
      <c r="C681" s="163">
        <v>0.0</v>
      </c>
      <c r="D681" s="164"/>
      <c r="E681" s="159">
        <f t="shared" si="1"/>
        <v>0</v>
      </c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</row>
    <row r="682">
      <c r="A682" s="36"/>
      <c r="B682" s="167" t="s">
        <v>33</v>
      </c>
      <c r="C682" s="163">
        <v>0.0</v>
      </c>
      <c r="D682" s="164"/>
      <c r="E682" s="159">
        <f t="shared" si="1"/>
        <v>0</v>
      </c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</row>
    <row r="683">
      <c r="A683" s="91"/>
      <c r="B683" s="167" t="s">
        <v>34</v>
      </c>
      <c r="C683" s="163">
        <v>0.0</v>
      </c>
      <c r="D683" s="164"/>
      <c r="E683" s="159">
        <f t="shared" si="1"/>
        <v>0</v>
      </c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</row>
    <row r="684">
      <c r="A684" s="155">
        <v>46190.0</v>
      </c>
      <c r="B684" s="156" t="s">
        <v>4</v>
      </c>
      <c r="C684" s="157">
        <v>0.0</v>
      </c>
      <c r="D684" s="158"/>
      <c r="E684" s="159">
        <f t="shared" si="1"/>
        <v>0</v>
      </c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</row>
    <row r="685">
      <c r="A685" s="36"/>
      <c r="B685" s="156" t="s">
        <v>5</v>
      </c>
      <c r="C685" s="157">
        <v>0.0</v>
      </c>
      <c r="D685" s="158"/>
      <c r="E685" s="159">
        <f t="shared" si="1"/>
        <v>0</v>
      </c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</row>
    <row r="686">
      <c r="A686" s="36"/>
      <c r="B686" s="156" t="s">
        <v>6</v>
      </c>
      <c r="C686" s="157">
        <v>0.0</v>
      </c>
      <c r="D686" s="158"/>
      <c r="E686" s="159">
        <f t="shared" si="1"/>
        <v>0</v>
      </c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</row>
    <row r="687">
      <c r="A687" s="36"/>
      <c r="B687" s="156" t="s">
        <v>22</v>
      </c>
      <c r="C687" s="157">
        <v>0.0</v>
      </c>
      <c r="D687" s="158"/>
      <c r="E687" s="159">
        <f t="shared" si="1"/>
        <v>0</v>
      </c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</row>
    <row r="688">
      <c r="A688" s="36"/>
      <c r="B688" s="156" t="s">
        <v>7</v>
      </c>
      <c r="C688" s="157">
        <v>1.0</v>
      </c>
      <c r="D688" s="158"/>
      <c r="E688" s="159">
        <f t="shared" si="1"/>
        <v>1</v>
      </c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</row>
    <row r="689">
      <c r="A689" s="36"/>
      <c r="B689" s="162" t="s">
        <v>8</v>
      </c>
      <c r="C689" s="157">
        <v>0.0</v>
      </c>
      <c r="D689" s="158"/>
      <c r="E689" s="159">
        <f t="shared" si="1"/>
        <v>0</v>
      </c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</row>
    <row r="690">
      <c r="A690" s="36"/>
      <c r="B690" s="156" t="s">
        <v>9</v>
      </c>
      <c r="C690" s="157">
        <v>0.0</v>
      </c>
      <c r="D690" s="158"/>
      <c r="E690" s="159">
        <f t="shared" si="1"/>
        <v>0</v>
      </c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</row>
    <row r="691">
      <c r="A691" s="36"/>
      <c r="B691" s="156" t="s">
        <v>10</v>
      </c>
      <c r="C691" s="157">
        <v>0.0</v>
      </c>
      <c r="D691" s="158"/>
      <c r="E691" s="159">
        <f t="shared" si="1"/>
        <v>0</v>
      </c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</row>
    <row r="692">
      <c r="A692" s="36"/>
      <c r="B692" s="156" t="s">
        <v>11</v>
      </c>
      <c r="C692" s="157">
        <v>0.0</v>
      </c>
      <c r="D692" s="158"/>
      <c r="E692" s="159">
        <f t="shared" si="1"/>
        <v>0</v>
      </c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</row>
    <row r="693">
      <c r="A693" s="36"/>
      <c r="B693" s="162" t="s">
        <v>12</v>
      </c>
      <c r="C693" s="157">
        <v>3.0</v>
      </c>
      <c r="D693" s="158"/>
      <c r="E693" s="159">
        <f t="shared" si="1"/>
        <v>3</v>
      </c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</row>
    <row r="694">
      <c r="A694" s="36"/>
      <c r="B694" s="162" t="s">
        <v>13</v>
      </c>
      <c r="C694" s="157">
        <v>0.0</v>
      </c>
      <c r="D694" s="158"/>
      <c r="E694" s="159">
        <f t="shared" si="1"/>
        <v>0</v>
      </c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</row>
    <row r="695">
      <c r="A695" s="36"/>
      <c r="B695" s="162" t="s">
        <v>14</v>
      </c>
      <c r="C695" s="157">
        <v>0.0</v>
      </c>
      <c r="D695" s="158"/>
      <c r="E695" s="159">
        <f t="shared" si="1"/>
        <v>0</v>
      </c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</row>
    <row r="696">
      <c r="A696" s="36"/>
      <c r="B696" s="162" t="s">
        <v>15</v>
      </c>
      <c r="C696" s="157">
        <v>0.0</v>
      </c>
      <c r="D696" s="158"/>
      <c r="E696" s="159">
        <f t="shared" si="1"/>
        <v>0</v>
      </c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</row>
    <row r="697">
      <c r="A697" s="36"/>
      <c r="B697" s="162" t="s">
        <v>16</v>
      </c>
      <c r="C697" s="157">
        <v>0.0</v>
      </c>
      <c r="D697" s="158"/>
      <c r="E697" s="159">
        <f t="shared" si="1"/>
        <v>0</v>
      </c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</row>
    <row r="698">
      <c r="A698" s="36"/>
      <c r="B698" s="162" t="s">
        <v>17</v>
      </c>
      <c r="C698" s="157">
        <v>0.0</v>
      </c>
      <c r="D698" s="158"/>
      <c r="E698" s="159">
        <f t="shared" si="1"/>
        <v>0</v>
      </c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</row>
    <row r="699">
      <c r="A699" s="36"/>
      <c r="B699" s="156" t="s">
        <v>18</v>
      </c>
      <c r="C699" s="157">
        <v>0.0</v>
      </c>
      <c r="D699" s="158"/>
      <c r="E699" s="159">
        <f t="shared" si="1"/>
        <v>0</v>
      </c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</row>
    <row r="700">
      <c r="A700" s="36"/>
      <c r="B700" s="156" t="s">
        <v>19</v>
      </c>
      <c r="C700" s="157">
        <v>0.0</v>
      </c>
      <c r="D700" s="158"/>
      <c r="E700" s="159">
        <f t="shared" si="1"/>
        <v>0</v>
      </c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</row>
    <row r="701">
      <c r="A701" s="36"/>
      <c r="B701" s="156" t="s">
        <v>20</v>
      </c>
      <c r="C701" s="157">
        <v>0.0</v>
      </c>
      <c r="D701" s="158"/>
      <c r="E701" s="159">
        <f t="shared" si="1"/>
        <v>0</v>
      </c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</row>
    <row r="702">
      <c r="A702" s="36"/>
      <c r="B702" s="156" t="s">
        <v>21</v>
      </c>
      <c r="C702" s="157">
        <v>0.0</v>
      </c>
      <c r="D702" s="158"/>
      <c r="E702" s="159">
        <f t="shared" si="1"/>
        <v>0</v>
      </c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</row>
    <row r="703">
      <c r="A703" s="36"/>
      <c r="B703" s="156" t="s">
        <v>23</v>
      </c>
      <c r="C703" s="157">
        <v>0.0</v>
      </c>
      <c r="D703" s="158"/>
      <c r="E703" s="159">
        <f t="shared" si="1"/>
        <v>0</v>
      </c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</row>
    <row r="704">
      <c r="A704" s="36"/>
      <c r="B704" s="156" t="s">
        <v>24</v>
      </c>
      <c r="C704" s="157">
        <v>2.0</v>
      </c>
      <c r="D704" s="158"/>
      <c r="E704" s="159">
        <f t="shared" si="1"/>
        <v>2</v>
      </c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</row>
    <row r="705">
      <c r="A705" s="36"/>
      <c r="B705" s="156" t="s">
        <v>25</v>
      </c>
      <c r="C705" s="163">
        <v>2.0</v>
      </c>
      <c r="D705" s="164"/>
      <c r="E705" s="159">
        <f t="shared" si="1"/>
        <v>2</v>
      </c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</row>
    <row r="706">
      <c r="A706" s="36"/>
      <c r="B706" s="156" t="s">
        <v>26</v>
      </c>
      <c r="C706" s="163">
        <v>3.0</v>
      </c>
      <c r="D706" s="164"/>
      <c r="E706" s="159">
        <f t="shared" si="1"/>
        <v>3</v>
      </c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</row>
    <row r="707">
      <c r="A707" s="36"/>
      <c r="B707" s="156" t="s">
        <v>27</v>
      </c>
      <c r="C707" s="163">
        <v>3.0</v>
      </c>
      <c r="D707" s="164"/>
      <c r="E707" s="159">
        <f t="shared" si="1"/>
        <v>3</v>
      </c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</row>
    <row r="708">
      <c r="A708" s="36"/>
      <c r="B708" s="156" t="s">
        <v>28</v>
      </c>
      <c r="C708" s="163">
        <v>0.0</v>
      </c>
      <c r="D708" s="164"/>
      <c r="E708" s="159">
        <f t="shared" si="1"/>
        <v>0</v>
      </c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</row>
    <row r="709">
      <c r="A709" s="36"/>
      <c r="B709" s="165" t="s">
        <v>29</v>
      </c>
      <c r="C709" s="163">
        <v>0.0</v>
      </c>
      <c r="D709" s="164"/>
      <c r="E709" s="159">
        <f t="shared" si="1"/>
        <v>0</v>
      </c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</row>
    <row r="710">
      <c r="A710" s="36"/>
      <c r="B710" s="166" t="s">
        <v>30</v>
      </c>
      <c r="C710" s="163">
        <v>0.0</v>
      </c>
      <c r="D710" s="164"/>
      <c r="E710" s="159">
        <f t="shared" si="1"/>
        <v>0</v>
      </c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</row>
    <row r="711">
      <c r="A711" s="36"/>
      <c r="B711" s="167" t="s">
        <v>31</v>
      </c>
      <c r="C711" s="163">
        <v>0.0</v>
      </c>
      <c r="D711" s="164"/>
      <c r="E711" s="159">
        <f t="shared" si="1"/>
        <v>0</v>
      </c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</row>
    <row r="712">
      <c r="A712" s="36"/>
      <c r="B712" s="167" t="s">
        <v>32</v>
      </c>
      <c r="C712" s="163">
        <v>0.0</v>
      </c>
      <c r="D712" s="164"/>
      <c r="E712" s="159">
        <f t="shared" si="1"/>
        <v>0</v>
      </c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</row>
    <row r="713">
      <c r="A713" s="36"/>
      <c r="B713" s="167" t="s">
        <v>33</v>
      </c>
      <c r="C713" s="163">
        <v>0.0</v>
      </c>
      <c r="D713" s="164"/>
      <c r="E713" s="159">
        <f t="shared" si="1"/>
        <v>0</v>
      </c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</row>
    <row r="714">
      <c r="A714" s="91"/>
      <c r="B714" s="167" t="s">
        <v>34</v>
      </c>
      <c r="C714" s="163">
        <v>0.0</v>
      </c>
      <c r="D714" s="164"/>
      <c r="E714" s="159">
        <f t="shared" si="1"/>
        <v>0</v>
      </c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</row>
    <row r="715">
      <c r="A715" s="155">
        <v>46191.0</v>
      </c>
      <c r="B715" s="156" t="s">
        <v>4</v>
      </c>
      <c r="C715" s="157"/>
      <c r="D715" s="158"/>
      <c r="E715" s="159">
        <f t="shared" si="1"/>
        <v>0</v>
      </c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</row>
    <row r="716">
      <c r="A716" s="36"/>
      <c r="B716" s="156" t="s">
        <v>5</v>
      </c>
      <c r="C716" s="157"/>
      <c r="D716" s="158"/>
      <c r="E716" s="159">
        <f t="shared" si="1"/>
        <v>0</v>
      </c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</row>
    <row r="717">
      <c r="A717" s="36"/>
      <c r="B717" s="156" t="s">
        <v>6</v>
      </c>
      <c r="C717" s="157"/>
      <c r="D717" s="158"/>
      <c r="E717" s="159">
        <f t="shared" si="1"/>
        <v>0</v>
      </c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</row>
    <row r="718">
      <c r="A718" s="36"/>
      <c r="B718" s="156" t="s">
        <v>22</v>
      </c>
      <c r="C718" s="157"/>
      <c r="D718" s="158"/>
      <c r="E718" s="159">
        <f t="shared" si="1"/>
        <v>0</v>
      </c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</row>
    <row r="719">
      <c r="A719" s="36"/>
      <c r="B719" s="156" t="s">
        <v>7</v>
      </c>
      <c r="C719" s="157"/>
      <c r="D719" s="158"/>
      <c r="E719" s="159">
        <f t="shared" si="1"/>
        <v>0</v>
      </c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</row>
    <row r="720">
      <c r="A720" s="36"/>
      <c r="B720" s="162" t="s">
        <v>8</v>
      </c>
      <c r="C720" s="157"/>
      <c r="D720" s="158"/>
      <c r="E720" s="159">
        <f t="shared" si="1"/>
        <v>0</v>
      </c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</row>
    <row r="721">
      <c r="A721" s="36"/>
      <c r="B721" s="156" t="s">
        <v>9</v>
      </c>
      <c r="C721" s="157"/>
      <c r="D721" s="158"/>
      <c r="E721" s="159">
        <f t="shared" si="1"/>
        <v>0</v>
      </c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</row>
    <row r="722">
      <c r="A722" s="36"/>
      <c r="B722" s="156" t="s">
        <v>10</v>
      </c>
      <c r="C722" s="157"/>
      <c r="D722" s="158"/>
      <c r="E722" s="159">
        <f t="shared" si="1"/>
        <v>0</v>
      </c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</row>
    <row r="723">
      <c r="A723" s="36"/>
      <c r="B723" s="156" t="s">
        <v>11</v>
      </c>
      <c r="C723" s="157"/>
      <c r="D723" s="158"/>
      <c r="E723" s="159">
        <f t="shared" si="1"/>
        <v>0</v>
      </c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</row>
    <row r="724">
      <c r="A724" s="36"/>
      <c r="B724" s="162" t="s">
        <v>12</v>
      </c>
      <c r="C724" s="157"/>
      <c r="D724" s="158"/>
      <c r="E724" s="159">
        <f t="shared" si="1"/>
        <v>0</v>
      </c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</row>
    <row r="725">
      <c r="A725" s="36"/>
      <c r="B725" s="162" t="s">
        <v>13</v>
      </c>
      <c r="C725" s="157"/>
      <c r="D725" s="158"/>
      <c r="E725" s="159">
        <f t="shared" si="1"/>
        <v>0</v>
      </c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</row>
    <row r="726">
      <c r="A726" s="36"/>
      <c r="B726" s="162" t="s">
        <v>14</v>
      </c>
      <c r="C726" s="157"/>
      <c r="D726" s="158"/>
      <c r="E726" s="159">
        <f t="shared" si="1"/>
        <v>0</v>
      </c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</row>
    <row r="727">
      <c r="A727" s="36"/>
      <c r="B727" s="162" t="s">
        <v>15</v>
      </c>
      <c r="C727" s="157"/>
      <c r="D727" s="158"/>
      <c r="E727" s="159">
        <f t="shared" si="1"/>
        <v>0</v>
      </c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</row>
    <row r="728">
      <c r="A728" s="36"/>
      <c r="B728" s="162" t="s">
        <v>16</v>
      </c>
      <c r="C728" s="157"/>
      <c r="D728" s="158"/>
      <c r="E728" s="159">
        <f t="shared" si="1"/>
        <v>0</v>
      </c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</row>
    <row r="729">
      <c r="A729" s="36"/>
      <c r="B729" s="162" t="s">
        <v>17</v>
      </c>
      <c r="C729" s="157"/>
      <c r="D729" s="158"/>
      <c r="E729" s="159">
        <f t="shared" si="1"/>
        <v>0</v>
      </c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</row>
    <row r="730">
      <c r="A730" s="36"/>
      <c r="B730" s="156" t="s">
        <v>18</v>
      </c>
      <c r="C730" s="157"/>
      <c r="D730" s="158"/>
      <c r="E730" s="159">
        <f t="shared" si="1"/>
        <v>0</v>
      </c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</row>
    <row r="731">
      <c r="A731" s="36"/>
      <c r="B731" s="156" t="s">
        <v>19</v>
      </c>
      <c r="C731" s="157"/>
      <c r="D731" s="158"/>
      <c r="E731" s="159">
        <f t="shared" si="1"/>
        <v>0</v>
      </c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</row>
    <row r="732">
      <c r="A732" s="36"/>
      <c r="B732" s="156" t="s">
        <v>20</v>
      </c>
      <c r="C732" s="157"/>
      <c r="D732" s="158"/>
      <c r="E732" s="159">
        <f t="shared" si="1"/>
        <v>0</v>
      </c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</row>
    <row r="733">
      <c r="A733" s="36"/>
      <c r="B733" s="156" t="s">
        <v>21</v>
      </c>
      <c r="C733" s="157"/>
      <c r="D733" s="158"/>
      <c r="E733" s="159">
        <f t="shared" si="1"/>
        <v>0</v>
      </c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</row>
    <row r="734">
      <c r="A734" s="36"/>
      <c r="B734" s="156" t="s">
        <v>23</v>
      </c>
      <c r="C734" s="157"/>
      <c r="D734" s="158"/>
      <c r="E734" s="159">
        <f t="shared" si="1"/>
        <v>0</v>
      </c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</row>
    <row r="735">
      <c r="A735" s="36"/>
      <c r="B735" s="156" t="s">
        <v>24</v>
      </c>
      <c r="C735" s="157"/>
      <c r="D735" s="158"/>
      <c r="E735" s="159">
        <f t="shared" si="1"/>
        <v>0</v>
      </c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</row>
    <row r="736">
      <c r="A736" s="36"/>
      <c r="B736" s="156" t="s">
        <v>25</v>
      </c>
      <c r="C736" s="163"/>
      <c r="D736" s="164"/>
      <c r="E736" s="159">
        <f t="shared" si="1"/>
        <v>0</v>
      </c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</row>
    <row r="737">
      <c r="A737" s="36"/>
      <c r="B737" s="156" t="s">
        <v>26</v>
      </c>
      <c r="C737" s="163"/>
      <c r="D737" s="164"/>
      <c r="E737" s="159">
        <f t="shared" si="1"/>
        <v>0</v>
      </c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</row>
    <row r="738">
      <c r="A738" s="36"/>
      <c r="B738" s="156" t="s">
        <v>27</v>
      </c>
      <c r="C738" s="163"/>
      <c r="D738" s="164"/>
      <c r="E738" s="159">
        <f t="shared" si="1"/>
        <v>0</v>
      </c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</row>
    <row r="739">
      <c r="A739" s="36"/>
      <c r="B739" s="156" t="s">
        <v>28</v>
      </c>
      <c r="C739" s="163"/>
      <c r="D739" s="164"/>
      <c r="E739" s="159">
        <f t="shared" si="1"/>
        <v>0</v>
      </c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</row>
    <row r="740">
      <c r="A740" s="36"/>
      <c r="B740" s="165" t="s">
        <v>29</v>
      </c>
      <c r="C740" s="163"/>
      <c r="D740" s="164"/>
      <c r="E740" s="159">
        <f t="shared" si="1"/>
        <v>0</v>
      </c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</row>
    <row r="741">
      <c r="A741" s="36"/>
      <c r="B741" s="166" t="s">
        <v>30</v>
      </c>
      <c r="C741" s="163"/>
      <c r="D741" s="164"/>
      <c r="E741" s="159">
        <f t="shared" si="1"/>
        <v>0</v>
      </c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</row>
    <row r="742">
      <c r="A742" s="36"/>
      <c r="B742" s="167" t="s">
        <v>31</v>
      </c>
      <c r="C742" s="163"/>
      <c r="D742" s="164"/>
      <c r="E742" s="159">
        <f t="shared" si="1"/>
        <v>0</v>
      </c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</row>
    <row r="743">
      <c r="A743" s="36"/>
      <c r="B743" s="167" t="s">
        <v>32</v>
      </c>
      <c r="C743" s="163"/>
      <c r="D743" s="164"/>
      <c r="E743" s="159">
        <f t="shared" si="1"/>
        <v>0</v>
      </c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</row>
    <row r="744">
      <c r="A744" s="36"/>
      <c r="B744" s="167" t="s">
        <v>33</v>
      </c>
      <c r="C744" s="163"/>
      <c r="D744" s="164"/>
      <c r="E744" s="159">
        <f t="shared" si="1"/>
        <v>0</v>
      </c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</row>
    <row r="745">
      <c r="A745" s="91"/>
      <c r="B745" s="167" t="s">
        <v>34</v>
      </c>
      <c r="C745" s="163"/>
      <c r="D745" s="164"/>
      <c r="E745" s="159">
        <f t="shared" si="1"/>
        <v>0</v>
      </c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</row>
    <row r="746">
      <c r="A746" s="155">
        <v>46192.0</v>
      </c>
      <c r="B746" s="156" t="s">
        <v>4</v>
      </c>
      <c r="C746" s="157">
        <v>0.0</v>
      </c>
      <c r="D746" s="158"/>
      <c r="E746" s="159">
        <f t="shared" si="1"/>
        <v>0</v>
      </c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</row>
    <row r="747">
      <c r="A747" s="36"/>
      <c r="B747" s="156" t="s">
        <v>5</v>
      </c>
      <c r="C747" s="157">
        <v>0.0</v>
      </c>
      <c r="D747" s="158"/>
      <c r="E747" s="159">
        <f t="shared" si="1"/>
        <v>0</v>
      </c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</row>
    <row r="748">
      <c r="A748" s="36"/>
      <c r="B748" s="156" t="s">
        <v>6</v>
      </c>
      <c r="C748" s="157">
        <v>1.0</v>
      </c>
      <c r="D748" s="158"/>
      <c r="E748" s="159">
        <f t="shared" si="1"/>
        <v>1</v>
      </c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</row>
    <row r="749">
      <c r="A749" s="36"/>
      <c r="B749" s="156" t="s">
        <v>22</v>
      </c>
      <c r="C749" s="157">
        <v>0.0</v>
      </c>
      <c r="D749" s="158"/>
      <c r="E749" s="159">
        <f t="shared" si="1"/>
        <v>0</v>
      </c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</row>
    <row r="750">
      <c r="A750" s="36"/>
      <c r="B750" s="156" t="s">
        <v>7</v>
      </c>
      <c r="C750" s="157">
        <v>0.0</v>
      </c>
      <c r="D750" s="158"/>
      <c r="E750" s="159">
        <f t="shared" si="1"/>
        <v>0</v>
      </c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</row>
    <row r="751">
      <c r="A751" s="36"/>
      <c r="B751" s="162" t="s">
        <v>8</v>
      </c>
      <c r="C751" s="157">
        <v>1.0</v>
      </c>
      <c r="D751" s="158"/>
      <c r="E751" s="159">
        <f t="shared" si="1"/>
        <v>1</v>
      </c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</row>
    <row r="752">
      <c r="A752" s="36"/>
      <c r="B752" s="156" t="s">
        <v>9</v>
      </c>
      <c r="C752" s="157">
        <v>0.0</v>
      </c>
      <c r="D752" s="158"/>
      <c r="E752" s="159">
        <f t="shared" si="1"/>
        <v>0</v>
      </c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</row>
    <row r="753">
      <c r="A753" s="36"/>
      <c r="B753" s="156" t="s">
        <v>10</v>
      </c>
      <c r="C753" s="157">
        <v>0.0</v>
      </c>
      <c r="D753" s="158"/>
      <c r="E753" s="159">
        <f t="shared" si="1"/>
        <v>0</v>
      </c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</row>
    <row r="754">
      <c r="A754" s="36"/>
      <c r="B754" s="156" t="s">
        <v>11</v>
      </c>
      <c r="C754" s="157">
        <v>0.0</v>
      </c>
      <c r="D754" s="158"/>
      <c r="E754" s="159">
        <f t="shared" si="1"/>
        <v>0</v>
      </c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</row>
    <row r="755">
      <c r="A755" s="36"/>
      <c r="B755" s="162" t="s">
        <v>12</v>
      </c>
      <c r="C755" s="157">
        <v>1.0</v>
      </c>
      <c r="D755" s="158"/>
      <c r="E755" s="159">
        <f t="shared" si="1"/>
        <v>1</v>
      </c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</row>
    <row r="756">
      <c r="A756" s="36"/>
      <c r="B756" s="162" t="s">
        <v>13</v>
      </c>
      <c r="C756" s="157">
        <v>0.0</v>
      </c>
      <c r="D756" s="158"/>
      <c r="E756" s="159">
        <f t="shared" si="1"/>
        <v>0</v>
      </c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</row>
    <row r="757">
      <c r="A757" s="36"/>
      <c r="B757" s="162" t="s">
        <v>14</v>
      </c>
      <c r="C757" s="157">
        <v>0.0</v>
      </c>
      <c r="D757" s="158"/>
      <c r="E757" s="159">
        <f t="shared" si="1"/>
        <v>0</v>
      </c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</row>
    <row r="758">
      <c r="A758" s="36"/>
      <c r="B758" s="162" t="s">
        <v>15</v>
      </c>
      <c r="C758" s="157">
        <v>0.0</v>
      </c>
      <c r="D758" s="158"/>
      <c r="E758" s="159">
        <f t="shared" si="1"/>
        <v>0</v>
      </c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</row>
    <row r="759">
      <c r="A759" s="36"/>
      <c r="B759" s="162" t="s">
        <v>16</v>
      </c>
      <c r="C759" s="157">
        <v>0.0</v>
      </c>
      <c r="D759" s="158"/>
      <c r="E759" s="159">
        <f t="shared" si="1"/>
        <v>0</v>
      </c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</row>
    <row r="760">
      <c r="A760" s="36"/>
      <c r="B760" s="162" t="s">
        <v>17</v>
      </c>
      <c r="C760" s="157">
        <v>0.0</v>
      </c>
      <c r="D760" s="158"/>
      <c r="E760" s="159">
        <f t="shared" si="1"/>
        <v>0</v>
      </c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</row>
    <row r="761">
      <c r="A761" s="36"/>
      <c r="B761" s="156" t="s">
        <v>18</v>
      </c>
      <c r="C761" s="157">
        <v>1.0</v>
      </c>
      <c r="D761" s="158"/>
      <c r="E761" s="159">
        <f t="shared" si="1"/>
        <v>1</v>
      </c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</row>
    <row r="762">
      <c r="A762" s="36"/>
      <c r="B762" s="156" t="s">
        <v>19</v>
      </c>
      <c r="C762" s="157">
        <v>0.0</v>
      </c>
      <c r="D762" s="158"/>
      <c r="E762" s="159">
        <f t="shared" si="1"/>
        <v>0</v>
      </c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</row>
    <row r="763">
      <c r="A763" s="36"/>
      <c r="B763" s="156" t="s">
        <v>20</v>
      </c>
      <c r="C763" s="157">
        <v>0.0</v>
      </c>
      <c r="D763" s="158"/>
      <c r="E763" s="159">
        <f t="shared" si="1"/>
        <v>0</v>
      </c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</row>
    <row r="764">
      <c r="A764" s="36"/>
      <c r="B764" s="156" t="s">
        <v>21</v>
      </c>
      <c r="C764" s="157">
        <v>0.0</v>
      </c>
      <c r="D764" s="158"/>
      <c r="E764" s="159">
        <f t="shared" si="1"/>
        <v>0</v>
      </c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</row>
    <row r="765">
      <c r="A765" s="36"/>
      <c r="B765" s="156" t="s">
        <v>23</v>
      </c>
      <c r="C765" s="157">
        <v>0.0</v>
      </c>
      <c r="D765" s="158"/>
      <c r="E765" s="159">
        <f t="shared" si="1"/>
        <v>0</v>
      </c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</row>
    <row r="766">
      <c r="A766" s="36"/>
      <c r="B766" s="156" t="s">
        <v>24</v>
      </c>
      <c r="C766" s="157">
        <v>0.0</v>
      </c>
      <c r="D766" s="158"/>
      <c r="E766" s="159">
        <f t="shared" si="1"/>
        <v>0</v>
      </c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</row>
    <row r="767">
      <c r="A767" s="36"/>
      <c r="B767" s="156" t="s">
        <v>25</v>
      </c>
      <c r="C767" s="163">
        <v>0.0</v>
      </c>
      <c r="D767" s="164"/>
      <c r="E767" s="159">
        <f t="shared" si="1"/>
        <v>0</v>
      </c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</row>
    <row r="768">
      <c r="A768" s="36"/>
      <c r="B768" s="156" t="s">
        <v>26</v>
      </c>
      <c r="C768" s="163">
        <v>2.0</v>
      </c>
      <c r="D768" s="164"/>
      <c r="E768" s="159">
        <f t="shared" si="1"/>
        <v>2</v>
      </c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</row>
    <row r="769">
      <c r="A769" s="36"/>
      <c r="B769" s="156" t="s">
        <v>27</v>
      </c>
      <c r="C769" s="163">
        <v>3.0</v>
      </c>
      <c r="D769" s="164"/>
      <c r="E769" s="159">
        <f t="shared" si="1"/>
        <v>3</v>
      </c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</row>
    <row r="770">
      <c r="A770" s="36"/>
      <c r="B770" s="156" t="s">
        <v>28</v>
      </c>
      <c r="C770" s="163">
        <v>0.0</v>
      </c>
      <c r="D770" s="164"/>
      <c r="E770" s="159">
        <f t="shared" si="1"/>
        <v>0</v>
      </c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</row>
    <row r="771">
      <c r="A771" s="36"/>
      <c r="B771" s="165" t="s">
        <v>29</v>
      </c>
      <c r="C771" s="163">
        <v>0.0</v>
      </c>
      <c r="D771" s="164"/>
      <c r="E771" s="159">
        <f t="shared" si="1"/>
        <v>0</v>
      </c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</row>
    <row r="772">
      <c r="A772" s="36"/>
      <c r="B772" s="166" t="s">
        <v>30</v>
      </c>
      <c r="C772" s="163">
        <v>0.0</v>
      </c>
      <c r="D772" s="164"/>
      <c r="E772" s="159">
        <f t="shared" si="1"/>
        <v>0</v>
      </c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</row>
    <row r="773">
      <c r="A773" s="36"/>
      <c r="B773" s="167" t="s">
        <v>31</v>
      </c>
      <c r="C773" s="163">
        <v>1.0</v>
      </c>
      <c r="D773" s="164"/>
      <c r="E773" s="159">
        <f t="shared" si="1"/>
        <v>1</v>
      </c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</row>
    <row r="774">
      <c r="A774" s="36"/>
      <c r="B774" s="167" t="s">
        <v>32</v>
      </c>
      <c r="C774" s="163">
        <v>0.0</v>
      </c>
      <c r="D774" s="164"/>
      <c r="E774" s="159">
        <f t="shared" si="1"/>
        <v>0</v>
      </c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</row>
    <row r="775">
      <c r="A775" s="36"/>
      <c r="B775" s="167" t="s">
        <v>33</v>
      </c>
      <c r="C775" s="163">
        <v>0.0</v>
      </c>
      <c r="D775" s="164"/>
      <c r="E775" s="159">
        <f t="shared" si="1"/>
        <v>0</v>
      </c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</row>
    <row r="776">
      <c r="A776" s="91"/>
      <c r="B776" s="167" t="s">
        <v>34</v>
      </c>
      <c r="C776" s="163">
        <v>0.0</v>
      </c>
      <c r="D776" s="164"/>
      <c r="E776" s="159">
        <f t="shared" si="1"/>
        <v>0</v>
      </c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</row>
    <row r="777">
      <c r="A777" s="155">
        <v>46193.0</v>
      </c>
      <c r="B777" s="156" t="s">
        <v>4</v>
      </c>
      <c r="C777" s="157">
        <v>0.0</v>
      </c>
      <c r="D777" s="158"/>
      <c r="E777" s="159">
        <f t="shared" si="1"/>
        <v>0</v>
      </c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</row>
    <row r="778">
      <c r="A778" s="36"/>
      <c r="B778" s="156" t="s">
        <v>5</v>
      </c>
      <c r="C778" s="157">
        <v>0.0</v>
      </c>
      <c r="D778" s="158"/>
      <c r="E778" s="159">
        <f t="shared" si="1"/>
        <v>0</v>
      </c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</row>
    <row r="779">
      <c r="A779" s="36"/>
      <c r="B779" s="156" t="s">
        <v>6</v>
      </c>
      <c r="C779" s="157">
        <v>0.0</v>
      </c>
      <c r="D779" s="158"/>
      <c r="E779" s="159">
        <f t="shared" si="1"/>
        <v>0</v>
      </c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</row>
    <row r="780">
      <c r="A780" s="36"/>
      <c r="B780" s="156" t="s">
        <v>22</v>
      </c>
      <c r="C780" s="157">
        <v>0.0</v>
      </c>
      <c r="D780" s="158"/>
      <c r="E780" s="159">
        <f t="shared" si="1"/>
        <v>0</v>
      </c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</row>
    <row r="781">
      <c r="A781" s="36"/>
      <c r="B781" s="156" t="s">
        <v>7</v>
      </c>
      <c r="C781" s="157">
        <v>1.0</v>
      </c>
      <c r="D781" s="158"/>
      <c r="E781" s="159">
        <f t="shared" si="1"/>
        <v>1</v>
      </c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</row>
    <row r="782">
      <c r="A782" s="36"/>
      <c r="B782" s="162" t="s">
        <v>8</v>
      </c>
      <c r="C782" s="157">
        <v>0.0</v>
      </c>
      <c r="D782" s="158"/>
      <c r="E782" s="159">
        <f t="shared" si="1"/>
        <v>0</v>
      </c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</row>
    <row r="783">
      <c r="A783" s="36"/>
      <c r="B783" s="156" t="s">
        <v>9</v>
      </c>
      <c r="C783" s="157">
        <v>0.0</v>
      </c>
      <c r="D783" s="158"/>
      <c r="E783" s="159">
        <f t="shared" si="1"/>
        <v>0</v>
      </c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</row>
    <row r="784">
      <c r="A784" s="36"/>
      <c r="B784" s="156" t="s">
        <v>10</v>
      </c>
      <c r="C784" s="157">
        <v>0.0</v>
      </c>
      <c r="D784" s="158"/>
      <c r="E784" s="159">
        <f t="shared" si="1"/>
        <v>0</v>
      </c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</row>
    <row r="785">
      <c r="A785" s="36"/>
      <c r="B785" s="156" t="s">
        <v>11</v>
      </c>
      <c r="C785" s="157">
        <v>0.0</v>
      </c>
      <c r="D785" s="158"/>
      <c r="E785" s="159">
        <f t="shared" si="1"/>
        <v>0</v>
      </c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</row>
    <row r="786">
      <c r="A786" s="36"/>
      <c r="B786" s="162" t="s">
        <v>12</v>
      </c>
      <c r="C786" s="157">
        <v>3.0</v>
      </c>
      <c r="D786" s="158"/>
      <c r="E786" s="159">
        <f t="shared" si="1"/>
        <v>3</v>
      </c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</row>
    <row r="787">
      <c r="A787" s="36"/>
      <c r="B787" s="162" t="s">
        <v>13</v>
      </c>
      <c r="C787" s="157">
        <v>0.0</v>
      </c>
      <c r="D787" s="158"/>
      <c r="E787" s="159">
        <f t="shared" si="1"/>
        <v>0</v>
      </c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</row>
    <row r="788">
      <c r="A788" s="36"/>
      <c r="B788" s="162" t="s">
        <v>14</v>
      </c>
      <c r="C788" s="157">
        <v>0.0</v>
      </c>
      <c r="D788" s="158"/>
      <c r="E788" s="159">
        <f t="shared" si="1"/>
        <v>0</v>
      </c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</row>
    <row r="789">
      <c r="A789" s="36"/>
      <c r="B789" s="162" t="s">
        <v>15</v>
      </c>
      <c r="C789" s="157">
        <v>0.0</v>
      </c>
      <c r="D789" s="158"/>
      <c r="E789" s="159">
        <f t="shared" si="1"/>
        <v>0</v>
      </c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</row>
    <row r="790">
      <c r="A790" s="36"/>
      <c r="B790" s="162" t="s">
        <v>16</v>
      </c>
      <c r="C790" s="157">
        <v>0.0</v>
      </c>
      <c r="D790" s="158"/>
      <c r="E790" s="159">
        <f t="shared" si="1"/>
        <v>0</v>
      </c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</row>
    <row r="791">
      <c r="A791" s="36"/>
      <c r="B791" s="162" t="s">
        <v>17</v>
      </c>
      <c r="C791" s="157">
        <v>0.0</v>
      </c>
      <c r="D791" s="158"/>
      <c r="E791" s="159">
        <f t="shared" si="1"/>
        <v>0</v>
      </c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</row>
    <row r="792">
      <c r="A792" s="36"/>
      <c r="B792" s="156" t="s">
        <v>18</v>
      </c>
      <c r="C792" s="157">
        <v>0.0</v>
      </c>
      <c r="D792" s="158"/>
      <c r="E792" s="159">
        <f t="shared" si="1"/>
        <v>0</v>
      </c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</row>
    <row r="793">
      <c r="A793" s="36"/>
      <c r="B793" s="156" t="s">
        <v>19</v>
      </c>
      <c r="C793" s="157">
        <v>0.0</v>
      </c>
      <c r="D793" s="158"/>
      <c r="E793" s="159">
        <f t="shared" si="1"/>
        <v>0</v>
      </c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</row>
    <row r="794">
      <c r="A794" s="36"/>
      <c r="B794" s="156" t="s">
        <v>20</v>
      </c>
      <c r="C794" s="157">
        <v>0.0</v>
      </c>
      <c r="D794" s="158"/>
      <c r="E794" s="159">
        <f t="shared" si="1"/>
        <v>0</v>
      </c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</row>
    <row r="795">
      <c r="A795" s="36"/>
      <c r="B795" s="156" t="s">
        <v>21</v>
      </c>
      <c r="C795" s="157">
        <v>0.0</v>
      </c>
      <c r="D795" s="158"/>
      <c r="E795" s="159">
        <f t="shared" si="1"/>
        <v>0</v>
      </c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</row>
    <row r="796">
      <c r="A796" s="36"/>
      <c r="B796" s="156" t="s">
        <v>23</v>
      </c>
      <c r="C796" s="157">
        <v>0.0</v>
      </c>
      <c r="D796" s="158"/>
      <c r="E796" s="159">
        <f t="shared" si="1"/>
        <v>0</v>
      </c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</row>
    <row r="797">
      <c r="A797" s="36"/>
      <c r="B797" s="156" t="s">
        <v>24</v>
      </c>
      <c r="C797" s="157">
        <v>1.0</v>
      </c>
      <c r="D797" s="158"/>
      <c r="E797" s="159">
        <f t="shared" si="1"/>
        <v>1</v>
      </c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</row>
    <row r="798">
      <c r="A798" s="36"/>
      <c r="B798" s="156" t="s">
        <v>25</v>
      </c>
      <c r="C798" s="163">
        <v>0.0</v>
      </c>
      <c r="D798" s="164"/>
      <c r="E798" s="159">
        <f t="shared" si="1"/>
        <v>0</v>
      </c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</row>
    <row r="799">
      <c r="A799" s="36"/>
      <c r="B799" s="156" t="s">
        <v>26</v>
      </c>
      <c r="C799" s="163">
        <v>1.0</v>
      </c>
      <c r="D799" s="164"/>
      <c r="E799" s="159">
        <f t="shared" si="1"/>
        <v>1</v>
      </c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</row>
    <row r="800">
      <c r="A800" s="36"/>
      <c r="B800" s="156" t="s">
        <v>27</v>
      </c>
      <c r="C800" s="163">
        <v>4.0</v>
      </c>
      <c r="D800" s="164"/>
      <c r="E800" s="159">
        <f t="shared" si="1"/>
        <v>4</v>
      </c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</row>
    <row r="801">
      <c r="A801" s="36"/>
      <c r="B801" s="156" t="s">
        <v>28</v>
      </c>
      <c r="C801" s="163">
        <v>0.0</v>
      </c>
      <c r="D801" s="164"/>
      <c r="E801" s="159">
        <f t="shared" si="1"/>
        <v>0</v>
      </c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</row>
    <row r="802">
      <c r="A802" s="36"/>
      <c r="B802" s="165" t="s">
        <v>29</v>
      </c>
      <c r="C802" s="163">
        <v>0.0</v>
      </c>
      <c r="D802" s="164"/>
      <c r="E802" s="159">
        <f t="shared" si="1"/>
        <v>0</v>
      </c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</row>
    <row r="803">
      <c r="A803" s="36"/>
      <c r="B803" s="166" t="s">
        <v>30</v>
      </c>
      <c r="C803" s="163">
        <v>0.0</v>
      </c>
      <c r="D803" s="164"/>
      <c r="E803" s="159">
        <f t="shared" si="1"/>
        <v>0</v>
      </c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</row>
    <row r="804">
      <c r="A804" s="36"/>
      <c r="B804" s="167" t="s">
        <v>31</v>
      </c>
      <c r="C804" s="163">
        <v>1.0</v>
      </c>
      <c r="D804" s="164"/>
      <c r="E804" s="159">
        <f t="shared" si="1"/>
        <v>1</v>
      </c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</row>
    <row r="805">
      <c r="A805" s="36"/>
      <c r="B805" s="167" t="s">
        <v>32</v>
      </c>
      <c r="C805" s="163">
        <v>0.0</v>
      </c>
      <c r="D805" s="164"/>
      <c r="E805" s="159">
        <f t="shared" si="1"/>
        <v>0</v>
      </c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</row>
    <row r="806">
      <c r="A806" s="36"/>
      <c r="B806" s="167" t="s">
        <v>33</v>
      </c>
      <c r="C806" s="163">
        <v>0.0</v>
      </c>
      <c r="D806" s="164"/>
      <c r="E806" s="159">
        <f t="shared" si="1"/>
        <v>0</v>
      </c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</row>
    <row r="807">
      <c r="A807" s="91"/>
      <c r="B807" s="167" t="s">
        <v>34</v>
      </c>
      <c r="C807" s="163">
        <v>0.0</v>
      </c>
      <c r="D807" s="164"/>
      <c r="E807" s="159">
        <f t="shared" si="1"/>
        <v>0</v>
      </c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</row>
    <row r="808">
      <c r="A808" s="155">
        <v>46194.0</v>
      </c>
      <c r="B808" s="156" t="s">
        <v>4</v>
      </c>
      <c r="C808" s="157">
        <v>1.0</v>
      </c>
      <c r="D808" s="158"/>
      <c r="E808" s="159">
        <f t="shared" si="1"/>
        <v>1</v>
      </c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</row>
    <row r="809">
      <c r="A809" s="36"/>
      <c r="B809" s="156" t="s">
        <v>5</v>
      </c>
      <c r="C809" s="157">
        <v>0.0</v>
      </c>
      <c r="D809" s="158"/>
      <c r="E809" s="159">
        <f t="shared" si="1"/>
        <v>0</v>
      </c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</row>
    <row r="810">
      <c r="A810" s="36"/>
      <c r="B810" s="156" t="s">
        <v>6</v>
      </c>
      <c r="C810" s="157">
        <v>0.0</v>
      </c>
      <c r="D810" s="158"/>
      <c r="E810" s="159">
        <f t="shared" si="1"/>
        <v>0</v>
      </c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</row>
    <row r="811">
      <c r="A811" s="36"/>
      <c r="B811" s="156" t="s">
        <v>22</v>
      </c>
      <c r="C811" s="157">
        <v>0.0</v>
      </c>
      <c r="D811" s="158"/>
      <c r="E811" s="159">
        <f t="shared" si="1"/>
        <v>0</v>
      </c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</row>
    <row r="812">
      <c r="A812" s="36"/>
      <c r="B812" s="156" t="s">
        <v>7</v>
      </c>
      <c r="C812" s="157">
        <v>0.0</v>
      </c>
      <c r="D812" s="158"/>
      <c r="E812" s="159">
        <f t="shared" si="1"/>
        <v>0</v>
      </c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</row>
    <row r="813">
      <c r="A813" s="36"/>
      <c r="B813" s="162" t="s">
        <v>8</v>
      </c>
      <c r="C813" s="157">
        <v>0.0</v>
      </c>
      <c r="D813" s="158"/>
      <c r="E813" s="159">
        <f t="shared" si="1"/>
        <v>0</v>
      </c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</row>
    <row r="814">
      <c r="A814" s="36"/>
      <c r="B814" s="156" t="s">
        <v>9</v>
      </c>
      <c r="C814" s="157">
        <v>0.0</v>
      </c>
      <c r="D814" s="158"/>
      <c r="E814" s="159">
        <f t="shared" si="1"/>
        <v>0</v>
      </c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</row>
    <row r="815">
      <c r="A815" s="36"/>
      <c r="B815" s="156" t="s">
        <v>10</v>
      </c>
      <c r="C815" s="157">
        <v>0.0</v>
      </c>
      <c r="D815" s="158"/>
      <c r="E815" s="159">
        <f t="shared" si="1"/>
        <v>0</v>
      </c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</row>
    <row r="816">
      <c r="A816" s="36"/>
      <c r="B816" s="156" t="s">
        <v>11</v>
      </c>
      <c r="C816" s="157">
        <v>0.0</v>
      </c>
      <c r="D816" s="158"/>
      <c r="E816" s="159">
        <f t="shared" si="1"/>
        <v>0</v>
      </c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</row>
    <row r="817">
      <c r="A817" s="36"/>
      <c r="B817" s="162" t="s">
        <v>12</v>
      </c>
      <c r="C817" s="157">
        <v>3.0</v>
      </c>
      <c r="D817" s="158"/>
      <c r="E817" s="159">
        <f t="shared" si="1"/>
        <v>3</v>
      </c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</row>
    <row r="818">
      <c r="A818" s="36"/>
      <c r="B818" s="162" t="s">
        <v>13</v>
      </c>
      <c r="C818" s="157">
        <v>0.0</v>
      </c>
      <c r="D818" s="158"/>
      <c r="E818" s="159">
        <f t="shared" si="1"/>
        <v>0</v>
      </c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</row>
    <row r="819">
      <c r="A819" s="36"/>
      <c r="B819" s="162" t="s">
        <v>14</v>
      </c>
      <c r="C819" s="157">
        <v>0.0</v>
      </c>
      <c r="D819" s="158"/>
      <c r="E819" s="159">
        <f t="shared" si="1"/>
        <v>0</v>
      </c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</row>
    <row r="820">
      <c r="A820" s="36"/>
      <c r="B820" s="162" t="s">
        <v>15</v>
      </c>
      <c r="C820" s="157">
        <v>0.0</v>
      </c>
      <c r="D820" s="158"/>
      <c r="E820" s="159">
        <f t="shared" si="1"/>
        <v>0</v>
      </c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</row>
    <row r="821">
      <c r="A821" s="36"/>
      <c r="B821" s="162" t="s">
        <v>16</v>
      </c>
      <c r="C821" s="157">
        <v>0.0</v>
      </c>
      <c r="D821" s="158"/>
      <c r="E821" s="159">
        <f t="shared" si="1"/>
        <v>0</v>
      </c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</row>
    <row r="822">
      <c r="A822" s="36"/>
      <c r="B822" s="162" t="s">
        <v>17</v>
      </c>
      <c r="C822" s="157">
        <v>0.0</v>
      </c>
      <c r="D822" s="158"/>
      <c r="E822" s="159">
        <f t="shared" si="1"/>
        <v>0</v>
      </c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</row>
    <row r="823">
      <c r="A823" s="36"/>
      <c r="B823" s="156" t="s">
        <v>18</v>
      </c>
      <c r="C823" s="157">
        <v>0.0</v>
      </c>
      <c r="D823" s="158"/>
      <c r="E823" s="159">
        <f t="shared" si="1"/>
        <v>0</v>
      </c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</row>
    <row r="824">
      <c r="A824" s="36"/>
      <c r="B824" s="156" t="s">
        <v>19</v>
      </c>
      <c r="C824" s="157">
        <v>0.0</v>
      </c>
      <c r="D824" s="158"/>
      <c r="E824" s="159">
        <f t="shared" si="1"/>
        <v>0</v>
      </c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</row>
    <row r="825">
      <c r="A825" s="36"/>
      <c r="B825" s="156" t="s">
        <v>20</v>
      </c>
      <c r="C825" s="157">
        <v>0.0</v>
      </c>
      <c r="D825" s="158"/>
      <c r="E825" s="159">
        <f t="shared" si="1"/>
        <v>0</v>
      </c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</row>
    <row r="826">
      <c r="A826" s="36"/>
      <c r="B826" s="156" t="s">
        <v>21</v>
      </c>
      <c r="C826" s="157">
        <v>0.0</v>
      </c>
      <c r="D826" s="158"/>
      <c r="E826" s="159">
        <f t="shared" si="1"/>
        <v>0</v>
      </c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</row>
    <row r="827">
      <c r="A827" s="36"/>
      <c r="B827" s="156" t="s">
        <v>23</v>
      </c>
      <c r="C827" s="157">
        <v>0.0</v>
      </c>
      <c r="D827" s="158"/>
      <c r="E827" s="159">
        <f t="shared" si="1"/>
        <v>0</v>
      </c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</row>
    <row r="828">
      <c r="A828" s="36"/>
      <c r="B828" s="156" t="s">
        <v>24</v>
      </c>
      <c r="C828" s="157">
        <v>1.0</v>
      </c>
      <c r="D828" s="158"/>
      <c r="E828" s="159">
        <f t="shared" si="1"/>
        <v>1</v>
      </c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</row>
    <row r="829">
      <c r="A829" s="36"/>
      <c r="B829" s="156" t="s">
        <v>25</v>
      </c>
      <c r="C829" s="163">
        <v>0.0</v>
      </c>
      <c r="D829" s="164"/>
      <c r="E829" s="159">
        <f t="shared" si="1"/>
        <v>0</v>
      </c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</row>
    <row r="830">
      <c r="A830" s="36"/>
      <c r="B830" s="156" t="s">
        <v>26</v>
      </c>
      <c r="C830" s="163">
        <v>1.0</v>
      </c>
      <c r="D830" s="164"/>
      <c r="E830" s="159">
        <f t="shared" si="1"/>
        <v>1</v>
      </c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</row>
    <row r="831">
      <c r="A831" s="36"/>
      <c r="B831" s="156" t="s">
        <v>27</v>
      </c>
      <c r="C831" s="163">
        <v>3.0</v>
      </c>
      <c r="D831" s="164"/>
      <c r="E831" s="159">
        <f t="shared" si="1"/>
        <v>3</v>
      </c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</row>
    <row r="832">
      <c r="A832" s="36"/>
      <c r="B832" s="156" t="s">
        <v>28</v>
      </c>
      <c r="C832" s="163">
        <v>0.0</v>
      </c>
      <c r="D832" s="164"/>
      <c r="E832" s="159">
        <f t="shared" si="1"/>
        <v>0</v>
      </c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</row>
    <row r="833">
      <c r="A833" s="36"/>
      <c r="B833" s="165" t="s">
        <v>29</v>
      </c>
      <c r="C833" s="163">
        <v>0.0</v>
      </c>
      <c r="D833" s="164"/>
      <c r="E833" s="159">
        <f t="shared" si="1"/>
        <v>0</v>
      </c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</row>
    <row r="834">
      <c r="A834" s="36"/>
      <c r="B834" s="166" t="s">
        <v>30</v>
      </c>
      <c r="C834" s="163">
        <v>0.0</v>
      </c>
      <c r="D834" s="164"/>
      <c r="E834" s="159">
        <f t="shared" si="1"/>
        <v>0</v>
      </c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</row>
    <row r="835">
      <c r="A835" s="36"/>
      <c r="B835" s="167" t="s">
        <v>31</v>
      </c>
      <c r="C835" s="163">
        <v>0.0</v>
      </c>
      <c r="D835" s="164"/>
      <c r="E835" s="159">
        <f t="shared" si="1"/>
        <v>0</v>
      </c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</row>
    <row r="836">
      <c r="A836" s="36"/>
      <c r="B836" s="167" t="s">
        <v>32</v>
      </c>
      <c r="C836" s="163">
        <v>0.0</v>
      </c>
      <c r="D836" s="164"/>
      <c r="E836" s="159">
        <f t="shared" si="1"/>
        <v>0</v>
      </c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</row>
    <row r="837">
      <c r="A837" s="36"/>
      <c r="B837" s="167" t="s">
        <v>33</v>
      </c>
      <c r="C837" s="163">
        <v>0.0</v>
      </c>
      <c r="D837" s="164"/>
      <c r="E837" s="159">
        <f t="shared" si="1"/>
        <v>0</v>
      </c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</row>
    <row r="838">
      <c r="A838" s="91"/>
      <c r="B838" s="167" t="s">
        <v>34</v>
      </c>
      <c r="C838" s="163">
        <v>0.0</v>
      </c>
      <c r="D838" s="164"/>
      <c r="E838" s="159">
        <f t="shared" si="1"/>
        <v>0</v>
      </c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</row>
    <row r="839">
      <c r="A839" s="155">
        <v>46195.0</v>
      </c>
      <c r="B839" s="156" t="s">
        <v>4</v>
      </c>
      <c r="C839" s="157">
        <v>0.0</v>
      </c>
      <c r="D839" s="158"/>
      <c r="E839" s="159">
        <f t="shared" si="1"/>
        <v>0</v>
      </c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</row>
    <row r="840">
      <c r="A840" s="36"/>
      <c r="B840" s="156" t="s">
        <v>5</v>
      </c>
      <c r="C840" s="157">
        <v>0.0</v>
      </c>
      <c r="D840" s="158"/>
      <c r="E840" s="159">
        <f t="shared" si="1"/>
        <v>0</v>
      </c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</row>
    <row r="841">
      <c r="A841" s="36"/>
      <c r="B841" s="156" t="s">
        <v>6</v>
      </c>
      <c r="C841" s="157">
        <v>0.0</v>
      </c>
      <c r="D841" s="158"/>
      <c r="E841" s="159">
        <f t="shared" si="1"/>
        <v>0</v>
      </c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</row>
    <row r="842">
      <c r="A842" s="36"/>
      <c r="B842" s="156" t="s">
        <v>22</v>
      </c>
      <c r="C842" s="157">
        <v>0.0</v>
      </c>
      <c r="D842" s="158"/>
      <c r="E842" s="159">
        <f t="shared" si="1"/>
        <v>0</v>
      </c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</row>
    <row r="843">
      <c r="A843" s="36"/>
      <c r="B843" s="156" t="s">
        <v>7</v>
      </c>
      <c r="C843" s="157">
        <v>0.0</v>
      </c>
      <c r="D843" s="158"/>
      <c r="E843" s="159">
        <f t="shared" si="1"/>
        <v>0</v>
      </c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</row>
    <row r="844">
      <c r="A844" s="36"/>
      <c r="B844" s="162" t="s">
        <v>8</v>
      </c>
      <c r="C844" s="157">
        <v>0.0</v>
      </c>
      <c r="D844" s="158"/>
      <c r="E844" s="159">
        <f t="shared" si="1"/>
        <v>0</v>
      </c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</row>
    <row r="845">
      <c r="A845" s="36"/>
      <c r="B845" s="156" t="s">
        <v>9</v>
      </c>
      <c r="C845" s="157">
        <v>0.0</v>
      </c>
      <c r="D845" s="158"/>
      <c r="E845" s="159">
        <f t="shared" si="1"/>
        <v>0</v>
      </c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</row>
    <row r="846">
      <c r="A846" s="36"/>
      <c r="B846" s="156" t="s">
        <v>10</v>
      </c>
      <c r="C846" s="157">
        <v>0.0</v>
      </c>
      <c r="D846" s="158"/>
      <c r="E846" s="159">
        <f t="shared" si="1"/>
        <v>0</v>
      </c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</row>
    <row r="847">
      <c r="A847" s="36"/>
      <c r="B847" s="156" t="s">
        <v>11</v>
      </c>
      <c r="C847" s="157">
        <v>0.0</v>
      </c>
      <c r="D847" s="158"/>
      <c r="E847" s="159">
        <f t="shared" si="1"/>
        <v>0</v>
      </c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</row>
    <row r="848">
      <c r="A848" s="36"/>
      <c r="B848" s="162" t="s">
        <v>12</v>
      </c>
      <c r="C848" s="157">
        <v>3.0</v>
      </c>
      <c r="D848" s="158"/>
      <c r="E848" s="159">
        <f t="shared" si="1"/>
        <v>3</v>
      </c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</row>
    <row r="849">
      <c r="A849" s="36"/>
      <c r="B849" s="162" t="s">
        <v>13</v>
      </c>
      <c r="C849" s="157">
        <v>0.0</v>
      </c>
      <c r="D849" s="158"/>
      <c r="E849" s="159">
        <f t="shared" si="1"/>
        <v>0</v>
      </c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</row>
    <row r="850">
      <c r="A850" s="36"/>
      <c r="B850" s="162" t="s">
        <v>14</v>
      </c>
      <c r="C850" s="157">
        <v>0.0</v>
      </c>
      <c r="D850" s="158"/>
      <c r="E850" s="159">
        <f t="shared" si="1"/>
        <v>0</v>
      </c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</row>
    <row r="851">
      <c r="A851" s="36"/>
      <c r="B851" s="162" t="s">
        <v>15</v>
      </c>
      <c r="C851" s="157">
        <v>0.0</v>
      </c>
      <c r="D851" s="158"/>
      <c r="E851" s="159">
        <f t="shared" si="1"/>
        <v>0</v>
      </c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</row>
    <row r="852">
      <c r="A852" s="36"/>
      <c r="B852" s="162" t="s">
        <v>16</v>
      </c>
      <c r="C852" s="157">
        <v>0.0</v>
      </c>
      <c r="D852" s="158"/>
      <c r="E852" s="159">
        <f t="shared" si="1"/>
        <v>0</v>
      </c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</row>
    <row r="853">
      <c r="A853" s="36"/>
      <c r="B853" s="162" t="s">
        <v>17</v>
      </c>
      <c r="C853" s="157">
        <v>0.0</v>
      </c>
      <c r="D853" s="158"/>
      <c r="E853" s="159">
        <f t="shared" si="1"/>
        <v>0</v>
      </c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</row>
    <row r="854">
      <c r="A854" s="36"/>
      <c r="B854" s="156" t="s">
        <v>18</v>
      </c>
      <c r="C854" s="157">
        <v>1.0</v>
      </c>
      <c r="D854" s="158"/>
      <c r="E854" s="159">
        <f t="shared" si="1"/>
        <v>1</v>
      </c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</row>
    <row r="855">
      <c r="A855" s="36"/>
      <c r="B855" s="156" t="s">
        <v>19</v>
      </c>
      <c r="C855" s="157">
        <v>1.0</v>
      </c>
      <c r="D855" s="158"/>
      <c r="E855" s="159">
        <f t="shared" si="1"/>
        <v>1</v>
      </c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</row>
    <row r="856">
      <c r="A856" s="36"/>
      <c r="B856" s="156" t="s">
        <v>20</v>
      </c>
      <c r="C856" s="157">
        <v>0.0</v>
      </c>
      <c r="D856" s="158"/>
      <c r="E856" s="159">
        <f t="shared" si="1"/>
        <v>0</v>
      </c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</row>
    <row r="857">
      <c r="A857" s="36"/>
      <c r="B857" s="156" t="s">
        <v>21</v>
      </c>
      <c r="C857" s="157">
        <v>1.0</v>
      </c>
      <c r="D857" s="158"/>
      <c r="E857" s="159">
        <f t="shared" si="1"/>
        <v>1</v>
      </c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</row>
    <row r="858">
      <c r="A858" s="36"/>
      <c r="B858" s="156" t="s">
        <v>23</v>
      </c>
      <c r="C858" s="157">
        <v>0.0</v>
      </c>
      <c r="D858" s="158"/>
      <c r="E858" s="159">
        <f t="shared" si="1"/>
        <v>0</v>
      </c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</row>
    <row r="859">
      <c r="A859" s="36"/>
      <c r="B859" s="156" t="s">
        <v>24</v>
      </c>
      <c r="C859" s="157">
        <v>1.0</v>
      </c>
      <c r="D859" s="158"/>
      <c r="E859" s="159">
        <f t="shared" si="1"/>
        <v>1</v>
      </c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</row>
    <row r="860">
      <c r="A860" s="36"/>
      <c r="B860" s="156" t="s">
        <v>25</v>
      </c>
      <c r="C860" s="163">
        <v>0.0</v>
      </c>
      <c r="D860" s="164"/>
      <c r="E860" s="159">
        <f t="shared" si="1"/>
        <v>0</v>
      </c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</row>
    <row r="861">
      <c r="A861" s="36"/>
      <c r="B861" s="156" t="s">
        <v>26</v>
      </c>
      <c r="C861" s="163">
        <v>2.0</v>
      </c>
      <c r="D861" s="164"/>
      <c r="E861" s="159">
        <f t="shared" si="1"/>
        <v>2</v>
      </c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</row>
    <row r="862">
      <c r="A862" s="36"/>
      <c r="B862" s="156" t="s">
        <v>27</v>
      </c>
      <c r="C862" s="163">
        <v>4.0</v>
      </c>
      <c r="D862" s="164"/>
      <c r="E862" s="159">
        <f t="shared" si="1"/>
        <v>4</v>
      </c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</row>
    <row r="863">
      <c r="A863" s="36"/>
      <c r="B863" s="156" t="s">
        <v>28</v>
      </c>
      <c r="C863" s="163">
        <v>0.0</v>
      </c>
      <c r="D863" s="164"/>
      <c r="E863" s="159">
        <f t="shared" si="1"/>
        <v>0</v>
      </c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</row>
    <row r="864">
      <c r="A864" s="36"/>
      <c r="B864" s="165" t="s">
        <v>29</v>
      </c>
      <c r="C864" s="163">
        <v>0.0</v>
      </c>
      <c r="D864" s="164"/>
      <c r="E864" s="159">
        <f t="shared" si="1"/>
        <v>0</v>
      </c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</row>
    <row r="865">
      <c r="A865" s="36"/>
      <c r="B865" s="166" t="s">
        <v>30</v>
      </c>
      <c r="C865" s="163">
        <v>0.0</v>
      </c>
      <c r="D865" s="164"/>
      <c r="E865" s="159">
        <f t="shared" si="1"/>
        <v>0</v>
      </c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</row>
    <row r="866">
      <c r="A866" s="36"/>
      <c r="B866" s="167" t="s">
        <v>31</v>
      </c>
      <c r="C866" s="163">
        <v>0.0</v>
      </c>
      <c r="D866" s="164"/>
      <c r="E866" s="159">
        <f t="shared" si="1"/>
        <v>0</v>
      </c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</row>
    <row r="867">
      <c r="A867" s="36"/>
      <c r="B867" s="167" t="s">
        <v>32</v>
      </c>
      <c r="C867" s="163">
        <v>0.0</v>
      </c>
      <c r="D867" s="164"/>
      <c r="E867" s="159">
        <f t="shared" si="1"/>
        <v>0</v>
      </c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</row>
    <row r="868">
      <c r="A868" s="36"/>
      <c r="B868" s="167" t="s">
        <v>33</v>
      </c>
      <c r="C868" s="163">
        <v>0.0</v>
      </c>
      <c r="D868" s="164"/>
      <c r="E868" s="159">
        <f t="shared" si="1"/>
        <v>0</v>
      </c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</row>
    <row r="869">
      <c r="A869" s="91"/>
      <c r="B869" s="167" t="s">
        <v>34</v>
      </c>
      <c r="C869" s="163">
        <v>0.0</v>
      </c>
      <c r="D869" s="164"/>
      <c r="E869" s="159">
        <f t="shared" si="1"/>
        <v>0</v>
      </c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</row>
    <row r="870">
      <c r="A870" s="155">
        <v>46196.0</v>
      </c>
      <c r="B870" s="156" t="s">
        <v>4</v>
      </c>
      <c r="C870" s="157">
        <v>0.0</v>
      </c>
      <c r="D870" s="158"/>
      <c r="E870" s="159">
        <f t="shared" si="1"/>
        <v>0</v>
      </c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</row>
    <row r="871">
      <c r="A871" s="36"/>
      <c r="B871" s="156" t="s">
        <v>5</v>
      </c>
      <c r="C871" s="157">
        <v>0.0</v>
      </c>
      <c r="D871" s="158"/>
      <c r="E871" s="159">
        <f t="shared" si="1"/>
        <v>0</v>
      </c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</row>
    <row r="872">
      <c r="A872" s="36"/>
      <c r="B872" s="156" t="s">
        <v>6</v>
      </c>
      <c r="C872" s="157">
        <v>0.0</v>
      </c>
      <c r="D872" s="158"/>
      <c r="E872" s="159">
        <f t="shared" si="1"/>
        <v>0</v>
      </c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</row>
    <row r="873">
      <c r="A873" s="36"/>
      <c r="B873" s="156" t="s">
        <v>22</v>
      </c>
      <c r="C873" s="157">
        <v>0.0</v>
      </c>
      <c r="D873" s="158"/>
      <c r="E873" s="159">
        <f t="shared" si="1"/>
        <v>0</v>
      </c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</row>
    <row r="874">
      <c r="A874" s="36"/>
      <c r="B874" s="156" t="s">
        <v>7</v>
      </c>
      <c r="C874" s="157">
        <v>0.0</v>
      </c>
      <c r="D874" s="158"/>
      <c r="E874" s="159">
        <f t="shared" si="1"/>
        <v>0</v>
      </c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</row>
    <row r="875">
      <c r="A875" s="36"/>
      <c r="B875" s="162" t="s">
        <v>8</v>
      </c>
      <c r="C875" s="157">
        <v>2.0</v>
      </c>
      <c r="D875" s="158"/>
      <c r="E875" s="159">
        <f t="shared" si="1"/>
        <v>2</v>
      </c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</row>
    <row r="876">
      <c r="A876" s="36"/>
      <c r="B876" s="156" t="s">
        <v>9</v>
      </c>
      <c r="C876" s="157">
        <v>1.0</v>
      </c>
      <c r="D876" s="158"/>
      <c r="E876" s="159">
        <f t="shared" si="1"/>
        <v>1</v>
      </c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</row>
    <row r="877">
      <c r="A877" s="36"/>
      <c r="B877" s="156" t="s">
        <v>10</v>
      </c>
      <c r="C877" s="157">
        <v>2.0</v>
      </c>
      <c r="D877" s="158"/>
      <c r="E877" s="159">
        <f t="shared" si="1"/>
        <v>2</v>
      </c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</row>
    <row r="878">
      <c r="A878" s="36"/>
      <c r="B878" s="156" t="s">
        <v>11</v>
      </c>
      <c r="C878" s="157">
        <v>2.0</v>
      </c>
      <c r="D878" s="158"/>
      <c r="E878" s="159">
        <f t="shared" si="1"/>
        <v>2</v>
      </c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</row>
    <row r="879">
      <c r="A879" s="36"/>
      <c r="B879" s="162" t="s">
        <v>12</v>
      </c>
      <c r="C879" s="157">
        <v>2.0</v>
      </c>
      <c r="D879" s="158"/>
      <c r="E879" s="159">
        <f t="shared" si="1"/>
        <v>2</v>
      </c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</row>
    <row r="880">
      <c r="A880" s="36"/>
      <c r="B880" s="162" t="s">
        <v>13</v>
      </c>
      <c r="C880" s="157">
        <v>0.0</v>
      </c>
      <c r="D880" s="158"/>
      <c r="E880" s="159">
        <f t="shared" si="1"/>
        <v>0</v>
      </c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</row>
    <row r="881">
      <c r="A881" s="36"/>
      <c r="B881" s="162" t="s">
        <v>14</v>
      </c>
      <c r="C881" s="157">
        <v>0.0</v>
      </c>
      <c r="D881" s="158"/>
      <c r="E881" s="159">
        <f t="shared" si="1"/>
        <v>0</v>
      </c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</row>
    <row r="882">
      <c r="A882" s="36"/>
      <c r="B882" s="162" t="s">
        <v>15</v>
      </c>
      <c r="C882" s="157">
        <v>0.0</v>
      </c>
      <c r="D882" s="158"/>
      <c r="E882" s="159">
        <f t="shared" si="1"/>
        <v>0</v>
      </c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</row>
    <row r="883">
      <c r="A883" s="36"/>
      <c r="B883" s="162" t="s">
        <v>16</v>
      </c>
      <c r="C883" s="157">
        <v>0.0</v>
      </c>
      <c r="D883" s="158"/>
      <c r="E883" s="159">
        <f t="shared" si="1"/>
        <v>0</v>
      </c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</row>
    <row r="884">
      <c r="A884" s="36"/>
      <c r="B884" s="162" t="s">
        <v>17</v>
      </c>
      <c r="C884" s="157">
        <v>0.0</v>
      </c>
      <c r="D884" s="158"/>
      <c r="E884" s="159">
        <f t="shared" si="1"/>
        <v>0</v>
      </c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</row>
    <row r="885">
      <c r="A885" s="36"/>
      <c r="B885" s="156" t="s">
        <v>18</v>
      </c>
      <c r="C885" s="157">
        <v>0.0</v>
      </c>
      <c r="D885" s="158"/>
      <c r="E885" s="159">
        <f t="shared" si="1"/>
        <v>0</v>
      </c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</row>
    <row r="886">
      <c r="A886" s="36"/>
      <c r="B886" s="156" t="s">
        <v>19</v>
      </c>
      <c r="C886" s="157">
        <v>0.0</v>
      </c>
      <c r="D886" s="158"/>
      <c r="E886" s="159">
        <f t="shared" si="1"/>
        <v>0</v>
      </c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</row>
    <row r="887">
      <c r="A887" s="36"/>
      <c r="B887" s="156" t="s">
        <v>20</v>
      </c>
      <c r="C887" s="157">
        <v>0.0</v>
      </c>
      <c r="D887" s="158"/>
      <c r="E887" s="159">
        <f t="shared" si="1"/>
        <v>0</v>
      </c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</row>
    <row r="888">
      <c r="A888" s="36"/>
      <c r="B888" s="156" t="s">
        <v>21</v>
      </c>
      <c r="C888" s="157">
        <v>1.0</v>
      </c>
      <c r="D888" s="158"/>
      <c r="E888" s="159">
        <f t="shared" si="1"/>
        <v>1</v>
      </c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</row>
    <row r="889">
      <c r="A889" s="36"/>
      <c r="B889" s="156" t="s">
        <v>23</v>
      </c>
      <c r="C889" s="157">
        <v>0.0</v>
      </c>
      <c r="D889" s="158"/>
      <c r="E889" s="159">
        <f t="shared" si="1"/>
        <v>0</v>
      </c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</row>
    <row r="890">
      <c r="A890" s="36"/>
      <c r="B890" s="156" t="s">
        <v>24</v>
      </c>
      <c r="C890" s="157">
        <v>2.0</v>
      </c>
      <c r="D890" s="158"/>
      <c r="E890" s="159">
        <f t="shared" si="1"/>
        <v>2</v>
      </c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</row>
    <row r="891">
      <c r="A891" s="36"/>
      <c r="B891" s="156" t="s">
        <v>25</v>
      </c>
      <c r="C891" s="163">
        <v>0.0</v>
      </c>
      <c r="D891" s="164"/>
      <c r="E891" s="159">
        <f t="shared" si="1"/>
        <v>0</v>
      </c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</row>
    <row r="892">
      <c r="A892" s="36"/>
      <c r="B892" s="156" t="s">
        <v>26</v>
      </c>
      <c r="C892" s="163">
        <v>3.0</v>
      </c>
      <c r="D892" s="164"/>
      <c r="E892" s="159">
        <f t="shared" si="1"/>
        <v>3</v>
      </c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</row>
    <row r="893">
      <c r="A893" s="36"/>
      <c r="B893" s="156" t="s">
        <v>27</v>
      </c>
      <c r="C893" s="163">
        <v>6.0</v>
      </c>
      <c r="D893" s="164"/>
      <c r="E893" s="159">
        <f t="shared" si="1"/>
        <v>6</v>
      </c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</row>
    <row r="894">
      <c r="A894" s="36"/>
      <c r="B894" s="156" t="s">
        <v>28</v>
      </c>
      <c r="C894" s="163">
        <v>0.0</v>
      </c>
      <c r="D894" s="164"/>
      <c r="E894" s="159">
        <f t="shared" si="1"/>
        <v>0</v>
      </c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</row>
    <row r="895">
      <c r="A895" s="36"/>
      <c r="B895" s="165" t="s">
        <v>29</v>
      </c>
      <c r="C895" s="163">
        <v>0.0</v>
      </c>
      <c r="D895" s="164"/>
      <c r="E895" s="159">
        <f t="shared" si="1"/>
        <v>0</v>
      </c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</row>
    <row r="896">
      <c r="A896" s="36"/>
      <c r="B896" s="166" t="s">
        <v>30</v>
      </c>
      <c r="C896" s="163">
        <v>2.0</v>
      </c>
      <c r="D896" s="164"/>
      <c r="E896" s="159">
        <f t="shared" si="1"/>
        <v>2</v>
      </c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</row>
    <row r="897">
      <c r="A897" s="36"/>
      <c r="B897" s="167" t="s">
        <v>31</v>
      </c>
      <c r="C897" s="163">
        <v>0.0</v>
      </c>
      <c r="D897" s="164"/>
      <c r="E897" s="159">
        <f t="shared" si="1"/>
        <v>0</v>
      </c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</row>
    <row r="898">
      <c r="A898" s="36"/>
      <c r="B898" s="167" t="s">
        <v>32</v>
      </c>
      <c r="C898" s="163">
        <v>0.0</v>
      </c>
      <c r="D898" s="164"/>
      <c r="E898" s="159">
        <f t="shared" si="1"/>
        <v>0</v>
      </c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</row>
    <row r="899">
      <c r="A899" s="36"/>
      <c r="B899" s="167" t="s">
        <v>33</v>
      </c>
      <c r="C899" s="163">
        <v>0.0</v>
      </c>
      <c r="D899" s="164"/>
      <c r="E899" s="159">
        <f t="shared" si="1"/>
        <v>0</v>
      </c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</row>
    <row r="900">
      <c r="A900" s="91"/>
      <c r="B900" s="167" t="s">
        <v>34</v>
      </c>
      <c r="C900" s="163">
        <v>0.0</v>
      </c>
      <c r="D900" s="164"/>
      <c r="E900" s="159">
        <f t="shared" si="1"/>
        <v>0</v>
      </c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</row>
    <row r="901">
      <c r="A901" s="155">
        <v>46197.0</v>
      </c>
      <c r="B901" s="156" t="s">
        <v>4</v>
      </c>
      <c r="C901" s="157">
        <v>2.0</v>
      </c>
      <c r="D901" s="158"/>
      <c r="E901" s="159">
        <f t="shared" si="1"/>
        <v>2</v>
      </c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</row>
    <row r="902">
      <c r="A902" s="36"/>
      <c r="B902" s="156" t="s">
        <v>5</v>
      </c>
      <c r="C902" s="157">
        <v>0.0</v>
      </c>
      <c r="D902" s="158"/>
      <c r="E902" s="159">
        <f t="shared" si="1"/>
        <v>0</v>
      </c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</row>
    <row r="903">
      <c r="A903" s="36"/>
      <c r="B903" s="156" t="s">
        <v>6</v>
      </c>
      <c r="C903" s="157">
        <v>0.0</v>
      </c>
      <c r="D903" s="158"/>
      <c r="E903" s="159">
        <f t="shared" si="1"/>
        <v>0</v>
      </c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</row>
    <row r="904">
      <c r="A904" s="36"/>
      <c r="B904" s="156" t="s">
        <v>22</v>
      </c>
      <c r="C904" s="157">
        <v>0.0</v>
      </c>
      <c r="D904" s="158"/>
      <c r="E904" s="159">
        <f t="shared" si="1"/>
        <v>0</v>
      </c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</row>
    <row r="905">
      <c r="A905" s="36"/>
      <c r="B905" s="156" t="s">
        <v>7</v>
      </c>
      <c r="C905" s="157">
        <v>0.0</v>
      </c>
      <c r="D905" s="158"/>
      <c r="E905" s="159">
        <f t="shared" si="1"/>
        <v>0</v>
      </c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</row>
    <row r="906">
      <c r="A906" s="36"/>
      <c r="B906" s="162" t="s">
        <v>8</v>
      </c>
      <c r="C906" s="157">
        <v>1.0</v>
      </c>
      <c r="D906" s="158"/>
      <c r="E906" s="159">
        <f t="shared" si="1"/>
        <v>1</v>
      </c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</row>
    <row r="907">
      <c r="A907" s="36"/>
      <c r="B907" s="156" t="s">
        <v>9</v>
      </c>
      <c r="C907" s="157">
        <v>0.0</v>
      </c>
      <c r="D907" s="158"/>
      <c r="E907" s="159">
        <f t="shared" si="1"/>
        <v>0</v>
      </c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</row>
    <row r="908">
      <c r="A908" s="36"/>
      <c r="B908" s="156" t="s">
        <v>10</v>
      </c>
      <c r="C908" s="157">
        <v>1.0</v>
      </c>
      <c r="D908" s="158"/>
      <c r="E908" s="159">
        <f t="shared" si="1"/>
        <v>1</v>
      </c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</row>
    <row r="909">
      <c r="A909" s="36"/>
      <c r="B909" s="156" t="s">
        <v>11</v>
      </c>
      <c r="C909" s="157">
        <v>1.0</v>
      </c>
      <c r="D909" s="158"/>
      <c r="E909" s="159">
        <f t="shared" si="1"/>
        <v>1</v>
      </c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</row>
    <row r="910">
      <c r="A910" s="36"/>
      <c r="B910" s="162" t="s">
        <v>12</v>
      </c>
      <c r="C910" s="157">
        <v>0.0</v>
      </c>
      <c r="D910" s="158"/>
      <c r="E910" s="159">
        <f t="shared" si="1"/>
        <v>0</v>
      </c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</row>
    <row r="911">
      <c r="A911" s="36"/>
      <c r="B911" s="162" t="s">
        <v>13</v>
      </c>
      <c r="C911" s="157">
        <v>0.0</v>
      </c>
      <c r="D911" s="158"/>
      <c r="E911" s="159">
        <f t="shared" si="1"/>
        <v>0</v>
      </c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</row>
    <row r="912">
      <c r="A912" s="36"/>
      <c r="B912" s="162" t="s">
        <v>14</v>
      </c>
      <c r="C912" s="157">
        <v>0.0</v>
      </c>
      <c r="D912" s="158"/>
      <c r="E912" s="159">
        <f t="shared" si="1"/>
        <v>0</v>
      </c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</row>
    <row r="913">
      <c r="A913" s="36"/>
      <c r="B913" s="162" t="s">
        <v>15</v>
      </c>
      <c r="C913" s="157">
        <v>0.0</v>
      </c>
      <c r="D913" s="158"/>
      <c r="E913" s="159">
        <f t="shared" si="1"/>
        <v>0</v>
      </c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</row>
    <row r="914">
      <c r="A914" s="36"/>
      <c r="B914" s="162" t="s">
        <v>16</v>
      </c>
      <c r="C914" s="157">
        <v>0.0</v>
      </c>
      <c r="D914" s="158"/>
      <c r="E914" s="159">
        <f t="shared" si="1"/>
        <v>0</v>
      </c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</row>
    <row r="915">
      <c r="A915" s="36"/>
      <c r="B915" s="162" t="s">
        <v>17</v>
      </c>
      <c r="C915" s="157">
        <v>0.0</v>
      </c>
      <c r="D915" s="158"/>
      <c r="E915" s="159">
        <f t="shared" si="1"/>
        <v>0</v>
      </c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</row>
    <row r="916">
      <c r="A916" s="36"/>
      <c r="B916" s="156" t="s">
        <v>18</v>
      </c>
      <c r="C916" s="157">
        <v>3.0</v>
      </c>
      <c r="D916" s="158"/>
      <c r="E916" s="159">
        <f t="shared" si="1"/>
        <v>3</v>
      </c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</row>
    <row r="917">
      <c r="A917" s="36"/>
      <c r="B917" s="156" t="s">
        <v>19</v>
      </c>
      <c r="C917" s="157">
        <v>0.0</v>
      </c>
      <c r="D917" s="158"/>
      <c r="E917" s="159">
        <f t="shared" si="1"/>
        <v>0</v>
      </c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</row>
    <row r="918">
      <c r="A918" s="36"/>
      <c r="B918" s="156" t="s">
        <v>20</v>
      </c>
      <c r="C918" s="157">
        <v>0.0</v>
      </c>
      <c r="D918" s="158"/>
      <c r="E918" s="159">
        <f t="shared" si="1"/>
        <v>0</v>
      </c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</row>
    <row r="919">
      <c r="A919" s="36"/>
      <c r="B919" s="156" t="s">
        <v>21</v>
      </c>
      <c r="C919" s="157">
        <v>0.0</v>
      </c>
      <c r="D919" s="158"/>
      <c r="E919" s="159">
        <f t="shared" si="1"/>
        <v>0</v>
      </c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</row>
    <row r="920">
      <c r="A920" s="36"/>
      <c r="B920" s="156" t="s">
        <v>23</v>
      </c>
      <c r="C920" s="157">
        <v>0.0</v>
      </c>
      <c r="D920" s="158"/>
      <c r="E920" s="159">
        <f t="shared" si="1"/>
        <v>0</v>
      </c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</row>
    <row r="921">
      <c r="A921" s="36"/>
      <c r="B921" s="156" t="s">
        <v>24</v>
      </c>
      <c r="C921" s="157">
        <v>0.0</v>
      </c>
      <c r="D921" s="158"/>
      <c r="E921" s="159">
        <f t="shared" si="1"/>
        <v>0</v>
      </c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</row>
    <row r="922">
      <c r="A922" s="36"/>
      <c r="B922" s="156" t="s">
        <v>25</v>
      </c>
      <c r="C922" s="163">
        <v>0.0</v>
      </c>
      <c r="D922" s="164"/>
      <c r="E922" s="159">
        <f t="shared" si="1"/>
        <v>0</v>
      </c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</row>
    <row r="923">
      <c r="A923" s="36"/>
      <c r="B923" s="156" t="s">
        <v>26</v>
      </c>
      <c r="C923" s="163">
        <v>3.0</v>
      </c>
      <c r="D923" s="164"/>
      <c r="E923" s="159">
        <f t="shared" si="1"/>
        <v>3</v>
      </c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</row>
    <row r="924">
      <c r="A924" s="36"/>
      <c r="B924" s="156" t="s">
        <v>27</v>
      </c>
      <c r="C924" s="163">
        <v>5.0</v>
      </c>
      <c r="D924" s="164"/>
      <c r="E924" s="159">
        <f t="shared" si="1"/>
        <v>5</v>
      </c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</row>
    <row r="925">
      <c r="A925" s="36"/>
      <c r="B925" s="156" t="s">
        <v>28</v>
      </c>
      <c r="C925" s="163">
        <v>0.0</v>
      </c>
      <c r="D925" s="164"/>
      <c r="E925" s="159">
        <f t="shared" si="1"/>
        <v>0</v>
      </c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</row>
    <row r="926">
      <c r="A926" s="36"/>
      <c r="B926" s="165" t="s">
        <v>29</v>
      </c>
      <c r="C926" s="163">
        <v>0.0</v>
      </c>
      <c r="D926" s="164"/>
      <c r="E926" s="159">
        <f t="shared" si="1"/>
        <v>0</v>
      </c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</row>
    <row r="927">
      <c r="A927" s="36"/>
      <c r="B927" s="166" t="s">
        <v>30</v>
      </c>
      <c r="C927" s="163">
        <v>0.0</v>
      </c>
      <c r="D927" s="164"/>
      <c r="E927" s="159">
        <f t="shared" si="1"/>
        <v>0</v>
      </c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</row>
    <row r="928">
      <c r="A928" s="36"/>
      <c r="B928" s="167" t="s">
        <v>31</v>
      </c>
      <c r="C928" s="163">
        <v>0.0</v>
      </c>
      <c r="D928" s="164"/>
      <c r="E928" s="159">
        <f t="shared" si="1"/>
        <v>0</v>
      </c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</row>
    <row r="929">
      <c r="A929" s="36"/>
      <c r="B929" s="167" t="s">
        <v>32</v>
      </c>
      <c r="C929" s="163">
        <v>0.0</v>
      </c>
      <c r="D929" s="164"/>
      <c r="E929" s="159">
        <f t="shared" si="1"/>
        <v>0</v>
      </c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</row>
    <row r="930">
      <c r="A930" s="36"/>
      <c r="B930" s="167" t="s">
        <v>33</v>
      </c>
      <c r="C930" s="163">
        <v>0.0</v>
      </c>
      <c r="D930" s="164"/>
      <c r="E930" s="159">
        <f t="shared" si="1"/>
        <v>0</v>
      </c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</row>
    <row r="931">
      <c r="A931" s="91"/>
      <c r="B931" s="167" t="s">
        <v>34</v>
      </c>
      <c r="C931" s="163">
        <v>0.0</v>
      </c>
      <c r="D931" s="164"/>
      <c r="E931" s="159">
        <f t="shared" si="1"/>
        <v>0</v>
      </c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</row>
    <row r="932">
      <c r="A932" s="155">
        <v>46198.0</v>
      </c>
      <c r="B932" s="156" t="s">
        <v>4</v>
      </c>
      <c r="C932" s="157">
        <v>0.0</v>
      </c>
      <c r="D932" s="158"/>
      <c r="E932" s="159">
        <f t="shared" si="1"/>
        <v>0</v>
      </c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</row>
    <row r="933">
      <c r="A933" s="36"/>
      <c r="B933" s="156" t="s">
        <v>5</v>
      </c>
      <c r="C933" s="157">
        <v>0.0</v>
      </c>
      <c r="D933" s="158"/>
      <c r="E933" s="159">
        <f t="shared" si="1"/>
        <v>0</v>
      </c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</row>
    <row r="934">
      <c r="A934" s="36"/>
      <c r="B934" s="156" t="s">
        <v>6</v>
      </c>
      <c r="C934" s="157">
        <v>0.0</v>
      </c>
      <c r="D934" s="158"/>
      <c r="E934" s="159">
        <f t="shared" si="1"/>
        <v>0</v>
      </c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</row>
    <row r="935">
      <c r="A935" s="36"/>
      <c r="B935" s="156" t="s">
        <v>22</v>
      </c>
      <c r="C935" s="157">
        <v>0.0</v>
      </c>
      <c r="D935" s="158"/>
      <c r="E935" s="159">
        <f t="shared" si="1"/>
        <v>0</v>
      </c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</row>
    <row r="936">
      <c r="A936" s="36"/>
      <c r="B936" s="156" t="s">
        <v>7</v>
      </c>
      <c r="C936" s="157">
        <v>0.0</v>
      </c>
      <c r="D936" s="158"/>
      <c r="E936" s="159">
        <f t="shared" si="1"/>
        <v>0</v>
      </c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</row>
    <row r="937">
      <c r="A937" s="36"/>
      <c r="B937" s="162" t="s">
        <v>8</v>
      </c>
      <c r="C937" s="157">
        <v>2.0</v>
      </c>
      <c r="D937" s="158"/>
      <c r="E937" s="159">
        <f t="shared" si="1"/>
        <v>2</v>
      </c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</row>
    <row r="938">
      <c r="A938" s="36"/>
      <c r="B938" s="156" t="s">
        <v>9</v>
      </c>
      <c r="C938" s="157">
        <v>0.0</v>
      </c>
      <c r="D938" s="158"/>
      <c r="E938" s="159">
        <f t="shared" si="1"/>
        <v>0</v>
      </c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</row>
    <row r="939">
      <c r="A939" s="36"/>
      <c r="B939" s="156" t="s">
        <v>10</v>
      </c>
      <c r="C939" s="157">
        <v>0.0</v>
      </c>
      <c r="D939" s="158"/>
      <c r="E939" s="159">
        <f t="shared" si="1"/>
        <v>0</v>
      </c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</row>
    <row r="940">
      <c r="A940" s="36"/>
      <c r="B940" s="156" t="s">
        <v>11</v>
      </c>
      <c r="C940" s="157">
        <v>0.0</v>
      </c>
      <c r="D940" s="158"/>
      <c r="E940" s="159">
        <f t="shared" si="1"/>
        <v>0</v>
      </c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</row>
    <row r="941">
      <c r="A941" s="36"/>
      <c r="B941" s="162" t="s">
        <v>12</v>
      </c>
      <c r="C941" s="157">
        <v>2.0</v>
      </c>
      <c r="D941" s="158"/>
      <c r="E941" s="159">
        <f t="shared" si="1"/>
        <v>2</v>
      </c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</row>
    <row r="942">
      <c r="A942" s="36"/>
      <c r="B942" s="162" t="s">
        <v>13</v>
      </c>
      <c r="C942" s="157">
        <v>0.0</v>
      </c>
      <c r="D942" s="158"/>
      <c r="E942" s="159">
        <f t="shared" si="1"/>
        <v>0</v>
      </c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</row>
    <row r="943">
      <c r="A943" s="36"/>
      <c r="B943" s="162" t="s">
        <v>14</v>
      </c>
      <c r="C943" s="157">
        <v>0.0</v>
      </c>
      <c r="D943" s="158"/>
      <c r="E943" s="159">
        <f t="shared" si="1"/>
        <v>0</v>
      </c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</row>
    <row r="944">
      <c r="A944" s="36"/>
      <c r="B944" s="162" t="s">
        <v>15</v>
      </c>
      <c r="C944" s="157">
        <v>0.0</v>
      </c>
      <c r="D944" s="158"/>
      <c r="E944" s="159">
        <f t="shared" si="1"/>
        <v>0</v>
      </c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</row>
    <row r="945">
      <c r="A945" s="36"/>
      <c r="B945" s="162" t="s">
        <v>16</v>
      </c>
      <c r="C945" s="157">
        <v>0.0</v>
      </c>
      <c r="D945" s="158"/>
      <c r="E945" s="159">
        <f t="shared" si="1"/>
        <v>0</v>
      </c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</row>
    <row r="946">
      <c r="A946" s="36"/>
      <c r="B946" s="162" t="s">
        <v>17</v>
      </c>
      <c r="C946" s="157">
        <v>0.0</v>
      </c>
      <c r="D946" s="158"/>
      <c r="E946" s="159">
        <f t="shared" si="1"/>
        <v>0</v>
      </c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</row>
    <row r="947">
      <c r="A947" s="36"/>
      <c r="B947" s="156" t="s">
        <v>18</v>
      </c>
      <c r="C947" s="157">
        <v>0.0</v>
      </c>
      <c r="D947" s="158"/>
      <c r="E947" s="159">
        <f t="shared" si="1"/>
        <v>0</v>
      </c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</row>
    <row r="948">
      <c r="A948" s="36"/>
      <c r="B948" s="156" t="s">
        <v>19</v>
      </c>
      <c r="C948" s="157">
        <v>0.0</v>
      </c>
      <c r="D948" s="158"/>
      <c r="E948" s="159">
        <f t="shared" si="1"/>
        <v>0</v>
      </c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</row>
    <row r="949">
      <c r="A949" s="36"/>
      <c r="B949" s="156" t="s">
        <v>20</v>
      </c>
      <c r="C949" s="157">
        <v>0.0</v>
      </c>
      <c r="D949" s="158"/>
      <c r="E949" s="159">
        <f t="shared" si="1"/>
        <v>0</v>
      </c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</row>
    <row r="950">
      <c r="A950" s="36"/>
      <c r="B950" s="156" t="s">
        <v>21</v>
      </c>
      <c r="C950" s="157">
        <v>0.0</v>
      </c>
      <c r="D950" s="158"/>
      <c r="E950" s="159">
        <f t="shared" si="1"/>
        <v>0</v>
      </c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</row>
    <row r="951">
      <c r="A951" s="36"/>
      <c r="B951" s="156" t="s">
        <v>23</v>
      </c>
      <c r="C951" s="157">
        <v>0.0</v>
      </c>
      <c r="D951" s="158"/>
      <c r="E951" s="159">
        <f t="shared" si="1"/>
        <v>0</v>
      </c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</row>
    <row r="952">
      <c r="A952" s="36"/>
      <c r="B952" s="156" t="s">
        <v>24</v>
      </c>
      <c r="C952" s="163">
        <v>2.0</v>
      </c>
      <c r="D952" s="164"/>
      <c r="E952" s="159">
        <f t="shared" si="1"/>
        <v>2</v>
      </c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</row>
    <row r="953">
      <c r="A953" s="36"/>
      <c r="B953" s="156" t="s">
        <v>25</v>
      </c>
      <c r="C953" s="163">
        <v>2.0</v>
      </c>
      <c r="D953" s="164"/>
      <c r="E953" s="159">
        <f t="shared" si="1"/>
        <v>2</v>
      </c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</row>
    <row r="954">
      <c r="A954" s="36"/>
      <c r="B954" s="156" t="s">
        <v>26</v>
      </c>
      <c r="C954" s="163">
        <v>2.0</v>
      </c>
      <c r="D954" s="164"/>
      <c r="E954" s="159">
        <f t="shared" si="1"/>
        <v>2</v>
      </c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</row>
    <row r="955">
      <c r="A955" s="36"/>
      <c r="B955" s="156" t="s">
        <v>27</v>
      </c>
      <c r="C955" s="163">
        <v>2.0</v>
      </c>
      <c r="D955" s="164"/>
      <c r="E955" s="159">
        <f t="shared" si="1"/>
        <v>2</v>
      </c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</row>
    <row r="956">
      <c r="A956" s="36"/>
      <c r="B956" s="156" t="s">
        <v>28</v>
      </c>
      <c r="C956" s="163">
        <v>0.0</v>
      </c>
      <c r="D956" s="164"/>
      <c r="E956" s="159">
        <f t="shared" si="1"/>
        <v>0</v>
      </c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</row>
    <row r="957">
      <c r="A957" s="36"/>
      <c r="B957" s="165" t="s">
        <v>29</v>
      </c>
      <c r="C957" s="163">
        <v>0.0</v>
      </c>
      <c r="D957" s="164"/>
      <c r="E957" s="159">
        <f t="shared" si="1"/>
        <v>0</v>
      </c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</row>
    <row r="958">
      <c r="A958" s="36"/>
      <c r="B958" s="166" t="s">
        <v>30</v>
      </c>
      <c r="C958" s="163">
        <v>0.0</v>
      </c>
      <c r="D958" s="164"/>
      <c r="E958" s="159">
        <f t="shared" si="1"/>
        <v>0</v>
      </c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</row>
    <row r="959">
      <c r="A959" s="36"/>
      <c r="B959" s="167" t="s">
        <v>31</v>
      </c>
      <c r="C959" s="163">
        <v>0.0</v>
      </c>
      <c r="D959" s="164"/>
      <c r="E959" s="159">
        <f t="shared" si="1"/>
        <v>0</v>
      </c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</row>
    <row r="960">
      <c r="A960" s="36"/>
      <c r="B960" s="167" t="s">
        <v>32</v>
      </c>
      <c r="C960" s="163">
        <v>0.0</v>
      </c>
      <c r="D960" s="164"/>
      <c r="E960" s="159">
        <f t="shared" si="1"/>
        <v>0</v>
      </c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</row>
    <row r="961">
      <c r="A961" s="36"/>
      <c r="B961" s="167" t="s">
        <v>33</v>
      </c>
      <c r="C961" s="163">
        <v>0.0</v>
      </c>
      <c r="D961" s="164"/>
      <c r="E961" s="159">
        <f t="shared" si="1"/>
        <v>0</v>
      </c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</row>
    <row r="962">
      <c r="A962" s="91"/>
      <c r="B962" s="167" t="s">
        <v>34</v>
      </c>
      <c r="C962" s="163">
        <v>0.0</v>
      </c>
      <c r="D962" s="164"/>
      <c r="E962" s="159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</row>
  </sheetData>
  <mergeCells count="31">
    <mergeCell ref="A2:A32"/>
    <mergeCell ref="A33:A63"/>
    <mergeCell ref="A64:A94"/>
    <mergeCell ref="A95:A125"/>
    <mergeCell ref="A126:A156"/>
    <mergeCell ref="A157:A187"/>
    <mergeCell ref="A188:A218"/>
    <mergeCell ref="A219:A249"/>
    <mergeCell ref="A250:A280"/>
    <mergeCell ref="A281:A311"/>
    <mergeCell ref="A312:A342"/>
    <mergeCell ref="A343:A373"/>
    <mergeCell ref="A374:A404"/>
    <mergeCell ref="A405:A435"/>
    <mergeCell ref="A436:A466"/>
    <mergeCell ref="A467:A497"/>
    <mergeCell ref="A498:A528"/>
    <mergeCell ref="A529:A559"/>
    <mergeCell ref="A560:A590"/>
    <mergeCell ref="A591:A621"/>
    <mergeCell ref="A622:A652"/>
    <mergeCell ref="A870:A900"/>
    <mergeCell ref="A901:A931"/>
    <mergeCell ref="A932:A962"/>
    <mergeCell ref="A653:A683"/>
    <mergeCell ref="A684:A714"/>
    <mergeCell ref="A715:A745"/>
    <mergeCell ref="A746:A776"/>
    <mergeCell ref="A777:A807"/>
    <mergeCell ref="A808:A838"/>
    <mergeCell ref="A839:A869"/>
  </mergeCell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5" max="5" width="28.63"/>
    <col customWidth="1" min="6" max="6" width="19.0"/>
  </cols>
  <sheetData>
    <row r="1">
      <c r="A1" s="181" t="s">
        <v>36</v>
      </c>
      <c r="B1" s="182" t="s">
        <v>37</v>
      </c>
      <c r="C1" s="183" t="s">
        <v>38</v>
      </c>
      <c r="D1" s="183" t="s">
        <v>40</v>
      </c>
    </row>
    <row r="2">
      <c r="A2" s="186">
        <v>46168.0</v>
      </c>
      <c r="B2" s="187" t="s">
        <v>4</v>
      </c>
      <c r="C2" s="188"/>
      <c r="D2" s="189">
        <f t="shared" ref="D2:D961" si="1">sum(C2)</f>
        <v>0</v>
      </c>
    </row>
    <row r="3">
      <c r="A3" s="36"/>
      <c r="B3" s="187" t="s">
        <v>5</v>
      </c>
      <c r="C3" s="188"/>
      <c r="D3" s="189">
        <f t="shared" si="1"/>
        <v>0</v>
      </c>
    </row>
    <row r="4">
      <c r="A4" s="36"/>
      <c r="B4" s="187" t="s">
        <v>6</v>
      </c>
      <c r="C4" s="188"/>
      <c r="D4" s="189">
        <f t="shared" si="1"/>
        <v>0</v>
      </c>
    </row>
    <row r="5">
      <c r="A5" s="36"/>
      <c r="B5" s="187" t="s">
        <v>22</v>
      </c>
      <c r="C5" s="188"/>
      <c r="D5" s="189">
        <f t="shared" si="1"/>
        <v>0</v>
      </c>
    </row>
    <row r="6">
      <c r="A6" s="36"/>
      <c r="B6" s="187" t="s">
        <v>7</v>
      </c>
      <c r="C6" s="188"/>
      <c r="D6" s="189">
        <f t="shared" si="1"/>
        <v>0</v>
      </c>
    </row>
    <row r="7">
      <c r="A7" s="36"/>
      <c r="B7" s="192" t="s">
        <v>8</v>
      </c>
      <c r="C7" s="188"/>
      <c r="D7" s="189">
        <f t="shared" si="1"/>
        <v>0</v>
      </c>
    </row>
    <row r="8">
      <c r="A8" s="36"/>
      <c r="B8" s="187" t="s">
        <v>9</v>
      </c>
      <c r="C8" s="188"/>
      <c r="D8" s="189">
        <f t="shared" si="1"/>
        <v>0</v>
      </c>
    </row>
    <row r="9">
      <c r="A9" s="36"/>
      <c r="B9" s="187" t="s">
        <v>10</v>
      </c>
      <c r="C9" s="188"/>
      <c r="D9" s="189">
        <f t="shared" si="1"/>
        <v>0</v>
      </c>
    </row>
    <row r="10">
      <c r="A10" s="36"/>
      <c r="B10" s="187" t="s">
        <v>11</v>
      </c>
      <c r="C10" s="188"/>
      <c r="D10" s="189">
        <f t="shared" si="1"/>
        <v>0</v>
      </c>
    </row>
    <row r="11">
      <c r="A11" s="36"/>
      <c r="B11" s="192" t="s">
        <v>12</v>
      </c>
      <c r="C11" s="188"/>
      <c r="D11" s="189">
        <f t="shared" si="1"/>
        <v>0</v>
      </c>
    </row>
    <row r="12">
      <c r="A12" s="36"/>
      <c r="B12" s="192" t="s">
        <v>13</v>
      </c>
      <c r="C12" s="188"/>
      <c r="D12" s="189">
        <f t="shared" si="1"/>
        <v>0</v>
      </c>
    </row>
    <row r="13">
      <c r="A13" s="36"/>
      <c r="B13" s="192" t="s">
        <v>14</v>
      </c>
      <c r="C13" s="188"/>
      <c r="D13" s="189">
        <f t="shared" si="1"/>
        <v>0</v>
      </c>
    </row>
    <row r="14">
      <c r="A14" s="36"/>
      <c r="B14" s="192" t="s">
        <v>15</v>
      </c>
      <c r="C14" s="188"/>
      <c r="D14" s="189">
        <f t="shared" si="1"/>
        <v>0</v>
      </c>
    </row>
    <row r="15">
      <c r="A15" s="36"/>
      <c r="B15" s="192" t="s">
        <v>16</v>
      </c>
      <c r="C15" s="188"/>
      <c r="D15" s="189">
        <f t="shared" si="1"/>
        <v>0</v>
      </c>
    </row>
    <row r="16">
      <c r="A16" s="36"/>
      <c r="B16" s="192" t="s">
        <v>17</v>
      </c>
      <c r="C16" s="188"/>
      <c r="D16" s="189">
        <f t="shared" si="1"/>
        <v>0</v>
      </c>
    </row>
    <row r="17">
      <c r="A17" s="36"/>
      <c r="B17" s="187" t="s">
        <v>18</v>
      </c>
      <c r="C17" s="188"/>
      <c r="D17" s="189">
        <f t="shared" si="1"/>
        <v>0</v>
      </c>
    </row>
    <row r="18">
      <c r="A18" s="36"/>
      <c r="B18" s="187" t="s">
        <v>19</v>
      </c>
      <c r="C18" s="188"/>
      <c r="D18" s="189">
        <f t="shared" si="1"/>
        <v>0</v>
      </c>
    </row>
    <row r="19">
      <c r="A19" s="36"/>
      <c r="B19" s="187" t="s">
        <v>20</v>
      </c>
      <c r="C19" s="193"/>
      <c r="D19" s="189">
        <f t="shared" si="1"/>
        <v>0</v>
      </c>
    </row>
    <row r="20">
      <c r="A20" s="36"/>
      <c r="B20" s="187" t="s">
        <v>21</v>
      </c>
      <c r="C20" s="193"/>
      <c r="D20" s="189">
        <f t="shared" si="1"/>
        <v>0</v>
      </c>
    </row>
    <row r="21">
      <c r="A21" s="36"/>
      <c r="B21" s="187" t="s">
        <v>23</v>
      </c>
      <c r="C21" s="193"/>
      <c r="D21" s="189">
        <f t="shared" si="1"/>
        <v>0</v>
      </c>
    </row>
    <row r="22">
      <c r="A22" s="36"/>
      <c r="B22" s="187" t="s">
        <v>24</v>
      </c>
      <c r="C22" s="193"/>
      <c r="D22" s="189">
        <f t="shared" si="1"/>
        <v>0</v>
      </c>
    </row>
    <row r="23">
      <c r="A23" s="36"/>
      <c r="B23" s="187" t="s">
        <v>25</v>
      </c>
      <c r="C23" s="193"/>
      <c r="D23" s="189">
        <f t="shared" si="1"/>
        <v>0</v>
      </c>
    </row>
    <row r="24">
      <c r="A24" s="36"/>
      <c r="B24" s="187" t="s">
        <v>26</v>
      </c>
      <c r="C24" s="193"/>
      <c r="D24" s="189">
        <f t="shared" si="1"/>
        <v>0</v>
      </c>
    </row>
    <row r="25">
      <c r="A25" s="36"/>
      <c r="B25" s="187" t="s">
        <v>27</v>
      </c>
      <c r="C25" s="193"/>
      <c r="D25" s="189">
        <f t="shared" si="1"/>
        <v>0</v>
      </c>
    </row>
    <row r="26">
      <c r="A26" s="36"/>
      <c r="B26" s="187" t="s">
        <v>28</v>
      </c>
      <c r="C26" s="193"/>
      <c r="D26" s="189">
        <f t="shared" si="1"/>
        <v>0</v>
      </c>
    </row>
    <row r="27">
      <c r="A27" s="36"/>
      <c r="B27" s="194" t="s">
        <v>29</v>
      </c>
      <c r="C27" s="193"/>
      <c r="D27" s="189">
        <f t="shared" si="1"/>
        <v>0</v>
      </c>
    </row>
    <row r="28">
      <c r="A28" s="36"/>
      <c r="B28" s="195" t="s">
        <v>30</v>
      </c>
      <c r="C28" s="193"/>
      <c r="D28" s="189">
        <f t="shared" si="1"/>
        <v>0</v>
      </c>
    </row>
    <row r="29">
      <c r="A29" s="36"/>
      <c r="B29" s="196" t="s">
        <v>31</v>
      </c>
      <c r="C29" s="193"/>
      <c r="D29" s="189">
        <f t="shared" si="1"/>
        <v>0</v>
      </c>
    </row>
    <row r="30">
      <c r="A30" s="36"/>
      <c r="B30" s="196" t="s">
        <v>32</v>
      </c>
      <c r="C30" s="193"/>
      <c r="D30" s="189">
        <f t="shared" si="1"/>
        <v>0</v>
      </c>
    </row>
    <row r="31">
      <c r="A31" s="36"/>
      <c r="B31" s="196" t="s">
        <v>33</v>
      </c>
      <c r="C31" s="193"/>
      <c r="D31" s="189">
        <f t="shared" si="1"/>
        <v>0</v>
      </c>
    </row>
    <row r="32">
      <c r="A32" s="91"/>
      <c r="B32" s="196" t="s">
        <v>34</v>
      </c>
      <c r="C32" s="193"/>
      <c r="D32" s="189">
        <f t="shared" si="1"/>
        <v>0</v>
      </c>
    </row>
    <row r="33">
      <c r="A33" s="186">
        <v>46169.0</v>
      </c>
      <c r="B33" s="187" t="s">
        <v>4</v>
      </c>
      <c r="C33" s="197"/>
      <c r="D33" s="189">
        <f t="shared" si="1"/>
        <v>0</v>
      </c>
    </row>
    <row r="34">
      <c r="A34" s="36"/>
      <c r="B34" s="187" t="s">
        <v>5</v>
      </c>
      <c r="C34" s="197"/>
      <c r="D34" s="189">
        <f t="shared" si="1"/>
        <v>0</v>
      </c>
    </row>
    <row r="35">
      <c r="A35" s="36"/>
      <c r="B35" s="187" t="s">
        <v>6</v>
      </c>
      <c r="C35" s="197"/>
      <c r="D35" s="189">
        <f t="shared" si="1"/>
        <v>0</v>
      </c>
    </row>
    <row r="36">
      <c r="A36" s="36"/>
      <c r="B36" s="187" t="s">
        <v>22</v>
      </c>
      <c r="C36" s="197"/>
      <c r="D36" s="189">
        <f t="shared" si="1"/>
        <v>0</v>
      </c>
    </row>
    <row r="37">
      <c r="A37" s="36"/>
      <c r="B37" s="187" t="s">
        <v>7</v>
      </c>
      <c r="C37" s="197"/>
      <c r="D37" s="189">
        <f t="shared" si="1"/>
        <v>0</v>
      </c>
    </row>
    <row r="38">
      <c r="A38" s="36"/>
      <c r="B38" s="192" t="s">
        <v>8</v>
      </c>
      <c r="C38" s="197"/>
      <c r="D38" s="189">
        <f t="shared" si="1"/>
        <v>0</v>
      </c>
    </row>
    <row r="39">
      <c r="A39" s="36"/>
      <c r="B39" s="187" t="s">
        <v>9</v>
      </c>
      <c r="C39" s="197"/>
      <c r="D39" s="189">
        <f t="shared" si="1"/>
        <v>0</v>
      </c>
    </row>
    <row r="40">
      <c r="A40" s="36"/>
      <c r="B40" s="187" t="s">
        <v>10</v>
      </c>
      <c r="C40" s="197"/>
      <c r="D40" s="189">
        <f t="shared" si="1"/>
        <v>0</v>
      </c>
    </row>
    <row r="41">
      <c r="A41" s="36"/>
      <c r="B41" s="187" t="s">
        <v>11</v>
      </c>
      <c r="C41" s="197"/>
      <c r="D41" s="189">
        <f t="shared" si="1"/>
        <v>0</v>
      </c>
    </row>
    <row r="42">
      <c r="A42" s="36"/>
      <c r="B42" s="192" t="s">
        <v>12</v>
      </c>
      <c r="C42" s="197"/>
      <c r="D42" s="189">
        <f t="shared" si="1"/>
        <v>0</v>
      </c>
    </row>
    <row r="43">
      <c r="A43" s="36"/>
      <c r="B43" s="192" t="s">
        <v>13</v>
      </c>
      <c r="C43" s="197"/>
      <c r="D43" s="189">
        <f t="shared" si="1"/>
        <v>0</v>
      </c>
    </row>
    <row r="44">
      <c r="A44" s="36"/>
      <c r="B44" s="192" t="s">
        <v>14</v>
      </c>
      <c r="C44" s="197"/>
      <c r="D44" s="189">
        <f t="shared" si="1"/>
        <v>0</v>
      </c>
    </row>
    <row r="45">
      <c r="A45" s="36"/>
      <c r="B45" s="192" t="s">
        <v>15</v>
      </c>
      <c r="C45" s="197"/>
      <c r="D45" s="189">
        <f t="shared" si="1"/>
        <v>0</v>
      </c>
    </row>
    <row r="46">
      <c r="A46" s="36"/>
      <c r="B46" s="192" t="s">
        <v>16</v>
      </c>
      <c r="C46" s="197"/>
      <c r="D46" s="189">
        <f t="shared" si="1"/>
        <v>0</v>
      </c>
    </row>
    <row r="47">
      <c r="A47" s="36"/>
      <c r="B47" s="192" t="s">
        <v>17</v>
      </c>
      <c r="C47" s="197"/>
      <c r="D47" s="189">
        <f t="shared" si="1"/>
        <v>0</v>
      </c>
    </row>
    <row r="48">
      <c r="A48" s="36"/>
      <c r="B48" s="187" t="s">
        <v>18</v>
      </c>
      <c r="C48" s="197"/>
      <c r="D48" s="189">
        <f t="shared" si="1"/>
        <v>0</v>
      </c>
    </row>
    <row r="49">
      <c r="A49" s="36"/>
      <c r="B49" s="187" t="s">
        <v>19</v>
      </c>
      <c r="C49" s="197"/>
      <c r="D49" s="189">
        <f t="shared" si="1"/>
        <v>0</v>
      </c>
    </row>
    <row r="50">
      <c r="A50" s="36"/>
      <c r="B50" s="187" t="s">
        <v>20</v>
      </c>
      <c r="C50" s="198"/>
      <c r="D50" s="189">
        <f t="shared" si="1"/>
        <v>0</v>
      </c>
    </row>
    <row r="51">
      <c r="A51" s="36"/>
      <c r="B51" s="187" t="s">
        <v>21</v>
      </c>
      <c r="C51" s="198"/>
      <c r="D51" s="189">
        <f t="shared" si="1"/>
        <v>0</v>
      </c>
    </row>
    <row r="52">
      <c r="A52" s="36"/>
      <c r="B52" s="187" t="s">
        <v>23</v>
      </c>
      <c r="C52" s="198"/>
      <c r="D52" s="189">
        <f t="shared" si="1"/>
        <v>0</v>
      </c>
    </row>
    <row r="53">
      <c r="A53" s="36"/>
      <c r="B53" s="187" t="s">
        <v>24</v>
      </c>
      <c r="C53" s="198"/>
      <c r="D53" s="189">
        <f t="shared" si="1"/>
        <v>0</v>
      </c>
    </row>
    <row r="54">
      <c r="A54" s="36"/>
      <c r="B54" s="187" t="s">
        <v>25</v>
      </c>
      <c r="C54" s="198"/>
      <c r="D54" s="189">
        <f t="shared" si="1"/>
        <v>0</v>
      </c>
    </row>
    <row r="55">
      <c r="A55" s="36"/>
      <c r="B55" s="187" t="s">
        <v>26</v>
      </c>
      <c r="C55" s="198"/>
      <c r="D55" s="189">
        <f t="shared" si="1"/>
        <v>0</v>
      </c>
    </row>
    <row r="56">
      <c r="A56" s="36"/>
      <c r="B56" s="187" t="s">
        <v>27</v>
      </c>
      <c r="C56" s="198"/>
      <c r="D56" s="189">
        <f t="shared" si="1"/>
        <v>0</v>
      </c>
    </row>
    <row r="57">
      <c r="A57" s="36"/>
      <c r="B57" s="187" t="s">
        <v>28</v>
      </c>
      <c r="C57" s="198"/>
      <c r="D57" s="189">
        <f t="shared" si="1"/>
        <v>0</v>
      </c>
    </row>
    <row r="58">
      <c r="A58" s="36"/>
      <c r="B58" s="194" t="s">
        <v>29</v>
      </c>
      <c r="C58" s="198"/>
      <c r="D58" s="189">
        <f t="shared" si="1"/>
        <v>0</v>
      </c>
    </row>
    <row r="59">
      <c r="A59" s="36"/>
      <c r="B59" s="195" t="s">
        <v>30</v>
      </c>
      <c r="C59" s="198"/>
      <c r="D59" s="189">
        <f t="shared" si="1"/>
        <v>0</v>
      </c>
    </row>
    <row r="60">
      <c r="A60" s="36"/>
      <c r="B60" s="196" t="s">
        <v>31</v>
      </c>
      <c r="C60" s="198"/>
      <c r="D60" s="189">
        <f t="shared" si="1"/>
        <v>0</v>
      </c>
    </row>
    <row r="61">
      <c r="A61" s="36"/>
      <c r="B61" s="196" t="s">
        <v>32</v>
      </c>
      <c r="C61" s="198"/>
      <c r="D61" s="189">
        <f t="shared" si="1"/>
        <v>0</v>
      </c>
    </row>
    <row r="62">
      <c r="A62" s="36"/>
      <c r="B62" s="196" t="s">
        <v>33</v>
      </c>
      <c r="C62" s="198"/>
      <c r="D62" s="189">
        <f t="shared" si="1"/>
        <v>0</v>
      </c>
    </row>
    <row r="63">
      <c r="A63" s="91"/>
      <c r="B63" s="196" t="s">
        <v>34</v>
      </c>
      <c r="C63" s="198"/>
      <c r="D63" s="189">
        <f t="shared" si="1"/>
        <v>0</v>
      </c>
    </row>
    <row r="64">
      <c r="A64" s="186">
        <v>46170.0</v>
      </c>
      <c r="B64" s="187" t="s">
        <v>4</v>
      </c>
      <c r="C64" s="188"/>
      <c r="D64" s="189">
        <f t="shared" si="1"/>
        <v>0</v>
      </c>
    </row>
    <row r="65">
      <c r="A65" s="36"/>
      <c r="B65" s="187" t="s">
        <v>5</v>
      </c>
      <c r="C65" s="188"/>
      <c r="D65" s="189">
        <f t="shared" si="1"/>
        <v>0</v>
      </c>
    </row>
    <row r="66">
      <c r="A66" s="36"/>
      <c r="B66" s="187" t="s">
        <v>6</v>
      </c>
      <c r="C66" s="188"/>
      <c r="D66" s="189">
        <f t="shared" si="1"/>
        <v>0</v>
      </c>
    </row>
    <row r="67">
      <c r="A67" s="36"/>
      <c r="B67" s="187" t="s">
        <v>22</v>
      </c>
      <c r="C67" s="188"/>
      <c r="D67" s="189">
        <f t="shared" si="1"/>
        <v>0</v>
      </c>
    </row>
    <row r="68">
      <c r="A68" s="36"/>
      <c r="B68" s="187" t="s">
        <v>7</v>
      </c>
      <c r="C68" s="188"/>
      <c r="D68" s="189">
        <f t="shared" si="1"/>
        <v>0</v>
      </c>
    </row>
    <row r="69">
      <c r="A69" s="36"/>
      <c r="B69" s="192" t="s">
        <v>8</v>
      </c>
      <c r="C69" s="188"/>
      <c r="D69" s="189">
        <f t="shared" si="1"/>
        <v>0</v>
      </c>
    </row>
    <row r="70">
      <c r="A70" s="36"/>
      <c r="B70" s="187" t="s">
        <v>9</v>
      </c>
      <c r="C70" s="188"/>
      <c r="D70" s="189">
        <f t="shared" si="1"/>
        <v>0</v>
      </c>
    </row>
    <row r="71">
      <c r="A71" s="36"/>
      <c r="B71" s="187" t="s">
        <v>10</v>
      </c>
      <c r="C71" s="188"/>
      <c r="D71" s="189">
        <f t="shared" si="1"/>
        <v>0</v>
      </c>
    </row>
    <row r="72">
      <c r="A72" s="36"/>
      <c r="B72" s="187" t="s">
        <v>11</v>
      </c>
      <c r="C72" s="188"/>
      <c r="D72" s="189">
        <f t="shared" si="1"/>
        <v>0</v>
      </c>
    </row>
    <row r="73">
      <c r="A73" s="36"/>
      <c r="B73" s="192" t="s">
        <v>12</v>
      </c>
      <c r="C73" s="188"/>
      <c r="D73" s="189">
        <f t="shared" si="1"/>
        <v>0</v>
      </c>
    </row>
    <row r="74">
      <c r="A74" s="36"/>
      <c r="B74" s="192" t="s">
        <v>13</v>
      </c>
      <c r="C74" s="188"/>
      <c r="D74" s="189">
        <f t="shared" si="1"/>
        <v>0</v>
      </c>
    </row>
    <row r="75">
      <c r="A75" s="36"/>
      <c r="B75" s="192" t="s">
        <v>14</v>
      </c>
      <c r="C75" s="188"/>
      <c r="D75" s="189">
        <f t="shared" si="1"/>
        <v>0</v>
      </c>
    </row>
    <row r="76">
      <c r="A76" s="36"/>
      <c r="B76" s="192" t="s">
        <v>15</v>
      </c>
      <c r="C76" s="188"/>
      <c r="D76" s="189">
        <f t="shared" si="1"/>
        <v>0</v>
      </c>
    </row>
    <row r="77">
      <c r="A77" s="36"/>
      <c r="B77" s="192" t="s">
        <v>16</v>
      </c>
      <c r="C77" s="188"/>
      <c r="D77" s="189">
        <f t="shared" si="1"/>
        <v>0</v>
      </c>
    </row>
    <row r="78">
      <c r="A78" s="36"/>
      <c r="B78" s="192" t="s">
        <v>17</v>
      </c>
      <c r="C78" s="188"/>
      <c r="D78" s="189">
        <f t="shared" si="1"/>
        <v>0</v>
      </c>
    </row>
    <row r="79">
      <c r="A79" s="36"/>
      <c r="B79" s="187" t="s">
        <v>18</v>
      </c>
      <c r="C79" s="188"/>
      <c r="D79" s="189">
        <f t="shared" si="1"/>
        <v>0</v>
      </c>
    </row>
    <row r="80">
      <c r="A80" s="36"/>
      <c r="B80" s="187" t="s">
        <v>19</v>
      </c>
      <c r="C80" s="188"/>
      <c r="D80" s="189">
        <f t="shared" si="1"/>
        <v>0</v>
      </c>
    </row>
    <row r="81">
      <c r="A81" s="36"/>
      <c r="B81" s="187" t="s">
        <v>20</v>
      </c>
      <c r="C81" s="188"/>
      <c r="D81" s="189">
        <f t="shared" si="1"/>
        <v>0</v>
      </c>
    </row>
    <row r="82">
      <c r="A82" s="36"/>
      <c r="B82" s="187" t="s">
        <v>21</v>
      </c>
      <c r="C82" s="188"/>
      <c r="D82" s="189">
        <f t="shared" si="1"/>
        <v>0</v>
      </c>
    </row>
    <row r="83">
      <c r="A83" s="36"/>
      <c r="B83" s="187" t="s">
        <v>23</v>
      </c>
      <c r="C83" s="188"/>
      <c r="D83" s="189">
        <f t="shared" si="1"/>
        <v>0</v>
      </c>
    </row>
    <row r="84">
      <c r="A84" s="36"/>
      <c r="B84" s="187" t="s">
        <v>24</v>
      </c>
      <c r="C84" s="188"/>
      <c r="D84" s="189">
        <f t="shared" si="1"/>
        <v>0</v>
      </c>
    </row>
    <row r="85">
      <c r="A85" s="36"/>
      <c r="B85" s="187" t="s">
        <v>25</v>
      </c>
      <c r="C85" s="193"/>
      <c r="D85" s="189">
        <f t="shared" si="1"/>
        <v>0</v>
      </c>
    </row>
    <row r="86">
      <c r="A86" s="36"/>
      <c r="B86" s="187" t="s">
        <v>26</v>
      </c>
      <c r="C86" s="193"/>
      <c r="D86" s="189">
        <f t="shared" si="1"/>
        <v>0</v>
      </c>
    </row>
    <row r="87">
      <c r="A87" s="36"/>
      <c r="B87" s="187" t="s">
        <v>27</v>
      </c>
      <c r="C87" s="193"/>
      <c r="D87" s="189">
        <f t="shared" si="1"/>
        <v>0</v>
      </c>
    </row>
    <row r="88">
      <c r="A88" s="36"/>
      <c r="B88" s="187" t="s">
        <v>28</v>
      </c>
      <c r="C88" s="193"/>
      <c r="D88" s="189">
        <f t="shared" si="1"/>
        <v>0</v>
      </c>
    </row>
    <row r="89">
      <c r="A89" s="36"/>
      <c r="B89" s="194" t="s">
        <v>29</v>
      </c>
      <c r="C89" s="193"/>
      <c r="D89" s="189">
        <f t="shared" si="1"/>
        <v>0</v>
      </c>
    </row>
    <row r="90">
      <c r="A90" s="36"/>
      <c r="B90" s="195" t="s">
        <v>30</v>
      </c>
      <c r="C90" s="193"/>
      <c r="D90" s="189">
        <f t="shared" si="1"/>
        <v>0</v>
      </c>
    </row>
    <row r="91">
      <c r="A91" s="36"/>
      <c r="B91" s="196" t="s">
        <v>31</v>
      </c>
      <c r="C91" s="193"/>
      <c r="D91" s="189">
        <f t="shared" si="1"/>
        <v>0</v>
      </c>
    </row>
    <row r="92">
      <c r="A92" s="36"/>
      <c r="B92" s="196" t="s">
        <v>32</v>
      </c>
      <c r="C92" s="193"/>
      <c r="D92" s="189">
        <f t="shared" si="1"/>
        <v>0</v>
      </c>
    </row>
    <row r="93">
      <c r="A93" s="36"/>
      <c r="B93" s="196" t="s">
        <v>33</v>
      </c>
      <c r="C93" s="193"/>
      <c r="D93" s="189">
        <f t="shared" si="1"/>
        <v>0</v>
      </c>
    </row>
    <row r="94">
      <c r="A94" s="91"/>
      <c r="B94" s="196" t="s">
        <v>34</v>
      </c>
      <c r="C94" s="193"/>
      <c r="D94" s="189">
        <f t="shared" si="1"/>
        <v>0</v>
      </c>
    </row>
    <row r="95">
      <c r="A95" s="186">
        <v>46171.0</v>
      </c>
      <c r="B95" s="187" t="s">
        <v>4</v>
      </c>
      <c r="C95" s="188"/>
      <c r="D95" s="189">
        <f t="shared" si="1"/>
        <v>0</v>
      </c>
    </row>
    <row r="96">
      <c r="A96" s="36"/>
      <c r="B96" s="187" t="s">
        <v>5</v>
      </c>
      <c r="C96" s="188"/>
      <c r="D96" s="189">
        <f t="shared" si="1"/>
        <v>0</v>
      </c>
    </row>
    <row r="97">
      <c r="A97" s="36"/>
      <c r="B97" s="187" t="s">
        <v>6</v>
      </c>
      <c r="C97" s="188"/>
      <c r="D97" s="189">
        <f t="shared" si="1"/>
        <v>0</v>
      </c>
    </row>
    <row r="98">
      <c r="A98" s="36"/>
      <c r="B98" s="187" t="s">
        <v>22</v>
      </c>
      <c r="C98" s="188"/>
      <c r="D98" s="189">
        <f t="shared" si="1"/>
        <v>0</v>
      </c>
    </row>
    <row r="99">
      <c r="A99" s="36"/>
      <c r="B99" s="187" t="s">
        <v>7</v>
      </c>
      <c r="C99" s="188"/>
      <c r="D99" s="189">
        <f t="shared" si="1"/>
        <v>0</v>
      </c>
    </row>
    <row r="100">
      <c r="A100" s="36"/>
      <c r="B100" s="192" t="s">
        <v>8</v>
      </c>
      <c r="C100" s="188"/>
      <c r="D100" s="189">
        <f t="shared" si="1"/>
        <v>0</v>
      </c>
    </row>
    <row r="101">
      <c r="A101" s="36"/>
      <c r="B101" s="187" t="s">
        <v>9</v>
      </c>
      <c r="C101" s="188"/>
      <c r="D101" s="189">
        <f t="shared" si="1"/>
        <v>0</v>
      </c>
    </row>
    <row r="102">
      <c r="A102" s="36"/>
      <c r="B102" s="187" t="s">
        <v>10</v>
      </c>
      <c r="C102" s="188"/>
      <c r="D102" s="189">
        <f t="shared" si="1"/>
        <v>0</v>
      </c>
    </row>
    <row r="103">
      <c r="A103" s="36"/>
      <c r="B103" s="187" t="s">
        <v>11</v>
      </c>
      <c r="C103" s="188"/>
      <c r="D103" s="189">
        <f t="shared" si="1"/>
        <v>0</v>
      </c>
    </row>
    <row r="104">
      <c r="A104" s="36"/>
      <c r="B104" s="192" t="s">
        <v>12</v>
      </c>
      <c r="C104" s="188"/>
      <c r="D104" s="189">
        <f t="shared" si="1"/>
        <v>0</v>
      </c>
    </row>
    <row r="105">
      <c r="A105" s="36"/>
      <c r="B105" s="192" t="s">
        <v>13</v>
      </c>
      <c r="C105" s="188"/>
      <c r="D105" s="189">
        <f t="shared" si="1"/>
        <v>0</v>
      </c>
    </row>
    <row r="106">
      <c r="A106" s="36"/>
      <c r="B106" s="192" t="s">
        <v>14</v>
      </c>
      <c r="C106" s="188"/>
      <c r="D106" s="189">
        <f t="shared" si="1"/>
        <v>0</v>
      </c>
    </row>
    <row r="107">
      <c r="A107" s="36"/>
      <c r="B107" s="192" t="s">
        <v>15</v>
      </c>
      <c r="C107" s="188"/>
      <c r="D107" s="189">
        <f t="shared" si="1"/>
        <v>0</v>
      </c>
    </row>
    <row r="108">
      <c r="A108" s="36"/>
      <c r="B108" s="192" t="s">
        <v>16</v>
      </c>
      <c r="C108" s="188"/>
      <c r="D108" s="189">
        <f t="shared" si="1"/>
        <v>0</v>
      </c>
    </row>
    <row r="109">
      <c r="A109" s="36"/>
      <c r="B109" s="192" t="s">
        <v>17</v>
      </c>
      <c r="C109" s="188"/>
      <c r="D109" s="189">
        <f t="shared" si="1"/>
        <v>0</v>
      </c>
    </row>
    <row r="110">
      <c r="A110" s="36"/>
      <c r="B110" s="187" t="s">
        <v>18</v>
      </c>
      <c r="C110" s="188"/>
      <c r="D110" s="189">
        <f t="shared" si="1"/>
        <v>0</v>
      </c>
    </row>
    <row r="111">
      <c r="A111" s="36"/>
      <c r="B111" s="187" t="s">
        <v>19</v>
      </c>
      <c r="C111" s="188"/>
      <c r="D111" s="189">
        <f t="shared" si="1"/>
        <v>0</v>
      </c>
    </row>
    <row r="112">
      <c r="A112" s="36"/>
      <c r="B112" s="187" t="s">
        <v>20</v>
      </c>
      <c r="C112" s="188"/>
      <c r="D112" s="189">
        <f t="shared" si="1"/>
        <v>0</v>
      </c>
    </row>
    <row r="113">
      <c r="A113" s="36"/>
      <c r="B113" s="187" t="s">
        <v>21</v>
      </c>
      <c r="C113" s="188"/>
      <c r="D113" s="189">
        <f t="shared" si="1"/>
        <v>0</v>
      </c>
    </row>
    <row r="114">
      <c r="A114" s="36"/>
      <c r="B114" s="187" t="s">
        <v>23</v>
      </c>
      <c r="C114" s="188"/>
      <c r="D114" s="189">
        <f t="shared" si="1"/>
        <v>0</v>
      </c>
    </row>
    <row r="115">
      <c r="A115" s="36"/>
      <c r="B115" s="187" t="s">
        <v>24</v>
      </c>
      <c r="C115" s="188"/>
      <c r="D115" s="189">
        <f t="shared" si="1"/>
        <v>0</v>
      </c>
    </row>
    <row r="116">
      <c r="A116" s="36"/>
      <c r="B116" s="187" t="s">
        <v>25</v>
      </c>
      <c r="C116" s="193"/>
      <c r="D116" s="189">
        <f t="shared" si="1"/>
        <v>0</v>
      </c>
    </row>
    <row r="117">
      <c r="A117" s="36"/>
      <c r="B117" s="187" t="s">
        <v>26</v>
      </c>
      <c r="C117" s="193"/>
      <c r="D117" s="189">
        <f t="shared" si="1"/>
        <v>0</v>
      </c>
    </row>
    <row r="118">
      <c r="A118" s="36"/>
      <c r="B118" s="187" t="s">
        <v>27</v>
      </c>
      <c r="C118" s="193"/>
      <c r="D118" s="189">
        <f t="shared" si="1"/>
        <v>0</v>
      </c>
    </row>
    <row r="119">
      <c r="A119" s="36"/>
      <c r="B119" s="187" t="s">
        <v>28</v>
      </c>
      <c r="C119" s="193"/>
      <c r="D119" s="189">
        <f t="shared" si="1"/>
        <v>0</v>
      </c>
    </row>
    <row r="120">
      <c r="A120" s="36"/>
      <c r="B120" s="194" t="s">
        <v>29</v>
      </c>
      <c r="C120" s="193"/>
      <c r="D120" s="189">
        <f t="shared" si="1"/>
        <v>0</v>
      </c>
    </row>
    <row r="121">
      <c r="A121" s="36"/>
      <c r="B121" s="195" t="s">
        <v>30</v>
      </c>
      <c r="C121" s="193"/>
      <c r="D121" s="189">
        <f t="shared" si="1"/>
        <v>0</v>
      </c>
    </row>
    <row r="122">
      <c r="A122" s="36"/>
      <c r="B122" s="196" t="s">
        <v>31</v>
      </c>
      <c r="C122" s="193"/>
      <c r="D122" s="189">
        <f t="shared" si="1"/>
        <v>0</v>
      </c>
    </row>
    <row r="123">
      <c r="A123" s="36"/>
      <c r="B123" s="196" t="s">
        <v>32</v>
      </c>
      <c r="C123" s="193"/>
      <c r="D123" s="189">
        <f t="shared" si="1"/>
        <v>0</v>
      </c>
    </row>
    <row r="124">
      <c r="A124" s="36"/>
      <c r="B124" s="196" t="s">
        <v>33</v>
      </c>
      <c r="C124" s="193"/>
      <c r="D124" s="189">
        <f t="shared" si="1"/>
        <v>0</v>
      </c>
    </row>
    <row r="125">
      <c r="A125" s="91"/>
      <c r="B125" s="196" t="s">
        <v>34</v>
      </c>
      <c r="C125" s="193"/>
      <c r="D125" s="189">
        <f t="shared" si="1"/>
        <v>0</v>
      </c>
    </row>
    <row r="126">
      <c r="A126" s="186">
        <v>46172.0</v>
      </c>
      <c r="B126" s="187" t="s">
        <v>4</v>
      </c>
      <c r="C126" s="188"/>
      <c r="D126" s="189">
        <f t="shared" si="1"/>
        <v>0</v>
      </c>
    </row>
    <row r="127">
      <c r="A127" s="36"/>
      <c r="B127" s="187" t="s">
        <v>5</v>
      </c>
      <c r="C127" s="188"/>
      <c r="D127" s="189">
        <f t="shared" si="1"/>
        <v>0</v>
      </c>
    </row>
    <row r="128">
      <c r="A128" s="36"/>
      <c r="B128" s="187" t="s">
        <v>6</v>
      </c>
      <c r="C128" s="188"/>
      <c r="D128" s="189">
        <f t="shared" si="1"/>
        <v>0</v>
      </c>
    </row>
    <row r="129">
      <c r="A129" s="36"/>
      <c r="B129" s="187" t="s">
        <v>22</v>
      </c>
      <c r="C129" s="188"/>
      <c r="D129" s="189">
        <f t="shared" si="1"/>
        <v>0</v>
      </c>
    </row>
    <row r="130">
      <c r="A130" s="36"/>
      <c r="B130" s="187" t="s">
        <v>7</v>
      </c>
      <c r="C130" s="188"/>
      <c r="D130" s="189">
        <f t="shared" si="1"/>
        <v>0</v>
      </c>
    </row>
    <row r="131">
      <c r="A131" s="36"/>
      <c r="B131" s="192" t="s">
        <v>8</v>
      </c>
      <c r="C131" s="188"/>
      <c r="D131" s="189">
        <f t="shared" si="1"/>
        <v>0</v>
      </c>
    </row>
    <row r="132">
      <c r="A132" s="36"/>
      <c r="B132" s="187" t="s">
        <v>9</v>
      </c>
      <c r="C132" s="188"/>
      <c r="D132" s="189">
        <f t="shared" si="1"/>
        <v>0</v>
      </c>
    </row>
    <row r="133">
      <c r="A133" s="36"/>
      <c r="B133" s="187" t="s">
        <v>10</v>
      </c>
      <c r="C133" s="188"/>
      <c r="D133" s="189">
        <f t="shared" si="1"/>
        <v>0</v>
      </c>
    </row>
    <row r="134">
      <c r="A134" s="36"/>
      <c r="B134" s="187" t="s">
        <v>11</v>
      </c>
      <c r="C134" s="188"/>
      <c r="D134" s="189">
        <f t="shared" si="1"/>
        <v>0</v>
      </c>
    </row>
    <row r="135">
      <c r="A135" s="36"/>
      <c r="B135" s="192" t="s">
        <v>12</v>
      </c>
      <c r="C135" s="188"/>
      <c r="D135" s="189">
        <f t="shared" si="1"/>
        <v>0</v>
      </c>
    </row>
    <row r="136">
      <c r="A136" s="36"/>
      <c r="B136" s="192" t="s">
        <v>13</v>
      </c>
      <c r="C136" s="188"/>
      <c r="D136" s="189">
        <f t="shared" si="1"/>
        <v>0</v>
      </c>
    </row>
    <row r="137">
      <c r="A137" s="36"/>
      <c r="B137" s="192" t="s">
        <v>14</v>
      </c>
      <c r="C137" s="188"/>
      <c r="D137" s="189">
        <f t="shared" si="1"/>
        <v>0</v>
      </c>
    </row>
    <row r="138">
      <c r="A138" s="36"/>
      <c r="B138" s="192" t="s">
        <v>15</v>
      </c>
      <c r="C138" s="188"/>
      <c r="D138" s="189">
        <f t="shared" si="1"/>
        <v>0</v>
      </c>
    </row>
    <row r="139">
      <c r="A139" s="36"/>
      <c r="B139" s="192" t="s">
        <v>16</v>
      </c>
      <c r="C139" s="188"/>
      <c r="D139" s="189">
        <f t="shared" si="1"/>
        <v>0</v>
      </c>
    </row>
    <row r="140">
      <c r="A140" s="36"/>
      <c r="B140" s="192" t="s">
        <v>17</v>
      </c>
      <c r="C140" s="188"/>
      <c r="D140" s="189">
        <f t="shared" si="1"/>
        <v>0</v>
      </c>
    </row>
    <row r="141">
      <c r="A141" s="36"/>
      <c r="B141" s="187" t="s">
        <v>18</v>
      </c>
      <c r="C141" s="188"/>
      <c r="D141" s="189">
        <f t="shared" si="1"/>
        <v>0</v>
      </c>
    </row>
    <row r="142">
      <c r="A142" s="36"/>
      <c r="B142" s="187" t="s">
        <v>19</v>
      </c>
      <c r="C142" s="188"/>
      <c r="D142" s="189">
        <f t="shared" si="1"/>
        <v>0</v>
      </c>
    </row>
    <row r="143">
      <c r="A143" s="36"/>
      <c r="B143" s="187" t="s">
        <v>20</v>
      </c>
      <c r="C143" s="188"/>
      <c r="D143" s="189">
        <f t="shared" si="1"/>
        <v>0</v>
      </c>
    </row>
    <row r="144">
      <c r="A144" s="36"/>
      <c r="B144" s="187" t="s">
        <v>21</v>
      </c>
      <c r="C144" s="188"/>
      <c r="D144" s="189">
        <f t="shared" si="1"/>
        <v>0</v>
      </c>
    </row>
    <row r="145">
      <c r="A145" s="36"/>
      <c r="B145" s="187" t="s">
        <v>23</v>
      </c>
      <c r="C145" s="188"/>
      <c r="D145" s="189">
        <f t="shared" si="1"/>
        <v>0</v>
      </c>
    </row>
    <row r="146">
      <c r="A146" s="36"/>
      <c r="B146" s="187" t="s">
        <v>24</v>
      </c>
      <c r="C146" s="188"/>
      <c r="D146" s="189">
        <f t="shared" si="1"/>
        <v>0</v>
      </c>
    </row>
    <row r="147">
      <c r="A147" s="36"/>
      <c r="B147" s="187" t="s">
        <v>25</v>
      </c>
      <c r="C147" s="193"/>
      <c r="D147" s="189">
        <f t="shared" si="1"/>
        <v>0</v>
      </c>
    </row>
    <row r="148">
      <c r="A148" s="36"/>
      <c r="B148" s="187" t="s">
        <v>26</v>
      </c>
      <c r="C148" s="193"/>
      <c r="D148" s="189">
        <f t="shared" si="1"/>
        <v>0</v>
      </c>
    </row>
    <row r="149">
      <c r="A149" s="36"/>
      <c r="B149" s="187" t="s">
        <v>27</v>
      </c>
      <c r="C149" s="193"/>
      <c r="D149" s="189">
        <f t="shared" si="1"/>
        <v>0</v>
      </c>
    </row>
    <row r="150">
      <c r="A150" s="36"/>
      <c r="B150" s="187" t="s">
        <v>28</v>
      </c>
      <c r="C150" s="193"/>
      <c r="D150" s="189">
        <f t="shared" si="1"/>
        <v>0</v>
      </c>
    </row>
    <row r="151">
      <c r="A151" s="36"/>
      <c r="B151" s="194" t="s">
        <v>29</v>
      </c>
      <c r="C151" s="193"/>
      <c r="D151" s="189">
        <f t="shared" si="1"/>
        <v>0</v>
      </c>
    </row>
    <row r="152">
      <c r="A152" s="36"/>
      <c r="B152" s="195" t="s">
        <v>30</v>
      </c>
      <c r="C152" s="193"/>
      <c r="D152" s="189">
        <f t="shared" si="1"/>
        <v>0</v>
      </c>
    </row>
    <row r="153">
      <c r="A153" s="36"/>
      <c r="B153" s="196" t="s">
        <v>31</v>
      </c>
      <c r="C153" s="193"/>
      <c r="D153" s="189">
        <f t="shared" si="1"/>
        <v>0</v>
      </c>
    </row>
    <row r="154">
      <c r="A154" s="36"/>
      <c r="B154" s="196" t="s">
        <v>32</v>
      </c>
      <c r="C154" s="193"/>
      <c r="D154" s="189">
        <f t="shared" si="1"/>
        <v>0</v>
      </c>
    </row>
    <row r="155">
      <c r="A155" s="36"/>
      <c r="B155" s="196" t="s">
        <v>33</v>
      </c>
      <c r="C155" s="193"/>
      <c r="D155" s="189">
        <f t="shared" si="1"/>
        <v>0</v>
      </c>
    </row>
    <row r="156">
      <c r="A156" s="91"/>
      <c r="B156" s="196" t="s">
        <v>34</v>
      </c>
      <c r="C156" s="193"/>
      <c r="D156" s="189">
        <f t="shared" si="1"/>
        <v>0</v>
      </c>
    </row>
    <row r="157">
      <c r="A157" s="186">
        <v>46173.0</v>
      </c>
      <c r="B157" s="187" t="s">
        <v>4</v>
      </c>
      <c r="C157" s="188"/>
      <c r="D157" s="189">
        <f t="shared" si="1"/>
        <v>0</v>
      </c>
    </row>
    <row r="158">
      <c r="A158" s="36"/>
      <c r="B158" s="187" t="s">
        <v>5</v>
      </c>
      <c r="C158" s="188"/>
      <c r="D158" s="189">
        <f t="shared" si="1"/>
        <v>0</v>
      </c>
    </row>
    <row r="159">
      <c r="A159" s="36"/>
      <c r="B159" s="187" t="s">
        <v>6</v>
      </c>
      <c r="C159" s="188"/>
      <c r="D159" s="189">
        <f t="shared" si="1"/>
        <v>0</v>
      </c>
    </row>
    <row r="160">
      <c r="A160" s="36"/>
      <c r="B160" s="187" t="s">
        <v>22</v>
      </c>
      <c r="C160" s="188"/>
      <c r="D160" s="189">
        <f t="shared" si="1"/>
        <v>0</v>
      </c>
    </row>
    <row r="161">
      <c r="A161" s="36"/>
      <c r="B161" s="187" t="s">
        <v>7</v>
      </c>
      <c r="C161" s="188"/>
      <c r="D161" s="189">
        <f t="shared" si="1"/>
        <v>0</v>
      </c>
    </row>
    <row r="162">
      <c r="A162" s="36"/>
      <c r="B162" s="192" t="s">
        <v>8</v>
      </c>
      <c r="C162" s="188"/>
      <c r="D162" s="189">
        <f t="shared" si="1"/>
        <v>0</v>
      </c>
    </row>
    <row r="163">
      <c r="A163" s="36"/>
      <c r="B163" s="187" t="s">
        <v>9</v>
      </c>
      <c r="C163" s="188"/>
      <c r="D163" s="189">
        <f t="shared" si="1"/>
        <v>0</v>
      </c>
    </row>
    <row r="164">
      <c r="A164" s="36"/>
      <c r="B164" s="187" t="s">
        <v>10</v>
      </c>
      <c r="C164" s="188"/>
      <c r="D164" s="189">
        <f t="shared" si="1"/>
        <v>0</v>
      </c>
    </row>
    <row r="165">
      <c r="A165" s="36"/>
      <c r="B165" s="187" t="s">
        <v>11</v>
      </c>
      <c r="C165" s="188"/>
      <c r="D165" s="189">
        <f t="shared" si="1"/>
        <v>0</v>
      </c>
    </row>
    <row r="166">
      <c r="A166" s="36"/>
      <c r="B166" s="192" t="s">
        <v>12</v>
      </c>
      <c r="C166" s="188"/>
      <c r="D166" s="189">
        <f t="shared" si="1"/>
        <v>0</v>
      </c>
    </row>
    <row r="167">
      <c r="A167" s="36"/>
      <c r="B167" s="192" t="s">
        <v>13</v>
      </c>
      <c r="C167" s="188"/>
      <c r="D167" s="189">
        <f t="shared" si="1"/>
        <v>0</v>
      </c>
    </row>
    <row r="168">
      <c r="A168" s="36"/>
      <c r="B168" s="192" t="s">
        <v>14</v>
      </c>
      <c r="C168" s="188"/>
      <c r="D168" s="189">
        <f t="shared" si="1"/>
        <v>0</v>
      </c>
    </row>
    <row r="169">
      <c r="A169" s="36"/>
      <c r="B169" s="192" t="s">
        <v>15</v>
      </c>
      <c r="C169" s="188"/>
      <c r="D169" s="189">
        <f t="shared" si="1"/>
        <v>0</v>
      </c>
    </row>
    <row r="170">
      <c r="A170" s="36"/>
      <c r="B170" s="192" t="s">
        <v>16</v>
      </c>
      <c r="C170" s="188"/>
      <c r="D170" s="189">
        <f t="shared" si="1"/>
        <v>0</v>
      </c>
    </row>
    <row r="171">
      <c r="A171" s="36"/>
      <c r="B171" s="192" t="s">
        <v>17</v>
      </c>
      <c r="C171" s="188"/>
      <c r="D171" s="189">
        <f t="shared" si="1"/>
        <v>0</v>
      </c>
    </row>
    <row r="172">
      <c r="A172" s="36"/>
      <c r="B172" s="187" t="s">
        <v>18</v>
      </c>
      <c r="C172" s="188"/>
      <c r="D172" s="189">
        <f t="shared" si="1"/>
        <v>0</v>
      </c>
    </row>
    <row r="173">
      <c r="A173" s="36"/>
      <c r="B173" s="187" t="s">
        <v>19</v>
      </c>
      <c r="C173" s="188"/>
      <c r="D173" s="189">
        <f t="shared" si="1"/>
        <v>0</v>
      </c>
    </row>
    <row r="174">
      <c r="A174" s="36"/>
      <c r="B174" s="187" t="s">
        <v>20</v>
      </c>
      <c r="C174" s="188"/>
      <c r="D174" s="189">
        <f t="shared" si="1"/>
        <v>0</v>
      </c>
    </row>
    <row r="175">
      <c r="A175" s="36"/>
      <c r="B175" s="187" t="s">
        <v>21</v>
      </c>
      <c r="C175" s="188"/>
      <c r="D175" s="189">
        <f t="shared" si="1"/>
        <v>0</v>
      </c>
    </row>
    <row r="176">
      <c r="A176" s="36"/>
      <c r="B176" s="187" t="s">
        <v>23</v>
      </c>
      <c r="C176" s="188"/>
      <c r="D176" s="189">
        <f t="shared" si="1"/>
        <v>0</v>
      </c>
    </row>
    <row r="177">
      <c r="A177" s="36"/>
      <c r="B177" s="187" t="s">
        <v>24</v>
      </c>
      <c r="C177" s="188"/>
      <c r="D177" s="189">
        <f t="shared" si="1"/>
        <v>0</v>
      </c>
    </row>
    <row r="178">
      <c r="A178" s="36"/>
      <c r="B178" s="187" t="s">
        <v>25</v>
      </c>
      <c r="C178" s="193"/>
      <c r="D178" s="189">
        <f t="shared" si="1"/>
        <v>0</v>
      </c>
    </row>
    <row r="179">
      <c r="A179" s="36"/>
      <c r="B179" s="187" t="s">
        <v>26</v>
      </c>
      <c r="C179" s="193"/>
      <c r="D179" s="189">
        <f t="shared" si="1"/>
        <v>0</v>
      </c>
    </row>
    <row r="180">
      <c r="A180" s="36"/>
      <c r="B180" s="187" t="s">
        <v>27</v>
      </c>
      <c r="C180" s="193"/>
      <c r="D180" s="189">
        <f t="shared" si="1"/>
        <v>0</v>
      </c>
    </row>
    <row r="181">
      <c r="A181" s="36"/>
      <c r="B181" s="187" t="s">
        <v>28</v>
      </c>
      <c r="C181" s="193"/>
      <c r="D181" s="189">
        <f t="shared" si="1"/>
        <v>0</v>
      </c>
    </row>
    <row r="182">
      <c r="A182" s="36"/>
      <c r="B182" s="194" t="s">
        <v>29</v>
      </c>
      <c r="C182" s="193"/>
      <c r="D182" s="189">
        <f t="shared" si="1"/>
        <v>0</v>
      </c>
    </row>
    <row r="183">
      <c r="A183" s="36"/>
      <c r="B183" s="195" t="s">
        <v>30</v>
      </c>
      <c r="C183" s="193"/>
      <c r="D183" s="189">
        <f t="shared" si="1"/>
        <v>0</v>
      </c>
    </row>
    <row r="184">
      <c r="A184" s="36"/>
      <c r="B184" s="196" t="s">
        <v>31</v>
      </c>
      <c r="C184" s="193"/>
      <c r="D184" s="189">
        <f t="shared" si="1"/>
        <v>0</v>
      </c>
    </row>
    <row r="185">
      <c r="A185" s="36"/>
      <c r="B185" s="196" t="s">
        <v>32</v>
      </c>
      <c r="C185" s="193"/>
      <c r="D185" s="189">
        <f t="shared" si="1"/>
        <v>0</v>
      </c>
    </row>
    <row r="186">
      <c r="A186" s="36"/>
      <c r="B186" s="196" t="s">
        <v>33</v>
      </c>
      <c r="C186" s="193"/>
      <c r="D186" s="189">
        <f t="shared" si="1"/>
        <v>0</v>
      </c>
    </row>
    <row r="187">
      <c r="A187" s="91"/>
      <c r="B187" s="196" t="s">
        <v>34</v>
      </c>
      <c r="C187" s="193"/>
      <c r="D187" s="189">
        <f t="shared" si="1"/>
        <v>0</v>
      </c>
    </row>
    <row r="188">
      <c r="A188" s="186">
        <v>46174.0</v>
      </c>
      <c r="B188" s="187" t="s">
        <v>4</v>
      </c>
      <c r="C188" s="188"/>
      <c r="D188" s="189">
        <f t="shared" si="1"/>
        <v>0</v>
      </c>
    </row>
    <row r="189">
      <c r="A189" s="36"/>
      <c r="B189" s="187" t="s">
        <v>5</v>
      </c>
      <c r="C189" s="188"/>
      <c r="D189" s="189">
        <f t="shared" si="1"/>
        <v>0</v>
      </c>
    </row>
    <row r="190">
      <c r="A190" s="36"/>
      <c r="B190" s="187" t="s">
        <v>6</v>
      </c>
      <c r="C190" s="188"/>
      <c r="D190" s="189">
        <f t="shared" si="1"/>
        <v>0</v>
      </c>
    </row>
    <row r="191">
      <c r="A191" s="36"/>
      <c r="B191" s="187" t="s">
        <v>22</v>
      </c>
      <c r="C191" s="188"/>
      <c r="D191" s="189">
        <f t="shared" si="1"/>
        <v>0</v>
      </c>
    </row>
    <row r="192">
      <c r="A192" s="36"/>
      <c r="B192" s="187" t="s">
        <v>7</v>
      </c>
      <c r="C192" s="188"/>
      <c r="D192" s="189">
        <f t="shared" si="1"/>
        <v>0</v>
      </c>
    </row>
    <row r="193">
      <c r="A193" s="36"/>
      <c r="B193" s="192" t="s">
        <v>8</v>
      </c>
      <c r="C193" s="188"/>
      <c r="D193" s="189">
        <f t="shared" si="1"/>
        <v>0</v>
      </c>
    </row>
    <row r="194">
      <c r="A194" s="36"/>
      <c r="B194" s="187" t="s">
        <v>9</v>
      </c>
      <c r="C194" s="188"/>
      <c r="D194" s="189">
        <f t="shared" si="1"/>
        <v>0</v>
      </c>
    </row>
    <row r="195">
      <c r="A195" s="36"/>
      <c r="B195" s="187" t="s">
        <v>10</v>
      </c>
      <c r="C195" s="188"/>
      <c r="D195" s="189">
        <f t="shared" si="1"/>
        <v>0</v>
      </c>
    </row>
    <row r="196">
      <c r="A196" s="36"/>
      <c r="B196" s="187" t="s">
        <v>11</v>
      </c>
      <c r="C196" s="188"/>
      <c r="D196" s="189">
        <f t="shared" si="1"/>
        <v>0</v>
      </c>
    </row>
    <row r="197">
      <c r="A197" s="36"/>
      <c r="B197" s="192" t="s">
        <v>12</v>
      </c>
      <c r="C197" s="188"/>
      <c r="D197" s="189">
        <f t="shared" si="1"/>
        <v>0</v>
      </c>
    </row>
    <row r="198">
      <c r="A198" s="36"/>
      <c r="B198" s="192" t="s">
        <v>13</v>
      </c>
      <c r="C198" s="188"/>
      <c r="D198" s="189">
        <f t="shared" si="1"/>
        <v>0</v>
      </c>
    </row>
    <row r="199">
      <c r="A199" s="36"/>
      <c r="B199" s="192" t="s">
        <v>14</v>
      </c>
      <c r="C199" s="188"/>
      <c r="D199" s="189">
        <f t="shared" si="1"/>
        <v>0</v>
      </c>
    </row>
    <row r="200">
      <c r="A200" s="36"/>
      <c r="B200" s="192" t="s">
        <v>15</v>
      </c>
      <c r="C200" s="188"/>
      <c r="D200" s="189">
        <f t="shared" si="1"/>
        <v>0</v>
      </c>
    </row>
    <row r="201">
      <c r="A201" s="36"/>
      <c r="B201" s="192" t="s">
        <v>16</v>
      </c>
      <c r="C201" s="188"/>
      <c r="D201" s="189">
        <f t="shared" si="1"/>
        <v>0</v>
      </c>
    </row>
    <row r="202">
      <c r="A202" s="36"/>
      <c r="B202" s="192" t="s">
        <v>17</v>
      </c>
      <c r="C202" s="188"/>
      <c r="D202" s="189">
        <f t="shared" si="1"/>
        <v>0</v>
      </c>
    </row>
    <row r="203">
      <c r="A203" s="36"/>
      <c r="B203" s="187" t="s">
        <v>18</v>
      </c>
      <c r="C203" s="188"/>
      <c r="D203" s="189">
        <f t="shared" si="1"/>
        <v>0</v>
      </c>
    </row>
    <row r="204">
      <c r="A204" s="36"/>
      <c r="B204" s="187" t="s">
        <v>19</v>
      </c>
      <c r="C204" s="188"/>
      <c r="D204" s="189">
        <f t="shared" si="1"/>
        <v>0</v>
      </c>
    </row>
    <row r="205">
      <c r="A205" s="36"/>
      <c r="B205" s="187" t="s">
        <v>20</v>
      </c>
      <c r="C205" s="188"/>
      <c r="D205" s="189">
        <f t="shared" si="1"/>
        <v>0</v>
      </c>
    </row>
    <row r="206">
      <c r="A206" s="36"/>
      <c r="B206" s="187" t="s">
        <v>21</v>
      </c>
      <c r="C206" s="188"/>
      <c r="D206" s="189">
        <f t="shared" si="1"/>
        <v>0</v>
      </c>
    </row>
    <row r="207">
      <c r="A207" s="36"/>
      <c r="B207" s="187" t="s">
        <v>23</v>
      </c>
      <c r="C207" s="188"/>
      <c r="D207" s="189">
        <f t="shared" si="1"/>
        <v>0</v>
      </c>
    </row>
    <row r="208">
      <c r="A208" s="36"/>
      <c r="B208" s="187" t="s">
        <v>24</v>
      </c>
      <c r="C208" s="188"/>
      <c r="D208" s="189">
        <f t="shared" si="1"/>
        <v>0</v>
      </c>
    </row>
    <row r="209">
      <c r="A209" s="36"/>
      <c r="B209" s="187" t="s">
        <v>25</v>
      </c>
      <c r="C209" s="193"/>
      <c r="D209" s="189">
        <f t="shared" si="1"/>
        <v>0</v>
      </c>
    </row>
    <row r="210">
      <c r="A210" s="36"/>
      <c r="B210" s="187" t="s">
        <v>26</v>
      </c>
      <c r="C210" s="193"/>
      <c r="D210" s="189">
        <f t="shared" si="1"/>
        <v>0</v>
      </c>
    </row>
    <row r="211">
      <c r="A211" s="36"/>
      <c r="B211" s="187" t="s">
        <v>27</v>
      </c>
      <c r="C211" s="193"/>
      <c r="D211" s="189">
        <f t="shared" si="1"/>
        <v>0</v>
      </c>
    </row>
    <row r="212">
      <c r="A212" s="36"/>
      <c r="B212" s="187" t="s">
        <v>28</v>
      </c>
      <c r="C212" s="193"/>
      <c r="D212" s="189">
        <f t="shared" si="1"/>
        <v>0</v>
      </c>
    </row>
    <row r="213">
      <c r="A213" s="36"/>
      <c r="B213" s="194" t="s">
        <v>29</v>
      </c>
      <c r="C213" s="193"/>
      <c r="D213" s="189">
        <f t="shared" si="1"/>
        <v>0</v>
      </c>
    </row>
    <row r="214">
      <c r="A214" s="36"/>
      <c r="B214" s="195" t="s">
        <v>30</v>
      </c>
      <c r="C214" s="193"/>
      <c r="D214" s="189">
        <f t="shared" si="1"/>
        <v>0</v>
      </c>
    </row>
    <row r="215">
      <c r="A215" s="36"/>
      <c r="B215" s="196" t="s">
        <v>31</v>
      </c>
      <c r="C215" s="193"/>
      <c r="D215" s="189">
        <f t="shared" si="1"/>
        <v>0</v>
      </c>
    </row>
    <row r="216">
      <c r="A216" s="36"/>
      <c r="B216" s="196" t="s">
        <v>32</v>
      </c>
      <c r="C216" s="193"/>
      <c r="D216" s="189">
        <f t="shared" si="1"/>
        <v>0</v>
      </c>
    </row>
    <row r="217">
      <c r="A217" s="36"/>
      <c r="B217" s="196" t="s">
        <v>33</v>
      </c>
      <c r="C217" s="193"/>
      <c r="D217" s="189">
        <f t="shared" si="1"/>
        <v>0</v>
      </c>
    </row>
    <row r="218">
      <c r="A218" s="91"/>
      <c r="B218" s="196" t="s">
        <v>34</v>
      </c>
      <c r="C218" s="193"/>
      <c r="D218" s="189">
        <f t="shared" si="1"/>
        <v>0</v>
      </c>
    </row>
    <row r="219">
      <c r="A219" s="186">
        <v>46175.0</v>
      </c>
      <c r="B219" s="187" t="s">
        <v>4</v>
      </c>
      <c r="C219" s="188"/>
      <c r="D219" s="189">
        <f t="shared" si="1"/>
        <v>0</v>
      </c>
    </row>
    <row r="220">
      <c r="A220" s="36"/>
      <c r="B220" s="187" t="s">
        <v>5</v>
      </c>
      <c r="C220" s="188"/>
      <c r="D220" s="189">
        <f t="shared" si="1"/>
        <v>0</v>
      </c>
    </row>
    <row r="221">
      <c r="A221" s="36"/>
      <c r="B221" s="187" t="s">
        <v>6</v>
      </c>
      <c r="C221" s="188"/>
      <c r="D221" s="189">
        <f t="shared" si="1"/>
        <v>0</v>
      </c>
    </row>
    <row r="222">
      <c r="A222" s="36"/>
      <c r="B222" s="187" t="s">
        <v>22</v>
      </c>
      <c r="C222" s="188"/>
      <c r="D222" s="189">
        <f t="shared" si="1"/>
        <v>0</v>
      </c>
    </row>
    <row r="223">
      <c r="A223" s="36"/>
      <c r="B223" s="187" t="s">
        <v>7</v>
      </c>
      <c r="C223" s="188"/>
      <c r="D223" s="189">
        <f t="shared" si="1"/>
        <v>0</v>
      </c>
    </row>
    <row r="224">
      <c r="A224" s="36"/>
      <c r="B224" s="192" t="s">
        <v>8</v>
      </c>
      <c r="C224" s="188"/>
      <c r="D224" s="189">
        <f t="shared" si="1"/>
        <v>0</v>
      </c>
    </row>
    <row r="225">
      <c r="A225" s="36"/>
      <c r="B225" s="187" t="s">
        <v>9</v>
      </c>
      <c r="C225" s="188"/>
      <c r="D225" s="189">
        <f t="shared" si="1"/>
        <v>0</v>
      </c>
    </row>
    <row r="226">
      <c r="A226" s="36"/>
      <c r="B226" s="187" t="s">
        <v>10</v>
      </c>
      <c r="C226" s="188"/>
      <c r="D226" s="189">
        <f t="shared" si="1"/>
        <v>0</v>
      </c>
    </row>
    <row r="227">
      <c r="A227" s="36"/>
      <c r="B227" s="187" t="s">
        <v>11</v>
      </c>
      <c r="C227" s="188"/>
      <c r="D227" s="189">
        <f t="shared" si="1"/>
        <v>0</v>
      </c>
    </row>
    <row r="228">
      <c r="A228" s="36"/>
      <c r="B228" s="192" t="s">
        <v>12</v>
      </c>
      <c r="C228" s="188"/>
      <c r="D228" s="189">
        <f t="shared" si="1"/>
        <v>0</v>
      </c>
    </row>
    <row r="229">
      <c r="A229" s="36"/>
      <c r="B229" s="192" t="s">
        <v>13</v>
      </c>
      <c r="C229" s="188"/>
      <c r="D229" s="189">
        <f t="shared" si="1"/>
        <v>0</v>
      </c>
    </row>
    <row r="230">
      <c r="A230" s="36"/>
      <c r="B230" s="192" t="s">
        <v>14</v>
      </c>
      <c r="C230" s="188"/>
      <c r="D230" s="189">
        <f t="shared" si="1"/>
        <v>0</v>
      </c>
    </row>
    <row r="231">
      <c r="A231" s="36"/>
      <c r="B231" s="192" t="s">
        <v>15</v>
      </c>
      <c r="C231" s="188"/>
      <c r="D231" s="189">
        <f t="shared" si="1"/>
        <v>0</v>
      </c>
    </row>
    <row r="232">
      <c r="A232" s="36"/>
      <c r="B232" s="192" t="s">
        <v>16</v>
      </c>
      <c r="C232" s="188"/>
      <c r="D232" s="189">
        <f t="shared" si="1"/>
        <v>0</v>
      </c>
    </row>
    <row r="233">
      <c r="A233" s="36"/>
      <c r="B233" s="192" t="s">
        <v>17</v>
      </c>
      <c r="C233" s="188"/>
      <c r="D233" s="189">
        <f t="shared" si="1"/>
        <v>0</v>
      </c>
    </row>
    <row r="234">
      <c r="A234" s="36"/>
      <c r="B234" s="187" t="s">
        <v>18</v>
      </c>
      <c r="C234" s="188"/>
      <c r="D234" s="189">
        <f t="shared" si="1"/>
        <v>0</v>
      </c>
    </row>
    <row r="235">
      <c r="A235" s="36"/>
      <c r="B235" s="187" t="s">
        <v>19</v>
      </c>
      <c r="C235" s="188"/>
      <c r="D235" s="189">
        <f t="shared" si="1"/>
        <v>0</v>
      </c>
    </row>
    <row r="236">
      <c r="A236" s="36"/>
      <c r="B236" s="187" t="s">
        <v>20</v>
      </c>
      <c r="C236" s="188"/>
      <c r="D236" s="189">
        <f t="shared" si="1"/>
        <v>0</v>
      </c>
    </row>
    <row r="237">
      <c r="A237" s="36"/>
      <c r="B237" s="187" t="s">
        <v>21</v>
      </c>
      <c r="C237" s="188"/>
      <c r="D237" s="189">
        <f t="shared" si="1"/>
        <v>0</v>
      </c>
    </row>
    <row r="238">
      <c r="A238" s="36"/>
      <c r="B238" s="187" t="s">
        <v>23</v>
      </c>
      <c r="C238" s="188"/>
      <c r="D238" s="189">
        <f t="shared" si="1"/>
        <v>0</v>
      </c>
    </row>
    <row r="239">
      <c r="A239" s="36"/>
      <c r="B239" s="187" t="s">
        <v>24</v>
      </c>
      <c r="C239" s="188"/>
      <c r="D239" s="189">
        <f t="shared" si="1"/>
        <v>0</v>
      </c>
    </row>
    <row r="240">
      <c r="A240" s="36"/>
      <c r="B240" s="187" t="s">
        <v>25</v>
      </c>
      <c r="C240" s="193"/>
      <c r="D240" s="189">
        <f t="shared" si="1"/>
        <v>0</v>
      </c>
    </row>
    <row r="241">
      <c r="A241" s="36"/>
      <c r="B241" s="187" t="s">
        <v>26</v>
      </c>
      <c r="C241" s="193"/>
      <c r="D241" s="189">
        <f t="shared" si="1"/>
        <v>0</v>
      </c>
    </row>
    <row r="242">
      <c r="A242" s="36"/>
      <c r="B242" s="187" t="s">
        <v>27</v>
      </c>
      <c r="C242" s="193"/>
      <c r="D242" s="189">
        <f t="shared" si="1"/>
        <v>0</v>
      </c>
    </row>
    <row r="243">
      <c r="A243" s="36"/>
      <c r="B243" s="187" t="s">
        <v>28</v>
      </c>
      <c r="C243" s="193"/>
      <c r="D243" s="189">
        <f t="shared" si="1"/>
        <v>0</v>
      </c>
    </row>
    <row r="244">
      <c r="A244" s="36"/>
      <c r="B244" s="194" t="s">
        <v>29</v>
      </c>
      <c r="C244" s="193"/>
      <c r="D244" s="189">
        <f t="shared" si="1"/>
        <v>0</v>
      </c>
    </row>
    <row r="245">
      <c r="A245" s="36"/>
      <c r="B245" s="195" t="s">
        <v>30</v>
      </c>
      <c r="C245" s="193"/>
      <c r="D245" s="189">
        <f t="shared" si="1"/>
        <v>0</v>
      </c>
    </row>
    <row r="246">
      <c r="A246" s="36"/>
      <c r="B246" s="196" t="s">
        <v>31</v>
      </c>
      <c r="C246" s="193"/>
      <c r="D246" s="189">
        <f t="shared" si="1"/>
        <v>0</v>
      </c>
    </row>
    <row r="247">
      <c r="A247" s="36"/>
      <c r="B247" s="196" t="s">
        <v>32</v>
      </c>
      <c r="C247" s="193"/>
      <c r="D247" s="189">
        <f t="shared" si="1"/>
        <v>0</v>
      </c>
    </row>
    <row r="248">
      <c r="A248" s="36"/>
      <c r="B248" s="196" t="s">
        <v>33</v>
      </c>
      <c r="C248" s="193"/>
      <c r="D248" s="189">
        <f t="shared" si="1"/>
        <v>0</v>
      </c>
    </row>
    <row r="249">
      <c r="A249" s="91"/>
      <c r="B249" s="196" t="s">
        <v>34</v>
      </c>
      <c r="C249" s="193"/>
      <c r="D249" s="189">
        <f t="shared" si="1"/>
        <v>0</v>
      </c>
    </row>
    <row r="250">
      <c r="A250" s="186">
        <v>46176.0</v>
      </c>
      <c r="B250" s="187" t="s">
        <v>4</v>
      </c>
      <c r="C250" s="188"/>
      <c r="D250" s="189">
        <f t="shared" si="1"/>
        <v>0</v>
      </c>
    </row>
    <row r="251">
      <c r="A251" s="36"/>
      <c r="B251" s="187" t="s">
        <v>5</v>
      </c>
      <c r="C251" s="188"/>
      <c r="D251" s="189">
        <f t="shared" si="1"/>
        <v>0</v>
      </c>
    </row>
    <row r="252">
      <c r="A252" s="36"/>
      <c r="B252" s="187" t="s">
        <v>6</v>
      </c>
      <c r="C252" s="188"/>
      <c r="D252" s="189">
        <f t="shared" si="1"/>
        <v>0</v>
      </c>
    </row>
    <row r="253">
      <c r="A253" s="36"/>
      <c r="B253" s="187" t="s">
        <v>22</v>
      </c>
      <c r="C253" s="188"/>
      <c r="D253" s="189">
        <f t="shared" si="1"/>
        <v>0</v>
      </c>
    </row>
    <row r="254">
      <c r="A254" s="36"/>
      <c r="B254" s="187" t="s">
        <v>7</v>
      </c>
      <c r="C254" s="188"/>
      <c r="D254" s="189">
        <f t="shared" si="1"/>
        <v>0</v>
      </c>
    </row>
    <row r="255">
      <c r="A255" s="36"/>
      <c r="B255" s="192" t="s">
        <v>8</v>
      </c>
      <c r="C255" s="188"/>
      <c r="D255" s="189">
        <f t="shared" si="1"/>
        <v>0</v>
      </c>
    </row>
    <row r="256">
      <c r="A256" s="36"/>
      <c r="B256" s="187" t="s">
        <v>9</v>
      </c>
      <c r="C256" s="188"/>
      <c r="D256" s="189">
        <f t="shared" si="1"/>
        <v>0</v>
      </c>
    </row>
    <row r="257">
      <c r="A257" s="36"/>
      <c r="B257" s="187" t="s">
        <v>10</v>
      </c>
      <c r="C257" s="188"/>
      <c r="D257" s="189">
        <f t="shared" si="1"/>
        <v>0</v>
      </c>
    </row>
    <row r="258">
      <c r="A258" s="36"/>
      <c r="B258" s="187" t="s">
        <v>11</v>
      </c>
      <c r="C258" s="188"/>
      <c r="D258" s="189">
        <f t="shared" si="1"/>
        <v>0</v>
      </c>
    </row>
    <row r="259">
      <c r="A259" s="36"/>
      <c r="B259" s="192" t="s">
        <v>12</v>
      </c>
      <c r="C259" s="188"/>
      <c r="D259" s="189">
        <f t="shared" si="1"/>
        <v>0</v>
      </c>
    </row>
    <row r="260">
      <c r="A260" s="36"/>
      <c r="B260" s="192" t="s">
        <v>13</v>
      </c>
      <c r="C260" s="188"/>
      <c r="D260" s="189">
        <f t="shared" si="1"/>
        <v>0</v>
      </c>
    </row>
    <row r="261">
      <c r="A261" s="36"/>
      <c r="B261" s="192" t="s">
        <v>14</v>
      </c>
      <c r="C261" s="188"/>
      <c r="D261" s="189">
        <f t="shared" si="1"/>
        <v>0</v>
      </c>
    </row>
    <row r="262">
      <c r="A262" s="36"/>
      <c r="B262" s="192" t="s">
        <v>15</v>
      </c>
      <c r="C262" s="188"/>
      <c r="D262" s="189">
        <f t="shared" si="1"/>
        <v>0</v>
      </c>
    </row>
    <row r="263">
      <c r="A263" s="36"/>
      <c r="B263" s="192" t="s">
        <v>16</v>
      </c>
      <c r="C263" s="188"/>
      <c r="D263" s="189">
        <f t="shared" si="1"/>
        <v>0</v>
      </c>
    </row>
    <row r="264">
      <c r="A264" s="36"/>
      <c r="B264" s="192" t="s">
        <v>17</v>
      </c>
      <c r="C264" s="188"/>
      <c r="D264" s="189">
        <f t="shared" si="1"/>
        <v>0</v>
      </c>
    </row>
    <row r="265">
      <c r="A265" s="36"/>
      <c r="B265" s="187" t="s">
        <v>18</v>
      </c>
      <c r="C265" s="188"/>
      <c r="D265" s="189">
        <f t="shared" si="1"/>
        <v>0</v>
      </c>
    </row>
    <row r="266">
      <c r="A266" s="36"/>
      <c r="B266" s="187" t="s">
        <v>19</v>
      </c>
      <c r="C266" s="188"/>
      <c r="D266" s="189">
        <f t="shared" si="1"/>
        <v>0</v>
      </c>
    </row>
    <row r="267">
      <c r="A267" s="36"/>
      <c r="B267" s="187" t="s">
        <v>20</v>
      </c>
      <c r="C267" s="188"/>
      <c r="D267" s="189">
        <f t="shared" si="1"/>
        <v>0</v>
      </c>
    </row>
    <row r="268">
      <c r="A268" s="36"/>
      <c r="B268" s="187" t="s">
        <v>21</v>
      </c>
      <c r="C268" s="188"/>
      <c r="D268" s="189">
        <f t="shared" si="1"/>
        <v>0</v>
      </c>
    </row>
    <row r="269">
      <c r="A269" s="36"/>
      <c r="B269" s="187" t="s">
        <v>23</v>
      </c>
      <c r="C269" s="188"/>
      <c r="D269" s="189">
        <f t="shared" si="1"/>
        <v>0</v>
      </c>
    </row>
    <row r="270">
      <c r="A270" s="36"/>
      <c r="B270" s="187" t="s">
        <v>24</v>
      </c>
      <c r="C270" s="188"/>
      <c r="D270" s="189">
        <f t="shared" si="1"/>
        <v>0</v>
      </c>
    </row>
    <row r="271">
      <c r="A271" s="36"/>
      <c r="B271" s="187" t="s">
        <v>25</v>
      </c>
      <c r="C271" s="193"/>
      <c r="D271" s="189">
        <f t="shared" si="1"/>
        <v>0</v>
      </c>
    </row>
    <row r="272">
      <c r="A272" s="36"/>
      <c r="B272" s="187" t="s">
        <v>26</v>
      </c>
      <c r="C272" s="193"/>
      <c r="D272" s="189">
        <f t="shared" si="1"/>
        <v>0</v>
      </c>
    </row>
    <row r="273">
      <c r="A273" s="36"/>
      <c r="B273" s="187" t="s">
        <v>27</v>
      </c>
      <c r="C273" s="193"/>
      <c r="D273" s="189">
        <f t="shared" si="1"/>
        <v>0</v>
      </c>
    </row>
    <row r="274">
      <c r="A274" s="36"/>
      <c r="B274" s="187" t="s">
        <v>28</v>
      </c>
      <c r="C274" s="193"/>
      <c r="D274" s="189">
        <f t="shared" si="1"/>
        <v>0</v>
      </c>
    </row>
    <row r="275">
      <c r="A275" s="36"/>
      <c r="B275" s="194" t="s">
        <v>29</v>
      </c>
      <c r="C275" s="193"/>
      <c r="D275" s="189">
        <f t="shared" si="1"/>
        <v>0</v>
      </c>
    </row>
    <row r="276">
      <c r="A276" s="36"/>
      <c r="B276" s="195" t="s">
        <v>30</v>
      </c>
      <c r="C276" s="193"/>
      <c r="D276" s="189">
        <f t="shared" si="1"/>
        <v>0</v>
      </c>
    </row>
    <row r="277">
      <c r="A277" s="36"/>
      <c r="B277" s="196" t="s">
        <v>31</v>
      </c>
      <c r="C277" s="193"/>
      <c r="D277" s="189">
        <f t="shared" si="1"/>
        <v>0</v>
      </c>
    </row>
    <row r="278">
      <c r="A278" s="36"/>
      <c r="B278" s="196" t="s">
        <v>32</v>
      </c>
      <c r="C278" s="193"/>
      <c r="D278" s="189">
        <f t="shared" si="1"/>
        <v>0</v>
      </c>
    </row>
    <row r="279">
      <c r="A279" s="36"/>
      <c r="B279" s="196" t="s">
        <v>33</v>
      </c>
      <c r="C279" s="193"/>
      <c r="D279" s="189">
        <f t="shared" si="1"/>
        <v>0</v>
      </c>
    </row>
    <row r="280">
      <c r="A280" s="91"/>
      <c r="B280" s="196" t="s">
        <v>34</v>
      </c>
      <c r="C280" s="193"/>
      <c r="D280" s="189">
        <f t="shared" si="1"/>
        <v>0</v>
      </c>
    </row>
    <row r="281">
      <c r="A281" s="186">
        <v>46177.0</v>
      </c>
      <c r="B281" s="187" t="s">
        <v>4</v>
      </c>
      <c r="C281" s="188"/>
      <c r="D281" s="189">
        <f t="shared" si="1"/>
        <v>0</v>
      </c>
    </row>
    <row r="282">
      <c r="A282" s="36"/>
      <c r="B282" s="187" t="s">
        <v>5</v>
      </c>
      <c r="C282" s="188"/>
      <c r="D282" s="189">
        <f t="shared" si="1"/>
        <v>0</v>
      </c>
    </row>
    <row r="283">
      <c r="A283" s="36"/>
      <c r="B283" s="187" t="s">
        <v>6</v>
      </c>
      <c r="C283" s="188"/>
      <c r="D283" s="189">
        <f t="shared" si="1"/>
        <v>0</v>
      </c>
    </row>
    <row r="284">
      <c r="A284" s="36"/>
      <c r="B284" s="187" t="s">
        <v>22</v>
      </c>
      <c r="C284" s="188"/>
      <c r="D284" s="189">
        <f t="shared" si="1"/>
        <v>0</v>
      </c>
    </row>
    <row r="285">
      <c r="A285" s="36"/>
      <c r="B285" s="187" t="s">
        <v>7</v>
      </c>
      <c r="C285" s="188"/>
      <c r="D285" s="189">
        <f t="shared" si="1"/>
        <v>0</v>
      </c>
    </row>
    <row r="286">
      <c r="A286" s="36"/>
      <c r="B286" s="192" t="s">
        <v>8</v>
      </c>
      <c r="C286" s="188"/>
      <c r="D286" s="189">
        <f t="shared" si="1"/>
        <v>0</v>
      </c>
    </row>
    <row r="287">
      <c r="A287" s="36"/>
      <c r="B287" s="187" t="s">
        <v>9</v>
      </c>
      <c r="C287" s="188"/>
      <c r="D287" s="189">
        <f t="shared" si="1"/>
        <v>0</v>
      </c>
    </row>
    <row r="288">
      <c r="A288" s="36"/>
      <c r="B288" s="187" t="s">
        <v>10</v>
      </c>
      <c r="C288" s="188"/>
      <c r="D288" s="189">
        <f t="shared" si="1"/>
        <v>0</v>
      </c>
    </row>
    <row r="289">
      <c r="A289" s="36"/>
      <c r="B289" s="187" t="s">
        <v>11</v>
      </c>
      <c r="C289" s="188"/>
      <c r="D289" s="189">
        <f t="shared" si="1"/>
        <v>0</v>
      </c>
    </row>
    <row r="290">
      <c r="A290" s="36"/>
      <c r="B290" s="192" t="s">
        <v>12</v>
      </c>
      <c r="C290" s="188"/>
      <c r="D290" s="189">
        <f t="shared" si="1"/>
        <v>0</v>
      </c>
    </row>
    <row r="291">
      <c r="A291" s="36"/>
      <c r="B291" s="192" t="s">
        <v>13</v>
      </c>
      <c r="C291" s="188"/>
      <c r="D291" s="189">
        <f t="shared" si="1"/>
        <v>0</v>
      </c>
    </row>
    <row r="292">
      <c r="A292" s="36"/>
      <c r="B292" s="192" t="s">
        <v>14</v>
      </c>
      <c r="C292" s="188"/>
      <c r="D292" s="189">
        <f t="shared" si="1"/>
        <v>0</v>
      </c>
    </row>
    <row r="293">
      <c r="A293" s="36"/>
      <c r="B293" s="192" t="s">
        <v>15</v>
      </c>
      <c r="C293" s="188"/>
      <c r="D293" s="189">
        <f t="shared" si="1"/>
        <v>0</v>
      </c>
    </row>
    <row r="294">
      <c r="A294" s="36"/>
      <c r="B294" s="192" t="s">
        <v>16</v>
      </c>
      <c r="C294" s="188"/>
      <c r="D294" s="189">
        <f t="shared" si="1"/>
        <v>0</v>
      </c>
    </row>
    <row r="295">
      <c r="A295" s="36"/>
      <c r="B295" s="192" t="s">
        <v>17</v>
      </c>
      <c r="C295" s="188"/>
      <c r="D295" s="189">
        <f t="shared" si="1"/>
        <v>0</v>
      </c>
    </row>
    <row r="296">
      <c r="A296" s="36"/>
      <c r="B296" s="187" t="s">
        <v>18</v>
      </c>
      <c r="C296" s="188"/>
      <c r="D296" s="189">
        <f t="shared" si="1"/>
        <v>0</v>
      </c>
    </row>
    <row r="297">
      <c r="A297" s="36"/>
      <c r="B297" s="187" t="s">
        <v>19</v>
      </c>
      <c r="C297" s="188"/>
      <c r="D297" s="189">
        <f t="shared" si="1"/>
        <v>0</v>
      </c>
    </row>
    <row r="298">
      <c r="A298" s="36"/>
      <c r="B298" s="187" t="s">
        <v>20</v>
      </c>
      <c r="C298" s="188"/>
      <c r="D298" s="189">
        <f t="shared" si="1"/>
        <v>0</v>
      </c>
    </row>
    <row r="299">
      <c r="A299" s="36"/>
      <c r="B299" s="187" t="s">
        <v>21</v>
      </c>
      <c r="C299" s="188"/>
      <c r="D299" s="189">
        <f t="shared" si="1"/>
        <v>0</v>
      </c>
    </row>
    <row r="300">
      <c r="A300" s="36"/>
      <c r="B300" s="187" t="s">
        <v>23</v>
      </c>
      <c r="C300" s="188"/>
      <c r="D300" s="189">
        <f t="shared" si="1"/>
        <v>0</v>
      </c>
    </row>
    <row r="301">
      <c r="A301" s="36"/>
      <c r="B301" s="187" t="s">
        <v>24</v>
      </c>
      <c r="C301" s="188"/>
      <c r="D301" s="189">
        <f t="shared" si="1"/>
        <v>0</v>
      </c>
    </row>
    <row r="302">
      <c r="A302" s="36"/>
      <c r="B302" s="187" t="s">
        <v>25</v>
      </c>
      <c r="C302" s="193"/>
      <c r="D302" s="189">
        <f t="shared" si="1"/>
        <v>0</v>
      </c>
    </row>
    <row r="303">
      <c r="A303" s="36"/>
      <c r="B303" s="187" t="s">
        <v>26</v>
      </c>
      <c r="C303" s="193"/>
      <c r="D303" s="189">
        <f t="shared" si="1"/>
        <v>0</v>
      </c>
    </row>
    <row r="304">
      <c r="A304" s="36"/>
      <c r="B304" s="187" t="s">
        <v>27</v>
      </c>
      <c r="C304" s="193"/>
      <c r="D304" s="189">
        <f t="shared" si="1"/>
        <v>0</v>
      </c>
    </row>
    <row r="305">
      <c r="A305" s="36"/>
      <c r="B305" s="187" t="s">
        <v>28</v>
      </c>
      <c r="C305" s="193"/>
      <c r="D305" s="189">
        <f t="shared" si="1"/>
        <v>0</v>
      </c>
    </row>
    <row r="306">
      <c r="A306" s="36"/>
      <c r="B306" s="194" t="s">
        <v>29</v>
      </c>
      <c r="C306" s="193"/>
      <c r="D306" s="189">
        <f t="shared" si="1"/>
        <v>0</v>
      </c>
    </row>
    <row r="307">
      <c r="A307" s="36"/>
      <c r="B307" s="195" t="s">
        <v>30</v>
      </c>
      <c r="C307" s="193"/>
      <c r="D307" s="189">
        <f t="shared" si="1"/>
        <v>0</v>
      </c>
    </row>
    <row r="308">
      <c r="A308" s="36"/>
      <c r="B308" s="196" t="s">
        <v>31</v>
      </c>
      <c r="C308" s="193"/>
      <c r="D308" s="189">
        <f t="shared" si="1"/>
        <v>0</v>
      </c>
    </row>
    <row r="309">
      <c r="A309" s="36"/>
      <c r="B309" s="196" t="s">
        <v>32</v>
      </c>
      <c r="C309" s="193"/>
      <c r="D309" s="189">
        <f t="shared" si="1"/>
        <v>0</v>
      </c>
    </row>
    <row r="310">
      <c r="A310" s="36"/>
      <c r="B310" s="196" t="s">
        <v>33</v>
      </c>
      <c r="C310" s="193"/>
      <c r="D310" s="189">
        <f t="shared" si="1"/>
        <v>0</v>
      </c>
    </row>
    <row r="311">
      <c r="A311" s="91"/>
      <c r="B311" s="196" t="s">
        <v>34</v>
      </c>
      <c r="C311" s="193"/>
      <c r="D311" s="189">
        <f t="shared" si="1"/>
        <v>0</v>
      </c>
    </row>
    <row r="312">
      <c r="A312" s="186">
        <v>46178.0</v>
      </c>
      <c r="B312" s="187" t="s">
        <v>4</v>
      </c>
      <c r="C312" s="188"/>
      <c r="D312" s="189">
        <f t="shared" si="1"/>
        <v>0</v>
      </c>
    </row>
    <row r="313">
      <c r="A313" s="36"/>
      <c r="B313" s="187" t="s">
        <v>5</v>
      </c>
      <c r="C313" s="188"/>
      <c r="D313" s="189">
        <f t="shared" si="1"/>
        <v>0</v>
      </c>
    </row>
    <row r="314">
      <c r="A314" s="36"/>
      <c r="B314" s="187" t="s">
        <v>6</v>
      </c>
      <c r="C314" s="188"/>
      <c r="D314" s="189">
        <f t="shared" si="1"/>
        <v>0</v>
      </c>
    </row>
    <row r="315">
      <c r="A315" s="36"/>
      <c r="B315" s="187" t="s">
        <v>22</v>
      </c>
      <c r="C315" s="188"/>
      <c r="D315" s="189">
        <f t="shared" si="1"/>
        <v>0</v>
      </c>
    </row>
    <row r="316">
      <c r="A316" s="36"/>
      <c r="B316" s="187" t="s">
        <v>7</v>
      </c>
      <c r="C316" s="188"/>
      <c r="D316" s="189">
        <f t="shared" si="1"/>
        <v>0</v>
      </c>
    </row>
    <row r="317">
      <c r="A317" s="36"/>
      <c r="B317" s="192" t="s">
        <v>8</v>
      </c>
      <c r="C317" s="188"/>
      <c r="D317" s="189">
        <f t="shared" si="1"/>
        <v>0</v>
      </c>
    </row>
    <row r="318">
      <c r="A318" s="36"/>
      <c r="B318" s="187" t="s">
        <v>9</v>
      </c>
      <c r="C318" s="188"/>
      <c r="D318" s="189">
        <f t="shared" si="1"/>
        <v>0</v>
      </c>
    </row>
    <row r="319">
      <c r="A319" s="36"/>
      <c r="B319" s="187" t="s">
        <v>10</v>
      </c>
      <c r="C319" s="188"/>
      <c r="D319" s="189">
        <f t="shared" si="1"/>
        <v>0</v>
      </c>
    </row>
    <row r="320">
      <c r="A320" s="36"/>
      <c r="B320" s="187" t="s">
        <v>11</v>
      </c>
      <c r="C320" s="188"/>
      <c r="D320" s="189">
        <f t="shared" si="1"/>
        <v>0</v>
      </c>
    </row>
    <row r="321">
      <c r="A321" s="36"/>
      <c r="B321" s="192" t="s">
        <v>12</v>
      </c>
      <c r="C321" s="188"/>
      <c r="D321" s="189">
        <f t="shared" si="1"/>
        <v>0</v>
      </c>
    </row>
    <row r="322">
      <c r="A322" s="36"/>
      <c r="B322" s="192" t="s">
        <v>13</v>
      </c>
      <c r="C322" s="188"/>
      <c r="D322" s="189">
        <f t="shared" si="1"/>
        <v>0</v>
      </c>
    </row>
    <row r="323">
      <c r="A323" s="36"/>
      <c r="B323" s="192" t="s">
        <v>14</v>
      </c>
      <c r="C323" s="188"/>
      <c r="D323" s="189">
        <f t="shared" si="1"/>
        <v>0</v>
      </c>
    </row>
    <row r="324">
      <c r="A324" s="36"/>
      <c r="B324" s="192" t="s">
        <v>15</v>
      </c>
      <c r="C324" s="188"/>
      <c r="D324" s="189">
        <f t="shared" si="1"/>
        <v>0</v>
      </c>
    </row>
    <row r="325">
      <c r="A325" s="36"/>
      <c r="B325" s="192" t="s">
        <v>16</v>
      </c>
      <c r="C325" s="188"/>
      <c r="D325" s="189">
        <f t="shared" si="1"/>
        <v>0</v>
      </c>
    </row>
    <row r="326">
      <c r="A326" s="36"/>
      <c r="B326" s="192" t="s">
        <v>17</v>
      </c>
      <c r="C326" s="188"/>
      <c r="D326" s="189">
        <f t="shared" si="1"/>
        <v>0</v>
      </c>
    </row>
    <row r="327">
      <c r="A327" s="36"/>
      <c r="B327" s="187" t="s">
        <v>18</v>
      </c>
      <c r="C327" s="188"/>
      <c r="D327" s="189">
        <f t="shared" si="1"/>
        <v>0</v>
      </c>
    </row>
    <row r="328">
      <c r="A328" s="36"/>
      <c r="B328" s="187" t="s">
        <v>19</v>
      </c>
      <c r="C328" s="188"/>
      <c r="D328" s="189">
        <f t="shared" si="1"/>
        <v>0</v>
      </c>
    </row>
    <row r="329">
      <c r="A329" s="36"/>
      <c r="B329" s="187" t="s">
        <v>20</v>
      </c>
      <c r="C329" s="188"/>
      <c r="D329" s="189">
        <f t="shared" si="1"/>
        <v>0</v>
      </c>
    </row>
    <row r="330">
      <c r="A330" s="36"/>
      <c r="B330" s="187" t="s">
        <v>21</v>
      </c>
      <c r="C330" s="188"/>
      <c r="D330" s="189">
        <f t="shared" si="1"/>
        <v>0</v>
      </c>
    </row>
    <row r="331">
      <c r="A331" s="36"/>
      <c r="B331" s="187" t="s">
        <v>23</v>
      </c>
      <c r="C331" s="188"/>
      <c r="D331" s="189">
        <f t="shared" si="1"/>
        <v>0</v>
      </c>
    </row>
    <row r="332">
      <c r="A332" s="36"/>
      <c r="B332" s="187" t="s">
        <v>24</v>
      </c>
      <c r="C332" s="188"/>
      <c r="D332" s="189">
        <f t="shared" si="1"/>
        <v>0</v>
      </c>
    </row>
    <row r="333">
      <c r="A333" s="36"/>
      <c r="B333" s="187" t="s">
        <v>25</v>
      </c>
      <c r="C333" s="193"/>
      <c r="D333" s="189">
        <f t="shared" si="1"/>
        <v>0</v>
      </c>
    </row>
    <row r="334">
      <c r="A334" s="36"/>
      <c r="B334" s="187" t="s">
        <v>26</v>
      </c>
      <c r="C334" s="193"/>
      <c r="D334" s="189">
        <f t="shared" si="1"/>
        <v>0</v>
      </c>
    </row>
    <row r="335">
      <c r="A335" s="36"/>
      <c r="B335" s="187" t="s">
        <v>27</v>
      </c>
      <c r="C335" s="193"/>
      <c r="D335" s="189">
        <f t="shared" si="1"/>
        <v>0</v>
      </c>
    </row>
    <row r="336">
      <c r="A336" s="36"/>
      <c r="B336" s="187" t="s">
        <v>28</v>
      </c>
      <c r="C336" s="193"/>
      <c r="D336" s="189">
        <f t="shared" si="1"/>
        <v>0</v>
      </c>
    </row>
    <row r="337">
      <c r="A337" s="36"/>
      <c r="B337" s="194" t="s">
        <v>29</v>
      </c>
      <c r="C337" s="193"/>
      <c r="D337" s="189">
        <f t="shared" si="1"/>
        <v>0</v>
      </c>
    </row>
    <row r="338">
      <c r="A338" s="36"/>
      <c r="B338" s="195" t="s">
        <v>30</v>
      </c>
      <c r="C338" s="193"/>
      <c r="D338" s="189">
        <f t="shared" si="1"/>
        <v>0</v>
      </c>
    </row>
    <row r="339">
      <c r="A339" s="36"/>
      <c r="B339" s="196" t="s">
        <v>31</v>
      </c>
      <c r="C339" s="193"/>
      <c r="D339" s="189">
        <f t="shared" si="1"/>
        <v>0</v>
      </c>
    </row>
    <row r="340">
      <c r="A340" s="36"/>
      <c r="B340" s="196" t="s">
        <v>32</v>
      </c>
      <c r="C340" s="193"/>
      <c r="D340" s="189">
        <f t="shared" si="1"/>
        <v>0</v>
      </c>
    </row>
    <row r="341">
      <c r="A341" s="36"/>
      <c r="B341" s="196" t="s">
        <v>33</v>
      </c>
      <c r="C341" s="193"/>
      <c r="D341" s="189">
        <f t="shared" si="1"/>
        <v>0</v>
      </c>
    </row>
    <row r="342">
      <c r="A342" s="91"/>
      <c r="B342" s="196" t="s">
        <v>34</v>
      </c>
      <c r="C342" s="193"/>
      <c r="D342" s="189">
        <f t="shared" si="1"/>
        <v>0</v>
      </c>
    </row>
    <row r="343">
      <c r="A343" s="186">
        <v>46179.0</v>
      </c>
      <c r="B343" s="187" t="s">
        <v>4</v>
      </c>
      <c r="C343" s="188"/>
      <c r="D343" s="189">
        <f t="shared" si="1"/>
        <v>0</v>
      </c>
    </row>
    <row r="344">
      <c r="A344" s="36"/>
      <c r="B344" s="187" t="s">
        <v>5</v>
      </c>
      <c r="C344" s="188"/>
      <c r="D344" s="189">
        <f t="shared" si="1"/>
        <v>0</v>
      </c>
    </row>
    <row r="345">
      <c r="A345" s="36"/>
      <c r="B345" s="187" t="s">
        <v>6</v>
      </c>
      <c r="C345" s="188"/>
      <c r="D345" s="189">
        <f t="shared" si="1"/>
        <v>0</v>
      </c>
    </row>
    <row r="346">
      <c r="A346" s="36"/>
      <c r="B346" s="187" t="s">
        <v>22</v>
      </c>
      <c r="C346" s="188"/>
      <c r="D346" s="189">
        <f t="shared" si="1"/>
        <v>0</v>
      </c>
    </row>
    <row r="347">
      <c r="A347" s="36"/>
      <c r="B347" s="187" t="s">
        <v>7</v>
      </c>
      <c r="C347" s="188"/>
      <c r="D347" s="189">
        <f t="shared" si="1"/>
        <v>0</v>
      </c>
    </row>
    <row r="348">
      <c r="A348" s="36"/>
      <c r="B348" s="192" t="s">
        <v>8</v>
      </c>
      <c r="C348" s="188"/>
      <c r="D348" s="189">
        <f t="shared" si="1"/>
        <v>0</v>
      </c>
    </row>
    <row r="349">
      <c r="A349" s="36"/>
      <c r="B349" s="187" t="s">
        <v>9</v>
      </c>
      <c r="C349" s="188"/>
      <c r="D349" s="189">
        <f t="shared" si="1"/>
        <v>0</v>
      </c>
    </row>
    <row r="350">
      <c r="A350" s="36"/>
      <c r="B350" s="187" t="s">
        <v>10</v>
      </c>
      <c r="C350" s="188"/>
      <c r="D350" s="189">
        <f t="shared" si="1"/>
        <v>0</v>
      </c>
    </row>
    <row r="351">
      <c r="A351" s="36"/>
      <c r="B351" s="187" t="s">
        <v>11</v>
      </c>
      <c r="C351" s="188"/>
      <c r="D351" s="189">
        <f t="shared" si="1"/>
        <v>0</v>
      </c>
    </row>
    <row r="352">
      <c r="A352" s="36"/>
      <c r="B352" s="192" t="s">
        <v>12</v>
      </c>
      <c r="C352" s="188"/>
      <c r="D352" s="189">
        <f t="shared" si="1"/>
        <v>0</v>
      </c>
    </row>
    <row r="353">
      <c r="A353" s="36"/>
      <c r="B353" s="192" t="s">
        <v>13</v>
      </c>
      <c r="C353" s="188"/>
      <c r="D353" s="189">
        <f t="shared" si="1"/>
        <v>0</v>
      </c>
    </row>
    <row r="354">
      <c r="A354" s="36"/>
      <c r="B354" s="192" t="s">
        <v>14</v>
      </c>
      <c r="C354" s="188"/>
      <c r="D354" s="189">
        <f t="shared" si="1"/>
        <v>0</v>
      </c>
    </row>
    <row r="355">
      <c r="A355" s="36"/>
      <c r="B355" s="192" t="s">
        <v>15</v>
      </c>
      <c r="C355" s="188"/>
      <c r="D355" s="189">
        <f t="shared" si="1"/>
        <v>0</v>
      </c>
    </row>
    <row r="356">
      <c r="A356" s="36"/>
      <c r="B356" s="192" t="s">
        <v>16</v>
      </c>
      <c r="C356" s="188"/>
      <c r="D356" s="189">
        <f t="shared" si="1"/>
        <v>0</v>
      </c>
    </row>
    <row r="357">
      <c r="A357" s="36"/>
      <c r="B357" s="192" t="s">
        <v>17</v>
      </c>
      <c r="C357" s="188"/>
      <c r="D357" s="189">
        <f t="shared" si="1"/>
        <v>0</v>
      </c>
    </row>
    <row r="358">
      <c r="A358" s="36"/>
      <c r="B358" s="187" t="s">
        <v>18</v>
      </c>
      <c r="C358" s="188"/>
      <c r="D358" s="189">
        <f t="shared" si="1"/>
        <v>0</v>
      </c>
    </row>
    <row r="359">
      <c r="A359" s="36"/>
      <c r="B359" s="187" t="s">
        <v>19</v>
      </c>
      <c r="C359" s="188"/>
      <c r="D359" s="189">
        <f t="shared" si="1"/>
        <v>0</v>
      </c>
    </row>
    <row r="360">
      <c r="A360" s="36"/>
      <c r="B360" s="187" t="s">
        <v>20</v>
      </c>
      <c r="C360" s="188"/>
      <c r="D360" s="189">
        <f t="shared" si="1"/>
        <v>0</v>
      </c>
    </row>
    <row r="361">
      <c r="A361" s="36"/>
      <c r="B361" s="187" t="s">
        <v>21</v>
      </c>
      <c r="C361" s="188"/>
      <c r="D361" s="189">
        <f t="shared" si="1"/>
        <v>0</v>
      </c>
    </row>
    <row r="362">
      <c r="A362" s="36"/>
      <c r="B362" s="187" t="s">
        <v>23</v>
      </c>
      <c r="C362" s="188"/>
      <c r="D362" s="189">
        <f t="shared" si="1"/>
        <v>0</v>
      </c>
    </row>
    <row r="363">
      <c r="A363" s="36"/>
      <c r="B363" s="187" t="s">
        <v>24</v>
      </c>
      <c r="C363" s="188"/>
      <c r="D363" s="189">
        <f t="shared" si="1"/>
        <v>0</v>
      </c>
    </row>
    <row r="364">
      <c r="A364" s="36"/>
      <c r="B364" s="187" t="s">
        <v>25</v>
      </c>
      <c r="C364" s="193"/>
      <c r="D364" s="189">
        <f t="shared" si="1"/>
        <v>0</v>
      </c>
    </row>
    <row r="365">
      <c r="A365" s="36"/>
      <c r="B365" s="187" t="s">
        <v>26</v>
      </c>
      <c r="C365" s="193"/>
      <c r="D365" s="189">
        <f t="shared" si="1"/>
        <v>0</v>
      </c>
    </row>
    <row r="366">
      <c r="A366" s="36"/>
      <c r="B366" s="187" t="s">
        <v>27</v>
      </c>
      <c r="C366" s="193"/>
      <c r="D366" s="189">
        <f t="shared" si="1"/>
        <v>0</v>
      </c>
    </row>
    <row r="367">
      <c r="A367" s="36"/>
      <c r="B367" s="187" t="s">
        <v>28</v>
      </c>
      <c r="C367" s="193"/>
      <c r="D367" s="189">
        <f t="shared" si="1"/>
        <v>0</v>
      </c>
    </row>
    <row r="368">
      <c r="A368" s="36"/>
      <c r="B368" s="194" t="s">
        <v>29</v>
      </c>
      <c r="C368" s="193"/>
      <c r="D368" s="189">
        <f t="shared" si="1"/>
        <v>0</v>
      </c>
    </row>
    <row r="369">
      <c r="A369" s="36"/>
      <c r="B369" s="195" t="s">
        <v>30</v>
      </c>
      <c r="C369" s="193"/>
      <c r="D369" s="189">
        <f t="shared" si="1"/>
        <v>0</v>
      </c>
    </row>
    <row r="370">
      <c r="A370" s="36"/>
      <c r="B370" s="196" t="s">
        <v>31</v>
      </c>
      <c r="C370" s="193"/>
      <c r="D370" s="189">
        <f t="shared" si="1"/>
        <v>0</v>
      </c>
    </row>
    <row r="371">
      <c r="A371" s="36"/>
      <c r="B371" s="196" t="s">
        <v>32</v>
      </c>
      <c r="C371" s="193"/>
      <c r="D371" s="189">
        <f t="shared" si="1"/>
        <v>0</v>
      </c>
    </row>
    <row r="372">
      <c r="A372" s="36"/>
      <c r="B372" s="196" t="s">
        <v>33</v>
      </c>
      <c r="C372" s="193"/>
      <c r="D372" s="189">
        <f t="shared" si="1"/>
        <v>0</v>
      </c>
    </row>
    <row r="373">
      <c r="A373" s="91"/>
      <c r="B373" s="196" t="s">
        <v>34</v>
      </c>
      <c r="C373" s="193"/>
      <c r="D373" s="189">
        <f t="shared" si="1"/>
        <v>0</v>
      </c>
    </row>
    <row r="374">
      <c r="A374" s="186">
        <v>46180.0</v>
      </c>
      <c r="B374" s="187" t="s">
        <v>4</v>
      </c>
      <c r="C374" s="188"/>
      <c r="D374" s="189">
        <f t="shared" si="1"/>
        <v>0</v>
      </c>
    </row>
    <row r="375">
      <c r="A375" s="36"/>
      <c r="B375" s="187" t="s">
        <v>5</v>
      </c>
      <c r="C375" s="188"/>
      <c r="D375" s="189">
        <f t="shared" si="1"/>
        <v>0</v>
      </c>
    </row>
    <row r="376">
      <c r="A376" s="36"/>
      <c r="B376" s="187" t="s">
        <v>6</v>
      </c>
      <c r="C376" s="188"/>
      <c r="D376" s="189">
        <f t="shared" si="1"/>
        <v>0</v>
      </c>
    </row>
    <row r="377">
      <c r="A377" s="36"/>
      <c r="B377" s="187" t="s">
        <v>22</v>
      </c>
      <c r="C377" s="188"/>
      <c r="D377" s="189">
        <f t="shared" si="1"/>
        <v>0</v>
      </c>
    </row>
    <row r="378">
      <c r="A378" s="36"/>
      <c r="B378" s="187" t="s">
        <v>7</v>
      </c>
      <c r="C378" s="188"/>
      <c r="D378" s="189">
        <f t="shared" si="1"/>
        <v>0</v>
      </c>
    </row>
    <row r="379">
      <c r="A379" s="36"/>
      <c r="B379" s="192" t="s">
        <v>8</v>
      </c>
      <c r="C379" s="188"/>
      <c r="D379" s="189">
        <f t="shared" si="1"/>
        <v>0</v>
      </c>
    </row>
    <row r="380">
      <c r="A380" s="36"/>
      <c r="B380" s="187" t="s">
        <v>9</v>
      </c>
      <c r="C380" s="188"/>
      <c r="D380" s="189">
        <f t="shared" si="1"/>
        <v>0</v>
      </c>
    </row>
    <row r="381">
      <c r="A381" s="36"/>
      <c r="B381" s="187" t="s">
        <v>10</v>
      </c>
      <c r="C381" s="188"/>
      <c r="D381" s="189">
        <f t="shared" si="1"/>
        <v>0</v>
      </c>
    </row>
    <row r="382">
      <c r="A382" s="36"/>
      <c r="B382" s="187" t="s">
        <v>11</v>
      </c>
      <c r="C382" s="188"/>
      <c r="D382" s="189">
        <f t="shared" si="1"/>
        <v>0</v>
      </c>
    </row>
    <row r="383">
      <c r="A383" s="36"/>
      <c r="B383" s="192" t="s">
        <v>12</v>
      </c>
      <c r="C383" s="188"/>
      <c r="D383" s="189">
        <f t="shared" si="1"/>
        <v>0</v>
      </c>
    </row>
    <row r="384">
      <c r="A384" s="36"/>
      <c r="B384" s="192" t="s">
        <v>13</v>
      </c>
      <c r="C384" s="188"/>
      <c r="D384" s="189">
        <f t="shared" si="1"/>
        <v>0</v>
      </c>
    </row>
    <row r="385">
      <c r="A385" s="36"/>
      <c r="B385" s="192" t="s">
        <v>14</v>
      </c>
      <c r="C385" s="188"/>
      <c r="D385" s="189">
        <f t="shared" si="1"/>
        <v>0</v>
      </c>
    </row>
    <row r="386">
      <c r="A386" s="36"/>
      <c r="B386" s="192" t="s">
        <v>15</v>
      </c>
      <c r="C386" s="188"/>
      <c r="D386" s="189">
        <f t="shared" si="1"/>
        <v>0</v>
      </c>
    </row>
    <row r="387">
      <c r="A387" s="36"/>
      <c r="B387" s="192" t="s">
        <v>16</v>
      </c>
      <c r="C387" s="188"/>
      <c r="D387" s="189">
        <f t="shared" si="1"/>
        <v>0</v>
      </c>
    </row>
    <row r="388">
      <c r="A388" s="36"/>
      <c r="B388" s="192" t="s">
        <v>17</v>
      </c>
      <c r="C388" s="188"/>
      <c r="D388" s="189">
        <f t="shared" si="1"/>
        <v>0</v>
      </c>
    </row>
    <row r="389">
      <c r="A389" s="36"/>
      <c r="B389" s="187" t="s">
        <v>18</v>
      </c>
      <c r="C389" s="188"/>
      <c r="D389" s="189">
        <f t="shared" si="1"/>
        <v>0</v>
      </c>
    </row>
    <row r="390">
      <c r="A390" s="36"/>
      <c r="B390" s="187" t="s">
        <v>19</v>
      </c>
      <c r="C390" s="188"/>
      <c r="D390" s="189">
        <f t="shared" si="1"/>
        <v>0</v>
      </c>
    </row>
    <row r="391">
      <c r="A391" s="36"/>
      <c r="B391" s="187" t="s">
        <v>20</v>
      </c>
      <c r="C391" s="188"/>
      <c r="D391" s="189">
        <f t="shared" si="1"/>
        <v>0</v>
      </c>
    </row>
    <row r="392">
      <c r="A392" s="36"/>
      <c r="B392" s="187" t="s">
        <v>21</v>
      </c>
      <c r="C392" s="188"/>
      <c r="D392" s="189">
        <f t="shared" si="1"/>
        <v>0</v>
      </c>
    </row>
    <row r="393">
      <c r="A393" s="36"/>
      <c r="B393" s="187" t="s">
        <v>23</v>
      </c>
      <c r="C393" s="188"/>
      <c r="D393" s="189">
        <f t="shared" si="1"/>
        <v>0</v>
      </c>
    </row>
    <row r="394">
      <c r="A394" s="36"/>
      <c r="B394" s="187" t="s">
        <v>24</v>
      </c>
      <c r="C394" s="188"/>
      <c r="D394" s="189">
        <f t="shared" si="1"/>
        <v>0</v>
      </c>
    </row>
    <row r="395">
      <c r="A395" s="36"/>
      <c r="B395" s="187" t="s">
        <v>25</v>
      </c>
      <c r="C395" s="193"/>
      <c r="D395" s="189">
        <f t="shared" si="1"/>
        <v>0</v>
      </c>
    </row>
    <row r="396">
      <c r="A396" s="36"/>
      <c r="B396" s="187" t="s">
        <v>26</v>
      </c>
      <c r="C396" s="193"/>
      <c r="D396" s="189">
        <f t="shared" si="1"/>
        <v>0</v>
      </c>
    </row>
    <row r="397">
      <c r="A397" s="36"/>
      <c r="B397" s="187" t="s">
        <v>27</v>
      </c>
      <c r="C397" s="193"/>
      <c r="D397" s="189">
        <f t="shared" si="1"/>
        <v>0</v>
      </c>
    </row>
    <row r="398">
      <c r="A398" s="36"/>
      <c r="B398" s="187" t="s">
        <v>28</v>
      </c>
      <c r="C398" s="193"/>
      <c r="D398" s="189">
        <f t="shared" si="1"/>
        <v>0</v>
      </c>
    </row>
    <row r="399">
      <c r="A399" s="36"/>
      <c r="B399" s="194" t="s">
        <v>29</v>
      </c>
      <c r="C399" s="193"/>
      <c r="D399" s="189">
        <f t="shared" si="1"/>
        <v>0</v>
      </c>
    </row>
    <row r="400">
      <c r="A400" s="36"/>
      <c r="B400" s="195" t="s">
        <v>30</v>
      </c>
      <c r="C400" s="193"/>
      <c r="D400" s="189">
        <f t="shared" si="1"/>
        <v>0</v>
      </c>
    </row>
    <row r="401">
      <c r="A401" s="36"/>
      <c r="B401" s="196" t="s">
        <v>31</v>
      </c>
      <c r="C401" s="193"/>
      <c r="D401" s="189">
        <f t="shared" si="1"/>
        <v>0</v>
      </c>
    </row>
    <row r="402">
      <c r="A402" s="36"/>
      <c r="B402" s="196" t="s">
        <v>32</v>
      </c>
      <c r="C402" s="193"/>
      <c r="D402" s="189">
        <f t="shared" si="1"/>
        <v>0</v>
      </c>
    </row>
    <row r="403">
      <c r="A403" s="36"/>
      <c r="B403" s="196" t="s">
        <v>33</v>
      </c>
      <c r="C403" s="193"/>
      <c r="D403" s="189">
        <f t="shared" si="1"/>
        <v>0</v>
      </c>
    </row>
    <row r="404">
      <c r="A404" s="91"/>
      <c r="B404" s="196" t="s">
        <v>34</v>
      </c>
      <c r="C404" s="193"/>
      <c r="D404" s="189">
        <f t="shared" si="1"/>
        <v>0</v>
      </c>
    </row>
    <row r="405">
      <c r="A405" s="186">
        <v>46181.0</v>
      </c>
      <c r="B405" s="187" t="s">
        <v>4</v>
      </c>
      <c r="C405" s="188"/>
      <c r="D405" s="189">
        <f t="shared" si="1"/>
        <v>0</v>
      </c>
    </row>
    <row r="406">
      <c r="A406" s="36"/>
      <c r="B406" s="187" t="s">
        <v>5</v>
      </c>
      <c r="C406" s="188"/>
      <c r="D406" s="189">
        <f t="shared" si="1"/>
        <v>0</v>
      </c>
    </row>
    <row r="407">
      <c r="A407" s="36"/>
      <c r="B407" s="187" t="s">
        <v>6</v>
      </c>
      <c r="C407" s="188"/>
      <c r="D407" s="189">
        <f t="shared" si="1"/>
        <v>0</v>
      </c>
    </row>
    <row r="408">
      <c r="A408" s="36"/>
      <c r="B408" s="187" t="s">
        <v>22</v>
      </c>
      <c r="C408" s="188"/>
      <c r="D408" s="189">
        <f t="shared" si="1"/>
        <v>0</v>
      </c>
    </row>
    <row r="409">
      <c r="A409" s="36"/>
      <c r="B409" s="187" t="s">
        <v>7</v>
      </c>
      <c r="C409" s="188"/>
      <c r="D409" s="189">
        <f t="shared" si="1"/>
        <v>0</v>
      </c>
    </row>
    <row r="410">
      <c r="A410" s="36"/>
      <c r="B410" s="192" t="s">
        <v>8</v>
      </c>
      <c r="C410" s="188"/>
      <c r="D410" s="189">
        <f t="shared" si="1"/>
        <v>0</v>
      </c>
    </row>
    <row r="411">
      <c r="A411" s="36"/>
      <c r="B411" s="187" t="s">
        <v>9</v>
      </c>
      <c r="C411" s="188"/>
      <c r="D411" s="189">
        <f t="shared" si="1"/>
        <v>0</v>
      </c>
    </row>
    <row r="412">
      <c r="A412" s="36"/>
      <c r="B412" s="187" t="s">
        <v>10</v>
      </c>
      <c r="C412" s="188"/>
      <c r="D412" s="189">
        <f t="shared" si="1"/>
        <v>0</v>
      </c>
    </row>
    <row r="413">
      <c r="A413" s="36"/>
      <c r="B413" s="187" t="s">
        <v>11</v>
      </c>
      <c r="C413" s="188"/>
      <c r="D413" s="189">
        <f t="shared" si="1"/>
        <v>0</v>
      </c>
    </row>
    <row r="414">
      <c r="A414" s="36"/>
      <c r="B414" s="192" t="s">
        <v>12</v>
      </c>
      <c r="C414" s="188"/>
      <c r="D414" s="189">
        <f t="shared" si="1"/>
        <v>0</v>
      </c>
    </row>
    <row r="415">
      <c r="A415" s="36"/>
      <c r="B415" s="192" t="s">
        <v>13</v>
      </c>
      <c r="C415" s="188"/>
      <c r="D415" s="189">
        <f t="shared" si="1"/>
        <v>0</v>
      </c>
    </row>
    <row r="416">
      <c r="A416" s="36"/>
      <c r="B416" s="192" t="s">
        <v>14</v>
      </c>
      <c r="C416" s="188"/>
      <c r="D416" s="189">
        <f t="shared" si="1"/>
        <v>0</v>
      </c>
    </row>
    <row r="417">
      <c r="A417" s="36"/>
      <c r="B417" s="192" t="s">
        <v>15</v>
      </c>
      <c r="C417" s="188"/>
      <c r="D417" s="189">
        <f t="shared" si="1"/>
        <v>0</v>
      </c>
    </row>
    <row r="418">
      <c r="A418" s="36"/>
      <c r="B418" s="192" t="s">
        <v>16</v>
      </c>
      <c r="C418" s="188"/>
      <c r="D418" s="189">
        <f t="shared" si="1"/>
        <v>0</v>
      </c>
    </row>
    <row r="419">
      <c r="A419" s="36"/>
      <c r="B419" s="192" t="s">
        <v>17</v>
      </c>
      <c r="C419" s="188"/>
      <c r="D419" s="189">
        <f t="shared" si="1"/>
        <v>0</v>
      </c>
    </row>
    <row r="420">
      <c r="A420" s="36"/>
      <c r="B420" s="187" t="s">
        <v>18</v>
      </c>
      <c r="C420" s="188"/>
      <c r="D420" s="189">
        <f t="shared" si="1"/>
        <v>0</v>
      </c>
    </row>
    <row r="421">
      <c r="A421" s="36"/>
      <c r="B421" s="187" t="s">
        <v>19</v>
      </c>
      <c r="C421" s="188"/>
      <c r="D421" s="189">
        <f t="shared" si="1"/>
        <v>0</v>
      </c>
    </row>
    <row r="422">
      <c r="A422" s="36"/>
      <c r="B422" s="187" t="s">
        <v>20</v>
      </c>
      <c r="C422" s="188"/>
      <c r="D422" s="189">
        <f t="shared" si="1"/>
        <v>0</v>
      </c>
    </row>
    <row r="423">
      <c r="A423" s="36"/>
      <c r="B423" s="187" t="s">
        <v>21</v>
      </c>
      <c r="C423" s="188"/>
      <c r="D423" s="189">
        <f t="shared" si="1"/>
        <v>0</v>
      </c>
    </row>
    <row r="424">
      <c r="A424" s="36"/>
      <c r="B424" s="187" t="s">
        <v>23</v>
      </c>
      <c r="C424" s="188"/>
      <c r="D424" s="189">
        <f t="shared" si="1"/>
        <v>0</v>
      </c>
    </row>
    <row r="425">
      <c r="A425" s="36"/>
      <c r="B425" s="187" t="s">
        <v>24</v>
      </c>
      <c r="C425" s="188"/>
      <c r="D425" s="189">
        <f t="shared" si="1"/>
        <v>0</v>
      </c>
    </row>
    <row r="426">
      <c r="A426" s="36"/>
      <c r="B426" s="187" t="s">
        <v>25</v>
      </c>
      <c r="C426" s="193"/>
      <c r="D426" s="189">
        <f t="shared" si="1"/>
        <v>0</v>
      </c>
    </row>
    <row r="427">
      <c r="A427" s="36"/>
      <c r="B427" s="187" t="s">
        <v>26</v>
      </c>
      <c r="C427" s="193"/>
      <c r="D427" s="189">
        <f t="shared" si="1"/>
        <v>0</v>
      </c>
    </row>
    <row r="428">
      <c r="A428" s="36"/>
      <c r="B428" s="187" t="s">
        <v>27</v>
      </c>
      <c r="C428" s="193"/>
      <c r="D428" s="189">
        <f t="shared" si="1"/>
        <v>0</v>
      </c>
    </row>
    <row r="429">
      <c r="A429" s="36"/>
      <c r="B429" s="187" t="s">
        <v>28</v>
      </c>
      <c r="C429" s="193"/>
      <c r="D429" s="189">
        <f t="shared" si="1"/>
        <v>0</v>
      </c>
    </row>
    <row r="430">
      <c r="A430" s="36"/>
      <c r="B430" s="194" t="s">
        <v>29</v>
      </c>
      <c r="C430" s="193"/>
      <c r="D430" s="189">
        <f t="shared" si="1"/>
        <v>0</v>
      </c>
    </row>
    <row r="431">
      <c r="A431" s="36"/>
      <c r="B431" s="195" t="s">
        <v>30</v>
      </c>
      <c r="C431" s="193"/>
      <c r="D431" s="189">
        <f t="shared" si="1"/>
        <v>0</v>
      </c>
    </row>
    <row r="432">
      <c r="A432" s="36"/>
      <c r="B432" s="196" t="s">
        <v>31</v>
      </c>
      <c r="C432" s="193"/>
      <c r="D432" s="189">
        <f t="shared" si="1"/>
        <v>0</v>
      </c>
    </row>
    <row r="433">
      <c r="A433" s="36"/>
      <c r="B433" s="196" t="s">
        <v>32</v>
      </c>
      <c r="C433" s="193"/>
      <c r="D433" s="189">
        <f t="shared" si="1"/>
        <v>0</v>
      </c>
    </row>
    <row r="434">
      <c r="A434" s="36"/>
      <c r="B434" s="196" t="s">
        <v>33</v>
      </c>
      <c r="C434" s="193"/>
      <c r="D434" s="189">
        <f t="shared" si="1"/>
        <v>0</v>
      </c>
    </row>
    <row r="435">
      <c r="A435" s="91"/>
      <c r="B435" s="196" t="s">
        <v>34</v>
      </c>
      <c r="C435" s="193"/>
      <c r="D435" s="189">
        <f t="shared" si="1"/>
        <v>0</v>
      </c>
    </row>
    <row r="436">
      <c r="A436" s="186">
        <v>46182.0</v>
      </c>
      <c r="B436" s="187" t="s">
        <v>4</v>
      </c>
      <c r="C436" s="188"/>
      <c r="D436" s="189">
        <f t="shared" si="1"/>
        <v>0</v>
      </c>
    </row>
    <row r="437">
      <c r="A437" s="36"/>
      <c r="B437" s="187" t="s">
        <v>5</v>
      </c>
      <c r="C437" s="188"/>
      <c r="D437" s="189">
        <f t="shared" si="1"/>
        <v>0</v>
      </c>
    </row>
    <row r="438">
      <c r="A438" s="36"/>
      <c r="B438" s="187" t="s">
        <v>6</v>
      </c>
      <c r="C438" s="188"/>
      <c r="D438" s="189">
        <f t="shared" si="1"/>
        <v>0</v>
      </c>
    </row>
    <row r="439">
      <c r="A439" s="36"/>
      <c r="B439" s="187" t="s">
        <v>22</v>
      </c>
      <c r="C439" s="188"/>
      <c r="D439" s="189">
        <f t="shared" si="1"/>
        <v>0</v>
      </c>
    </row>
    <row r="440">
      <c r="A440" s="36"/>
      <c r="B440" s="187" t="s">
        <v>7</v>
      </c>
      <c r="C440" s="188"/>
      <c r="D440" s="189">
        <f t="shared" si="1"/>
        <v>0</v>
      </c>
    </row>
    <row r="441">
      <c r="A441" s="36"/>
      <c r="B441" s="192" t="s">
        <v>8</v>
      </c>
      <c r="C441" s="188"/>
      <c r="D441" s="189">
        <f t="shared" si="1"/>
        <v>0</v>
      </c>
    </row>
    <row r="442">
      <c r="A442" s="36"/>
      <c r="B442" s="187" t="s">
        <v>9</v>
      </c>
      <c r="C442" s="188"/>
      <c r="D442" s="189">
        <f t="shared" si="1"/>
        <v>0</v>
      </c>
    </row>
    <row r="443">
      <c r="A443" s="36"/>
      <c r="B443" s="187" t="s">
        <v>10</v>
      </c>
      <c r="C443" s="188"/>
      <c r="D443" s="189">
        <f t="shared" si="1"/>
        <v>0</v>
      </c>
    </row>
    <row r="444">
      <c r="A444" s="36"/>
      <c r="B444" s="187" t="s">
        <v>11</v>
      </c>
      <c r="C444" s="188"/>
      <c r="D444" s="189">
        <f t="shared" si="1"/>
        <v>0</v>
      </c>
    </row>
    <row r="445">
      <c r="A445" s="36"/>
      <c r="B445" s="192" t="s">
        <v>12</v>
      </c>
      <c r="C445" s="188"/>
      <c r="D445" s="189">
        <f t="shared" si="1"/>
        <v>0</v>
      </c>
    </row>
    <row r="446">
      <c r="A446" s="36"/>
      <c r="B446" s="192" t="s">
        <v>13</v>
      </c>
      <c r="C446" s="188"/>
      <c r="D446" s="189">
        <f t="shared" si="1"/>
        <v>0</v>
      </c>
    </row>
    <row r="447">
      <c r="A447" s="36"/>
      <c r="B447" s="192" t="s">
        <v>14</v>
      </c>
      <c r="C447" s="188"/>
      <c r="D447" s="189">
        <f t="shared" si="1"/>
        <v>0</v>
      </c>
    </row>
    <row r="448">
      <c r="A448" s="36"/>
      <c r="B448" s="192" t="s">
        <v>15</v>
      </c>
      <c r="C448" s="188"/>
      <c r="D448" s="189">
        <f t="shared" si="1"/>
        <v>0</v>
      </c>
    </row>
    <row r="449">
      <c r="A449" s="36"/>
      <c r="B449" s="192" t="s">
        <v>16</v>
      </c>
      <c r="C449" s="188"/>
      <c r="D449" s="189">
        <f t="shared" si="1"/>
        <v>0</v>
      </c>
    </row>
    <row r="450">
      <c r="A450" s="36"/>
      <c r="B450" s="192" t="s">
        <v>17</v>
      </c>
      <c r="C450" s="188"/>
      <c r="D450" s="189">
        <f t="shared" si="1"/>
        <v>0</v>
      </c>
    </row>
    <row r="451">
      <c r="A451" s="36"/>
      <c r="B451" s="187" t="s">
        <v>18</v>
      </c>
      <c r="C451" s="188"/>
      <c r="D451" s="189">
        <f t="shared" si="1"/>
        <v>0</v>
      </c>
    </row>
    <row r="452">
      <c r="A452" s="36"/>
      <c r="B452" s="187" t="s">
        <v>19</v>
      </c>
      <c r="C452" s="188"/>
      <c r="D452" s="189">
        <f t="shared" si="1"/>
        <v>0</v>
      </c>
    </row>
    <row r="453">
      <c r="A453" s="36"/>
      <c r="B453" s="187" t="s">
        <v>20</v>
      </c>
      <c r="C453" s="188"/>
      <c r="D453" s="189">
        <f t="shared" si="1"/>
        <v>0</v>
      </c>
    </row>
    <row r="454">
      <c r="A454" s="36"/>
      <c r="B454" s="187" t="s">
        <v>21</v>
      </c>
      <c r="C454" s="188"/>
      <c r="D454" s="189">
        <f t="shared" si="1"/>
        <v>0</v>
      </c>
    </row>
    <row r="455">
      <c r="A455" s="36"/>
      <c r="B455" s="187" t="s">
        <v>23</v>
      </c>
      <c r="C455" s="188"/>
      <c r="D455" s="189">
        <f t="shared" si="1"/>
        <v>0</v>
      </c>
    </row>
    <row r="456">
      <c r="A456" s="36"/>
      <c r="B456" s="187" t="s">
        <v>24</v>
      </c>
      <c r="C456" s="188"/>
      <c r="D456" s="189">
        <f t="shared" si="1"/>
        <v>0</v>
      </c>
    </row>
    <row r="457">
      <c r="A457" s="36"/>
      <c r="B457" s="187" t="s">
        <v>25</v>
      </c>
      <c r="C457" s="193"/>
      <c r="D457" s="189">
        <f t="shared" si="1"/>
        <v>0</v>
      </c>
    </row>
    <row r="458">
      <c r="A458" s="36"/>
      <c r="B458" s="187" t="s">
        <v>26</v>
      </c>
      <c r="C458" s="193"/>
      <c r="D458" s="189">
        <f t="shared" si="1"/>
        <v>0</v>
      </c>
    </row>
    <row r="459">
      <c r="A459" s="36"/>
      <c r="B459" s="187" t="s">
        <v>27</v>
      </c>
      <c r="C459" s="193"/>
      <c r="D459" s="189">
        <f t="shared" si="1"/>
        <v>0</v>
      </c>
    </row>
    <row r="460">
      <c r="A460" s="36"/>
      <c r="B460" s="187" t="s">
        <v>28</v>
      </c>
      <c r="C460" s="193"/>
      <c r="D460" s="189">
        <f t="shared" si="1"/>
        <v>0</v>
      </c>
    </row>
    <row r="461">
      <c r="A461" s="36"/>
      <c r="B461" s="194" t="s">
        <v>29</v>
      </c>
      <c r="C461" s="193"/>
      <c r="D461" s="189">
        <f t="shared" si="1"/>
        <v>0</v>
      </c>
    </row>
    <row r="462">
      <c r="A462" s="36"/>
      <c r="B462" s="195" t="s">
        <v>30</v>
      </c>
      <c r="C462" s="193"/>
      <c r="D462" s="189">
        <f t="shared" si="1"/>
        <v>0</v>
      </c>
    </row>
    <row r="463">
      <c r="A463" s="36"/>
      <c r="B463" s="196" t="s">
        <v>31</v>
      </c>
      <c r="C463" s="193"/>
      <c r="D463" s="189">
        <f t="shared" si="1"/>
        <v>0</v>
      </c>
    </row>
    <row r="464">
      <c r="A464" s="36"/>
      <c r="B464" s="196" t="s">
        <v>32</v>
      </c>
      <c r="C464" s="193"/>
      <c r="D464" s="189">
        <f t="shared" si="1"/>
        <v>0</v>
      </c>
    </row>
    <row r="465">
      <c r="A465" s="36"/>
      <c r="B465" s="196" t="s">
        <v>33</v>
      </c>
      <c r="C465" s="193"/>
      <c r="D465" s="189">
        <f t="shared" si="1"/>
        <v>0</v>
      </c>
    </row>
    <row r="466">
      <c r="A466" s="91"/>
      <c r="B466" s="196" t="s">
        <v>34</v>
      </c>
      <c r="C466" s="193"/>
      <c r="D466" s="189">
        <f t="shared" si="1"/>
        <v>0</v>
      </c>
    </row>
    <row r="467">
      <c r="A467" s="186">
        <v>46183.0</v>
      </c>
      <c r="B467" s="187" t="s">
        <v>4</v>
      </c>
      <c r="C467" s="188"/>
      <c r="D467" s="189">
        <f t="shared" si="1"/>
        <v>0</v>
      </c>
    </row>
    <row r="468">
      <c r="A468" s="36"/>
      <c r="B468" s="187" t="s">
        <v>5</v>
      </c>
      <c r="C468" s="188"/>
      <c r="D468" s="189">
        <f t="shared" si="1"/>
        <v>0</v>
      </c>
    </row>
    <row r="469">
      <c r="A469" s="36"/>
      <c r="B469" s="187" t="s">
        <v>6</v>
      </c>
      <c r="C469" s="188"/>
      <c r="D469" s="189">
        <f t="shared" si="1"/>
        <v>0</v>
      </c>
    </row>
    <row r="470">
      <c r="A470" s="36"/>
      <c r="B470" s="187" t="s">
        <v>22</v>
      </c>
      <c r="C470" s="188"/>
      <c r="D470" s="189">
        <f t="shared" si="1"/>
        <v>0</v>
      </c>
    </row>
    <row r="471">
      <c r="A471" s="36"/>
      <c r="B471" s="187" t="s">
        <v>7</v>
      </c>
      <c r="C471" s="188"/>
      <c r="D471" s="189">
        <f t="shared" si="1"/>
        <v>0</v>
      </c>
    </row>
    <row r="472">
      <c r="A472" s="36"/>
      <c r="B472" s="192" t="s">
        <v>8</v>
      </c>
      <c r="C472" s="188"/>
      <c r="D472" s="189">
        <f t="shared" si="1"/>
        <v>0</v>
      </c>
    </row>
    <row r="473">
      <c r="A473" s="36"/>
      <c r="B473" s="187" t="s">
        <v>9</v>
      </c>
      <c r="C473" s="188"/>
      <c r="D473" s="189">
        <f t="shared" si="1"/>
        <v>0</v>
      </c>
    </row>
    <row r="474">
      <c r="A474" s="36"/>
      <c r="B474" s="187" t="s">
        <v>10</v>
      </c>
      <c r="C474" s="188"/>
      <c r="D474" s="189">
        <f t="shared" si="1"/>
        <v>0</v>
      </c>
    </row>
    <row r="475">
      <c r="A475" s="36"/>
      <c r="B475" s="187" t="s">
        <v>11</v>
      </c>
      <c r="C475" s="188"/>
      <c r="D475" s="189">
        <f t="shared" si="1"/>
        <v>0</v>
      </c>
    </row>
    <row r="476">
      <c r="A476" s="36"/>
      <c r="B476" s="192" t="s">
        <v>12</v>
      </c>
      <c r="C476" s="188"/>
      <c r="D476" s="189">
        <f t="shared" si="1"/>
        <v>0</v>
      </c>
    </row>
    <row r="477">
      <c r="A477" s="36"/>
      <c r="B477" s="192" t="s">
        <v>13</v>
      </c>
      <c r="C477" s="188"/>
      <c r="D477" s="189">
        <f t="shared" si="1"/>
        <v>0</v>
      </c>
    </row>
    <row r="478">
      <c r="A478" s="36"/>
      <c r="B478" s="192" t="s">
        <v>14</v>
      </c>
      <c r="C478" s="188"/>
      <c r="D478" s="189">
        <f t="shared" si="1"/>
        <v>0</v>
      </c>
    </row>
    <row r="479">
      <c r="A479" s="36"/>
      <c r="B479" s="192" t="s">
        <v>15</v>
      </c>
      <c r="C479" s="188"/>
      <c r="D479" s="189">
        <f t="shared" si="1"/>
        <v>0</v>
      </c>
    </row>
    <row r="480">
      <c r="A480" s="36"/>
      <c r="B480" s="192" t="s">
        <v>16</v>
      </c>
      <c r="C480" s="188"/>
      <c r="D480" s="189">
        <f t="shared" si="1"/>
        <v>0</v>
      </c>
    </row>
    <row r="481">
      <c r="A481" s="36"/>
      <c r="B481" s="192" t="s">
        <v>17</v>
      </c>
      <c r="C481" s="188"/>
      <c r="D481" s="189">
        <f t="shared" si="1"/>
        <v>0</v>
      </c>
    </row>
    <row r="482">
      <c r="A482" s="36"/>
      <c r="B482" s="187" t="s">
        <v>18</v>
      </c>
      <c r="C482" s="188"/>
      <c r="D482" s="189">
        <f t="shared" si="1"/>
        <v>0</v>
      </c>
    </row>
    <row r="483">
      <c r="A483" s="36"/>
      <c r="B483" s="187" t="s">
        <v>19</v>
      </c>
      <c r="C483" s="188"/>
      <c r="D483" s="189">
        <f t="shared" si="1"/>
        <v>0</v>
      </c>
    </row>
    <row r="484">
      <c r="A484" s="36"/>
      <c r="B484" s="187" t="s">
        <v>20</v>
      </c>
      <c r="C484" s="188"/>
      <c r="D484" s="189">
        <f t="shared" si="1"/>
        <v>0</v>
      </c>
    </row>
    <row r="485">
      <c r="A485" s="36"/>
      <c r="B485" s="187" t="s">
        <v>21</v>
      </c>
      <c r="C485" s="188"/>
      <c r="D485" s="189">
        <f t="shared" si="1"/>
        <v>0</v>
      </c>
    </row>
    <row r="486">
      <c r="A486" s="36"/>
      <c r="B486" s="187" t="s">
        <v>23</v>
      </c>
      <c r="C486" s="188"/>
      <c r="D486" s="189">
        <f t="shared" si="1"/>
        <v>0</v>
      </c>
    </row>
    <row r="487">
      <c r="A487" s="36"/>
      <c r="B487" s="187" t="s">
        <v>24</v>
      </c>
      <c r="C487" s="188"/>
      <c r="D487" s="189">
        <f t="shared" si="1"/>
        <v>0</v>
      </c>
    </row>
    <row r="488">
      <c r="A488" s="36"/>
      <c r="B488" s="187" t="s">
        <v>25</v>
      </c>
      <c r="C488" s="193"/>
      <c r="D488" s="189">
        <f t="shared" si="1"/>
        <v>0</v>
      </c>
    </row>
    <row r="489">
      <c r="A489" s="36"/>
      <c r="B489" s="187" t="s">
        <v>26</v>
      </c>
      <c r="C489" s="193"/>
      <c r="D489" s="189">
        <f t="shared" si="1"/>
        <v>0</v>
      </c>
    </row>
    <row r="490">
      <c r="A490" s="36"/>
      <c r="B490" s="187" t="s">
        <v>27</v>
      </c>
      <c r="C490" s="193"/>
      <c r="D490" s="189">
        <f t="shared" si="1"/>
        <v>0</v>
      </c>
    </row>
    <row r="491">
      <c r="A491" s="36"/>
      <c r="B491" s="187" t="s">
        <v>28</v>
      </c>
      <c r="C491" s="193"/>
      <c r="D491" s="189">
        <f t="shared" si="1"/>
        <v>0</v>
      </c>
    </row>
    <row r="492">
      <c r="A492" s="36"/>
      <c r="B492" s="194" t="s">
        <v>29</v>
      </c>
      <c r="C492" s="193"/>
      <c r="D492" s="189">
        <f t="shared" si="1"/>
        <v>0</v>
      </c>
    </row>
    <row r="493">
      <c r="A493" s="36"/>
      <c r="B493" s="195" t="s">
        <v>30</v>
      </c>
      <c r="C493" s="193"/>
      <c r="D493" s="189">
        <f t="shared" si="1"/>
        <v>0</v>
      </c>
    </row>
    <row r="494">
      <c r="A494" s="36"/>
      <c r="B494" s="196" t="s">
        <v>31</v>
      </c>
      <c r="C494" s="193"/>
      <c r="D494" s="189">
        <f t="shared" si="1"/>
        <v>0</v>
      </c>
    </row>
    <row r="495">
      <c r="A495" s="36"/>
      <c r="B495" s="196" t="s">
        <v>32</v>
      </c>
      <c r="C495" s="193"/>
      <c r="D495" s="189">
        <f t="shared" si="1"/>
        <v>0</v>
      </c>
    </row>
    <row r="496">
      <c r="A496" s="36"/>
      <c r="B496" s="196" t="s">
        <v>33</v>
      </c>
      <c r="C496" s="193"/>
      <c r="D496" s="189">
        <f t="shared" si="1"/>
        <v>0</v>
      </c>
    </row>
    <row r="497">
      <c r="A497" s="91"/>
      <c r="B497" s="196" t="s">
        <v>34</v>
      </c>
      <c r="C497" s="193"/>
      <c r="D497" s="189">
        <f t="shared" si="1"/>
        <v>0</v>
      </c>
    </row>
    <row r="498">
      <c r="A498" s="186">
        <v>46184.0</v>
      </c>
      <c r="B498" s="187" t="s">
        <v>4</v>
      </c>
      <c r="C498" s="188"/>
      <c r="D498" s="189">
        <f t="shared" si="1"/>
        <v>0</v>
      </c>
    </row>
    <row r="499">
      <c r="A499" s="36"/>
      <c r="B499" s="187" t="s">
        <v>5</v>
      </c>
      <c r="C499" s="188"/>
      <c r="D499" s="189">
        <f t="shared" si="1"/>
        <v>0</v>
      </c>
    </row>
    <row r="500">
      <c r="A500" s="36"/>
      <c r="B500" s="187" t="s">
        <v>6</v>
      </c>
      <c r="C500" s="188"/>
      <c r="D500" s="189">
        <f t="shared" si="1"/>
        <v>0</v>
      </c>
    </row>
    <row r="501">
      <c r="A501" s="36"/>
      <c r="B501" s="187" t="s">
        <v>22</v>
      </c>
      <c r="C501" s="188"/>
      <c r="D501" s="189">
        <f t="shared" si="1"/>
        <v>0</v>
      </c>
    </row>
    <row r="502">
      <c r="A502" s="36"/>
      <c r="B502" s="187" t="s">
        <v>7</v>
      </c>
      <c r="C502" s="188"/>
      <c r="D502" s="189">
        <f t="shared" si="1"/>
        <v>0</v>
      </c>
    </row>
    <row r="503">
      <c r="A503" s="36"/>
      <c r="B503" s="192" t="s">
        <v>8</v>
      </c>
      <c r="C503" s="188"/>
      <c r="D503" s="189">
        <f t="shared" si="1"/>
        <v>0</v>
      </c>
    </row>
    <row r="504">
      <c r="A504" s="36"/>
      <c r="B504" s="187" t="s">
        <v>9</v>
      </c>
      <c r="C504" s="188"/>
      <c r="D504" s="189">
        <f t="shared" si="1"/>
        <v>0</v>
      </c>
    </row>
    <row r="505">
      <c r="A505" s="36"/>
      <c r="B505" s="187" t="s">
        <v>10</v>
      </c>
      <c r="C505" s="188"/>
      <c r="D505" s="189">
        <f t="shared" si="1"/>
        <v>0</v>
      </c>
    </row>
    <row r="506">
      <c r="A506" s="36"/>
      <c r="B506" s="187" t="s">
        <v>11</v>
      </c>
      <c r="C506" s="188"/>
      <c r="D506" s="189">
        <f t="shared" si="1"/>
        <v>0</v>
      </c>
    </row>
    <row r="507">
      <c r="A507" s="36"/>
      <c r="B507" s="192" t="s">
        <v>12</v>
      </c>
      <c r="C507" s="188"/>
      <c r="D507" s="189">
        <f t="shared" si="1"/>
        <v>0</v>
      </c>
    </row>
    <row r="508">
      <c r="A508" s="36"/>
      <c r="B508" s="192" t="s">
        <v>13</v>
      </c>
      <c r="C508" s="188"/>
      <c r="D508" s="189">
        <f t="shared" si="1"/>
        <v>0</v>
      </c>
    </row>
    <row r="509">
      <c r="A509" s="36"/>
      <c r="B509" s="192" t="s">
        <v>14</v>
      </c>
      <c r="C509" s="188"/>
      <c r="D509" s="189">
        <f t="shared" si="1"/>
        <v>0</v>
      </c>
    </row>
    <row r="510">
      <c r="A510" s="36"/>
      <c r="B510" s="192" t="s">
        <v>15</v>
      </c>
      <c r="C510" s="188"/>
      <c r="D510" s="189">
        <f t="shared" si="1"/>
        <v>0</v>
      </c>
    </row>
    <row r="511">
      <c r="A511" s="36"/>
      <c r="B511" s="192" t="s">
        <v>16</v>
      </c>
      <c r="C511" s="188"/>
      <c r="D511" s="189">
        <f t="shared" si="1"/>
        <v>0</v>
      </c>
    </row>
    <row r="512">
      <c r="A512" s="36"/>
      <c r="B512" s="192" t="s">
        <v>17</v>
      </c>
      <c r="C512" s="188"/>
      <c r="D512" s="189">
        <f t="shared" si="1"/>
        <v>0</v>
      </c>
    </row>
    <row r="513">
      <c r="A513" s="36"/>
      <c r="B513" s="187" t="s">
        <v>18</v>
      </c>
      <c r="C513" s="188"/>
      <c r="D513" s="189">
        <f t="shared" si="1"/>
        <v>0</v>
      </c>
    </row>
    <row r="514">
      <c r="A514" s="36"/>
      <c r="B514" s="187" t="s">
        <v>19</v>
      </c>
      <c r="C514" s="188"/>
      <c r="D514" s="189">
        <f t="shared" si="1"/>
        <v>0</v>
      </c>
    </row>
    <row r="515">
      <c r="A515" s="36"/>
      <c r="B515" s="187" t="s">
        <v>20</v>
      </c>
      <c r="C515" s="188"/>
      <c r="D515" s="189">
        <f t="shared" si="1"/>
        <v>0</v>
      </c>
    </row>
    <row r="516">
      <c r="A516" s="36"/>
      <c r="B516" s="187" t="s">
        <v>21</v>
      </c>
      <c r="C516" s="188"/>
      <c r="D516" s="189">
        <f t="shared" si="1"/>
        <v>0</v>
      </c>
    </row>
    <row r="517">
      <c r="A517" s="36"/>
      <c r="B517" s="187" t="s">
        <v>23</v>
      </c>
      <c r="C517" s="188"/>
      <c r="D517" s="189">
        <f t="shared" si="1"/>
        <v>0</v>
      </c>
    </row>
    <row r="518">
      <c r="A518" s="36"/>
      <c r="B518" s="187" t="s">
        <v>24</v>
      </c>
      <c r="C518" s="188"/>
      <c r="D518" s="189">
        <f t="shared" si="1"/>
        <v>0</v>
      </c>
    </row>
    <row r="519">
      <c r="A519" s="36"/>
      <c r="B519" s="187" t="s">
        <v>25</v>
      </c>
      <c r="C519" s="193"/>
      <c r="D519" s="189">
        <f t="shared" si="1"/>
        <v>0</v>
      </c>
    </row>
    <row r="520">
      <c r="A520" s="36"/>
      <c r="B520" s="187" t="s">
        <v>26</v>
      </c>
      <c r="C520" s="193"/>
      <c r="D520" s="189">
        <f t="shared" si="1"/>
        <v>0</v>
      </c>
    </row>
    <row r="521">
      <c r="A521" s="36"/>
      <c r="B521" s="187" t="s">
        <v>27</v>
      </c>
      <c r="C521" s="193"/>
      <c r="D521" s="189">
        <f t="shared" si="1"/>
        <v>0</v>
      </c>
    </row>
    <row r="522">
      <c r="A522" s="36"/>
      <c r="B522" s="187" t="s">
        <v>28</v>
      </c>
      <c r="C522" s="193"/>
      <c r="D522" s="189">
        <f t="shared" si="1"/>
        <v>0</v>
      </c>
    </row>
    <row r="523">
      <c r="A523" s="36"/>
      <c r="B523" s="194" t="s">
        <v>29</v>
      </c>
      <c r="C523" s="193"/>
      <c r="D523" s="189">
        <f t="shared" si="1"/>
        <v>0</v>
      </c>
    </row>
    <row r="524">
      <c r="A524" s="36"/>
      <c r="B524" s="195" t="s">
        <v>30</v>
      </c>
      <c r="C524" s="193"/>
      <c r="D524" s="189">
        <f t="shared" si="1"/>
        <v>0</v>
      </c>
    </row>
    <row r="525">
      <c r="A525" s="36"/>
      <c r="B525" s="196" t="s">
        <v>31</v>
      </c>
      <c r="C525" s="193"/>
      <c r="D525" s="189">
        <f t="shared" si="1"/>
        <v>0</v>
      </c>
    </row>
    <row r="526">
      <c r="A526" s="36"/>
      <c r="B526" s="196" t="s">
        <v>32</v>
      </c>
      <c r="C526" s="193"/>
      <c r="D526" s="189">
        <f t="shared" si="1"/>
        <v>0</v>
      </c>
    </row>
    <row r="527">
      <c r="A527" s="36"/>
      <c r="B527" s="196" t="s">
        <v>33</v>
      </c>
      <c r="C527" s="193"/>
      <c r="D527" s="189">
        <f t="shared" si="1"/>
        <v>0</v>
      </c>
    </row>
    <row r="528">
      <c r="A528" s="91"/>
      <c r="B528" s="196" t="s">
        <v>34</v>
      </c>
      <c r="C528" s="193"/>
      <c r="D528" s="189">
        <f t="shared" si="1"/>
        <v>0</v>
      </c>
    </row>
    <row r="529">
      <c r="A529" s="186">
        <v>46185.0</v>
      </c>
      <c r="B529" s="187" t="s">
        <v>4</v>
      </c>
      <c r="C529" s="188"/>
      <c r="D529" s="189">
        <f t="shared" si="1"/>
        <v>0</v>
      </c>
    </row>
    <row r="530">
      <c r="A530" s="36"/>
      <c r="B530" s="187" t="s">
        <v>5</v>
      </c>
      <c r="C530" s="188"/>
      <c r="D530" s="189">
        <f t="shared" si="1"/>
        <v>0</v>
      </c>
    </row>
    <row r="531">
      <c r="A531" s="36"/>
      <c r="B531" s="187" t="s">
        <v>6</v>
      </c>
      <c r="C531" s="188"/>
      <c r="D531" s="189">
        <f t="shared" si="1"/>
        <v>0</v>
      </c>
    </row>
    <row r="532">
      <c r="A532" s="36"/>
      <c r="B532" s="187" t="s">
        <v>22</v>
      </c>
      <c r="C532" s="188"/>
      <c r="D532" s="189">
        <f t="shared" si="1"/>
        <v>0</v>
      </c>
    </row>
    <row r="533">
      <c r="A533" s="36"/>
      <c r="B533" s="187" t="s">
        <v>7</v>
      </c>
      <c r="C533" s="188"/>
      <c r="D533" s="189">
        <f t="shared" si="1"/>
        <v>0</v>
      </c>
    </row>
    <row r="534">
      <c r="A534" s="36"/>
      <c r="B534" s="192" t="s">
        <v>8</v>
      </c>
      <c r="C534" s="188"/>
      <c r="D534" s="189">
        <f t="shared" si="1"/>
        <v>0</v>
      </c>
    </row>
    <row r="535">
      <c r="A535" s="36"/>
      <c r="B535" s="187" t="s">
        <v>9</v>
      </c>
      <c r="C535" s="188"/>
      <c r="D535" s="189">
        <f t="shared" si="1"/>
        <v>0</v>
      </c>
    </row>
    <row r="536">
      <c r="A536" s="36"/>
      <c r="B536" s="187" t="s">
        <v>10</v>
      </c>
      <c r="C536" s="188"/>
      <c r="D536" s="189">
        <f t="shared" si="1"/>
        <v>0</v>
      </c>
    </row>
    <row r="537">
      <c r="A537" s="36"/>
      <c r="B537" s="187" t="s">
        <v>11</v>
      </c>
      <c r="C537" s="188"/>
      <c r="D537" s="189">
        <f t="shared" si="1"/>
        <v>0</v>
      </c>
    </row>
    <row r="538">
      <c r="A538" s="36"/>
      <c r="B538" s="192" t="s">
        <v>12</v>
      </c>
      <c r="C538" s="188"/>
      <c r="D538" s="189">
        <f t="shared" si="1"/>
        <v>0</v>
      </c>
    </row>
    <row r="539">
      <c r="A539" s="36"/>
      <c r="B539" s="192" t="s">
        <v>13</v>
      </c>
      <c r="C539" s="188"/>
      <c r="D539" s="189">
        <f t="shared" si="1"/>
        <v>0</v>
      </c>
    </row>
    <row r="540">
      <c r="A540" s="36"/>
      <c r="B540" s="192" t="s">
        <v>14</v>
      </c>
      <c r="C540" s="188"/>
      <c r="D540" s="189">
        <f t="shared" si="1"/>
        <v>0</v>
      </c>
    </row>
    <row r="541">
      <c r="A541" s="36"/>
      <c r="B541" s="192" t="s">
        <v>15</v>
      </c>
      <c r="C541" s="188"/>
      <c r="D541" s="189">
        <f t="shared" si="1"/>
        <v>0</v>
      </c>
    </row>
    <row r="542">
      <c r="A542" s="36"/>
      <c r="B542" s="192" t="s">
        <v>16</v>
      </c>
      <c r="C542" s="188"/>
      <c r="D542" s="189">
        <f t="shared" si="1"/>
        <v>0</v>
      </c>
    </row>
    <row r="543">
      <c r="A543" s="36"/>
      <c r="B543" s="192" t="s">
        <v>17</v>
      </c>
      <c r="C543" s="188"/>
      <c r="D543" s="189">
        <f t="shared" si="1"/>
        <v>0</v>
      </c>
    </row>
    <row r="544">
      <c r="A544" s="36"/>
      <c r="B544" s="187" t="s">
        <v>18</v>
      </c>
      <c r="C544" s="188"/>
      <c r="D544" s="189">
        <f t="shared" si="1"/>
        <v>0</v>
      </c>
    </row>
    <row r="545">
      <c r="A545" s="36"/>
      <c r="B545" s="187" t="s">
        <v>19</v>
      </c>
      <c r="C545" s="188"/>
      <c r="D545" s="189">
        <f t="shared" si="1"/>
        <v>0</v>
      </c>
    </row>
    <row r="546">
      <c r="A546" s="36"/>
      <c r="B546" s="187" t="s">
        <v>20</v>
      </c>
      <c r="C546" s="188"/>
      <c r="D546" s="189">
        <f t="shared" si="1"/>
        <v>0</v>
      </c>
    </row>
    <row r="547">
      <c r="A547" s="36"/>
      <c r="B547" s="187" t="s">
        <v>21</v>
      </c>
      <c r="C547" s="188"/>
      <c r="D547" s="189">
        <f t="shared" si="1"/>
        <v>0</v>
      </c>
    </row>
    <row r="548">
      <c r="A548" s="36"/>
      <c r="B548" s="187" t="s">
        <v>23</v>
      </c>
      <c r="C548" s="188"/>
      <c r="D548" s="189">
        <f t="shared" si="1"/>
        <v>0</v>
      </c>
    </row>
    <row r="549">
      <c r="A549" s="36"/>
      <c r="B549" s="187" t="s">
        <v>24</v>
      </c>
      <c r="C549" s="188"/>
      <c r="D549" s="189">
        <f t="shared" si="1"/>
        <v>0</v>
      </c>
    </row>
    <row r="550">
      <c r="A550" s="36"/>
      <c r="B550" s="187" t="s">
        <v>25</v>
      </c>
      <c r="C550" s="193"/>
      <c r="D550" s="189">
        <f t="shared" si="1"/>
        <v>0</v>
      </c>
    </row>
    <row r="551">
      <c r="A551" s="36"/>
      <c r="B551" s="187" t="s">
        <v>26</v>
      </c>
      <c r="C551" s="193"/>
      <c r="D551" s="189">
        <f t="shared" si="1"/>
        <v>0</v>
      </c>
    </row>
    <row r="552">
      <c r="A552" s="36"/>
      <c r="B552" s="187" t="s">
        <v>27</v>
      </c>
      <c r="C552" s="193"/>
      <c r="D552" s="189">
        <f t="shared" si="1"/>
        <v>0</v>
      </c>
    </row>
    <row r="553">
      <c r="A553" s="36"/>
      <c r="B553" s="187" t="s">
        <v>28</v>
      </c>
      <c r="C553" s="193"/>
      <c r="D553" s="189">
        <f t="shared" si="1"/>
        <v>0</v>
      </c>
    </row>
    <row r="554">
      <c r="A554" s="36"/>
      <c r="B554" s="194" t="s">
        <v>29</v>
      </c>
      <c r="C554" s="193"/>
      <c r="D554" s="189">
        <f t="shared" si="1"/>
        <v>0</v>
      </c>
    </row>
    <row r="555">
      <c r="A555" s="36"/>
      <c r="B555" s="195" t="s">
        <v>30</v>
      </c>
      <c r="C555" s="193"/>
      <c r="D555" s="189">
        <f t="shared" si="1"/>
        <v>0</v>
      </c>
    </row>
    <row r="556">
      <c r="A556" s="36"/>
      <c r="B556" s="196" t="s">
        <v>31</v>
      </c>
      <c r="C556" s="193"/>
      <c r="D556" s="189">
        <f t="shared" si="1"/>
        <v>0</v>
      </c>
    </row>
    <row r="557">
      <c r="A557" s="36"/>
      <c r="B557" s="196" t="s">
        <v>32</v>
      </c>
      <c r="C557" s="193"/>
      <c r="D557" s="189">
        <f t="shared" si="1"/>
        <v>0</v>
      </c>
    </row>
    <row r="558">
      <c r="A558" s="36"/>
      <c r="B558" s="196" t="s">
        <v>33</v>
      </c>
      <c r="C558" s="193"/>
      <c r="D558" s="189">
        <f t="shared" si="1"/>
        <v>0</v>
      </c>
    </row>
    <row r="559">
      <c r="A559" s="91"/>
      <c r="B559" s="196" t="s">
        <v>34</v>
      </c>
      <c r="C559" s="193"/>
      <c r="D559" s="189">
        <f t="shared" si="1"/>
        <v>0</v>
      </c>
    </row>
    <row r="560">
      <c r="A560" s="186">
        <v>46186.0</v>
      </c>
      <c r="B560" s="187" t="s">
        <v>4</v>
      </c>
      <c r="C560" s="188"/>
      <c r="D560" s="189">
        <f t="shared" si="1"/>
        <v>0</v>
      </c>
    </row>
    <row r="561">
      <c r="A561" s="36"/>
      <c r="B561" s="187" t="s">
        <v>5</v>
      </c>
      <c r="C561" s="188"/>
      <c r="D561" s="189">
        <f t="shared" si="1"/>
        <v>0</v>
      </c>
    </row>
    <row r="562">
      <c r="A562" s="36"/>
      <c r="B562" s="187" t="s">
        <v>6</v>
      </c>
      <c r="C562" s="188"/>
      <c r="D562" s="189">
        <f t="shared" si="1"/>
        <v>0</v>
      </c>
    </row>
    <row r="563">
      <c r="A563" s="36"/>
      <c r="B563" s="187" t="s">
        <v>22</v>
      </c>
      <c r="C563" s="188"/>
      <c r="D563" s="189">
        <f t="shared" si="1"/>
        <v>0</v>
      </c>
    </row>
    <row r="564">
      <c r="A564" s="36"/>
      <c r="B564" s="187" t="s">
        <v>7</v>
      </c>
      <c r="C564" s="188"/>
      <c r="D564" s="189">
        <f t="shared" si="1"/>
        <v>0</v>
      </c>
    </row>
    <row r="565">
      <c r="A565" s="36"/>
      <c r="B565" s="192" t="s">
        <v>8</v>
      </c>
      <c r="C565" s="188"/>
      <c r="D565" s="189">
        <f t="shared" si="1"/>
        <v>0</v>
      </c>
    </row>
    <row r="566">
      <c r="A566" s="36"/>
      <c r="B566" s="187" t="s">
        <v>9</v>
      </c>
      <c r="C566" s="188"/>
      <c r="D566" s="189">
        <f t="shared" si="1"/>
        <v>0</v>
      </c>
    </row>
    <row r="567">
      <c r="A567" s="36"/>
      <c r="B567" s="187" t="s">
        <v>10</v>
      </c>
      <c r="C567" s="188"/>
      <c r="D567" s="189">
        <f t="shared" si="1"/>
        <v>0</v>
      </c>
    </row>
    <row r="568">
      <c r="A568" s="36"/>
      <c r="B568" s="187" t="s">
        <v>11</v>
      </c>
      <c r="C568" s="188"/>
      <c r="D568" s="189">
        <f t="shared" si="1"/>
        <v>0</v>
      </c>
    </row>
    <row r="569">
      <c r="A569" s="36"/>
      <c r="B569" s="192" t="s">
        <v>12</v>
      </c>
      <c r="C569" s="188"/>
      <c r="D569" s="189">
        <f t="shared" si="1"/>
        <v>0</v>
      </c>
    </row>
    <row r="570">
      <c r="A570" s="36"/>
      <c r="B570" s="192" t="s">
        <v>13</v>
      </c>
      <c r="C570" s="188"/>
      <c r="D570" s="189">
        <f t="shared" si="1"/>
        <v>0</v>
      </c>
    </row>
    <row r="571">
      <c r="A571" s="36"/>
      <c r="B571" s="192" t="s">
        <v>14</v>
      </c>
      <c r="C571" s="188"/>
      <c r="D571" s="189">
        <f t="shared" si="1"/>
        <v>0</v>
      </c>
    </row>
    <row r="572">
      <c r="A572" s="36"/>
      <c r="B572" s="192" t="s">
        <v>15</v>
      </c>
      <c r="C572" s="188"/>
      <c r="D572" s="189">
        <f t="shared" si="1"/>
        <v>0</v>
      </c>
    </row>
    <row r="573">
      <c r="A573" s="36"/>
      <c r="B573" s="192" t="s">
        <v>16</v>
      </c>
      <c r="C573" s="188"/>
      <c r="D573" s="189">
        <f t="shared" si="1"/>
        <v>0</v>
      </c>
    </row>
    <row r="574">
      <c r="A574" s="36"/>
      <c r="B574" s="192" t="s">
        <v>17</v>
      </c>
      <c r="C574" s="188"/>
      <c r="D574" s="189">
        <f t="shared" si="1"/>
        <v>0</v>
      </c>
    </row>
    <row r="575">
      <c r="A575" s="36"/>
      <c r="B575" s="187" t="s">
        <v>18</v>
      </c>
      <c r="C575" s="188"/>
      <c r="D575" s="189">
        <f t="shared" si="1"/>
        <v>0</v>
      </c>
    </row>
    <row r="576">
      <c r="A576" s="36"/>
      <c r="B576" s="187" t="s">
        <v>19</v>
      </c>
      <c r="C576" s="188"/>
      <c r="D576" s="189">
        <f t="shared" si="1"/>
        <v>0</v>
      </c>
    </row>
    <row r="577">
      <c r="A577" s="36"/>
      <c r="B577" s="187" t="s">
        <v>20</v>
      </c>
      <c r="C577" s="188"/>
      <c r="D577" s="189">
        <f t="shared" si="1"/>
        <v>0</v>
      </c>
    </row>
    <row r="578">
      <c r="A578" s="36"/>
      <c r="B578" s="187" t="s">
        <v>21</v>
      </c>
      <c r="C578" s="188"/>
      <c r="D578" s="189">
        <f t="shared" si="1"/>
        <v>0</v>
      </c>
    </row>
    <row r="579">
      <c r="A579" s="36"/>
      <c r="B579" s="187" t="s">
        <v>23</v>
      </c>
      <c r="C579" s="188"/>
      <c r="D579" s="189">
        <f t="shared" si="1"/>
        <v>0</v>
      </c>
    </row>
    <row r="580">
      <c r="A580" s="36"/>
      <c r="B580" s="187" t="s">
        <v>24</v>
      </c>
      <c r="C580" s="188"/>
      <c r="D580" s="189">
        <f t="shared" si="1"/>
        <v>0</v>
      </c>
    </row>
    <row r="581">
      <c r="A581" s="36"/>
      <c r="B581" s="187" t="s">
        <v>25</v>
      </c>
      <c r="C581" s="193"/>
      <c r="D581" s="189">
        <f t="shared" si="1"/>
        <v>0</v>
      </c>
    </row>
    <row r="582">
      <c r="A582" s="36"/>
      <c r="B582" s="187" t="s">
        <v>26</v>
      </c>
      <c r="C582" s="193"/>
      <c r="D582" s="189">
        <f t="shared" si="1"/>
        <v>0</v>
      </c>
    </row>
    <row r="583">
      <c r="A583" s="36"/>
      <c r="B583" s="187" t="s">
        <v>27</v>
      </c>
      <c r="C583" s="193"/>
      <c r="D583" s="189">
        <f t="shared" si="1"/>
        <v>0</v>
      </c>
    </row>
    <row r="584">
      <c r="A584" s="36"/>
      <c r="B584" s="187" t="s">
        <v>28</v>
      </c>
      <c r="C584" s="193"/>
      <c r="D584" s="189">
        <f t="shared" si="1"/>
        <v>0</v>
      </c>
    </row>
    <row r="585">
      <c r="A585" s="36"/>
      <c r="B585" s="194" t="s">
        <v>29</v>
      </c>
      <c r="C585" s="193"/>
      <c r="D585" s="189">
        <f t="shared" si="1"/>
        <v>0</v>
      </c>
    </row>
    <row r="586">
      <c r="A586" s="36"/>
      <c r="B586" s="195" t="s">
        <v>30</v>
      </c>
      <c r="C586" s="193"/>
      <c r="D586" s="189">
        <f t="shared" si="1"/>
        <v>0</v>
      </c>
    </row>
    <row r="587">
      <c r="A587" s="36"/>
      <c r="B587" s="196" t="s">
        <v>31</v>
      </c>
      <c r="C587" s="193"/>
      <c r="D587" s="189">
        <f t="shared" si="1"/>
        <v>0</v>
      </c>
    </row>
    <row r="588">
      <c r="A588" s="36"/>
      <c r="B588" s="196" t="s">
        <v>32</v>
      </c>
      <c r="C588" s="193"/>
      <c r="D588" s="189">
        <f t="shared" si="1"/>
        <v>0</v>
      </c>
    </row>
    <row r="589">
      <c r="A589" s="36"/>
      <c r="B589" s="196" t="s">
        <v>33</v>
      </c>
      <c r="C589" s="193"/>
      <c r="D589" s="189">
        <f t="shared" si="1"/>
        <v>0</v>
      </c>
    </row>
    <row r="590">
      <c r="A590" s="91"/>
      <c r="B590" s="196" t="s">
        <v>34</v>
      </c>
      <c r="C590" s="193"/>
      <c r="D590" s="189">
        <f t="shared" si="1"/>
        <v>0</v>
      </c>
    </row>
    <row r="591">
      <c r="A591" s="186">
        <v>46187.0</v>
      </c>
      <c r="B591" s="187" t="s">
        <v>4</v>
      </c>
      <c r="C591" s="188"/>
      <c r="D591" s="189">
        <f t="shared" si="1"/>
        <v>0</v>
      </c>
    </row>
    <row r="592">
      <c r="A592" s="36"/>
      <c r="B592" s="187" t="s">
        <v>5</v>
      </c>
      <c r="C592" s="188"/>
      <c r="D592" s="189">
        <f t="shared" si="1"/>
        <v>0</v>
      </c>
    </row>
    <row r="593">
      <c r="A593" s="36"/>
      <c r="B593" s="187" t="s">
        <v>6</v>
      </c>
      <c r="C593" s="188"/>
      <c r="D593" s="189">
        <f t="shared" si="1"/>
        <v>0</v>
      </c>
    </row>
    <row r="594">
      <c r="A594" s="36"/>
      <c r="B594" s="187" t="s">
        <v>22</v>
      </c>
      <c r="C594" s="188"/>
      <c r="D594" s="189">
        <f t="shared" si="1"/>
        <v>0</v>
      </c>
    </row>
    <row r="595">
      <c r="A595" s="36"/>
      <c r="B595" s="187" t="s">
        <v>7</v>
      </c>
      <c r="C595" s="188"/>
      <c r="D595" s="189">
        <f t="shared" si="1"/>
        <v>0</v>
      </c>
    </row>
    <row r="596">
      <c r="A596" s="36"/>
      <c r="B596" s="192" t="s">
        <v>8</v>
      </c>
      <c r="C596" s="188"/>
      <c r="D596" s="189">
        <f t="shared" si="1"/>
        <v>0</v>
      </c>
    </row>
    <row r="597">
      <c r="A597" s="36"/>
      <c r="B597" s="187" t="s">
        <v>9</v>
      </c>
      <c r="C597" s="188"/>
      <c r="D597" s="189">
        <f t="shared" si="1"/>
        <v>0</v>
      </c>
    </row>
    <row r="598">
      <c r="A598" s="36"/>
      <c r="B598" s="187" t="s">
        <v>10</v>
      </c>
      <c r="C598" s="188"/>
      <c r="D598" s="189">
        <f t="shared" si="1"/>
        <v>0</v>
      </c>
    </row>
    <row r="599">
      <c r="A599" s="36"/>
      <c r="B599" s="187" t="s">
        <v>11</v>
      </c>
      <c r="C599" s="188"/>
      <c r="D599" s="189">
        <f t="shared" si="1"/>
        <v>0</v>
      </c>
    </row>
    <row r="600">
      <c r="A600" s="36"/>
      <c r="B600" s="192" t="s">
        <v>12</v>
      </c>
      <c r="C600" s="188"/>
      <c r="D600" s="189">
        <f t="shared" si="1"/>
        <v>0</v>
      </c>
    </row>
    <row r="601">
      <c r="A601" s="36"/>
      <c r="B601" s="192" t="s">
        <v>13</v>
      </c>
      <c r="C601" s="188"/>
      <c r="D601" s="189">
        <f t="shared" si="1"/>
        <v>0</v>
      </c>
    </row>
    <row r="602">
      <c r="A602" s="36"/>
      <c r="B602" s="192" t="s">
        <v>14</v>
      </c>
      <c r="C602" s="188"/>
      <c r="D602" s="189">
        <f t="shared" si="1"/>
        <v>0</v>
      </c>
    </row>
    <row r="603">
      <c r="A603" s="36"/>
      <c r="B603" s="192" t="s">
        <v>15</v>
      </c>
      <c r="C603" s="188"/>
      <c r="D603" s="189">
        <f t="shared" si="1"/>
        <v>0</v>
      </c>
    </row>
    <row r="604">
      <c r="A604" s="36"/>
      <c r="B604" s="192" t="s">
        <v>16</v>
      </c>
      <c r="C604" s="188"/>
      <c r="D604" s="189">
        <f t="shared" si="1"/>
        <v>0</v>
      </c>
    </row>
    <row r="605">
      <c r="A605" s="36"/>
      <c r="B605" s="192" t="s">
        <v>17</v>
      </c>
      <c r="C605" s="188"/>
      <c r="D605" s="189">
        <f t="shared" si="1"/>
        <v>0</v>
      </c>
    </row>
    <row r="606">
      <c r="A606" s="36"/>
      <c r="B606" s="187" t="s">
        <v>18</v>
      </c>
      <c r="C606" s="188"/>
      <c r="D606" s="189">
        <f t="shared" si="1"/>
        <v>0</v>
      </c>
    </row>
    <row r="607">
      <c r="A607" s="36"/>
      <c r="B607" s="187" t="s">
        <v>19</v>
      </c>
      <c r="C607" s="188"/>
      <c r="D607" s="189">
        <f t="shared" si="1"/>
        <v>0</v>
      </c>
    </row>
    <row r="608">
      <c r="A608" s="36"/>
      <c r="B608" s="187" t="s">
        <v>20</v>
      </c>
      <c r="C608" s="188"/>
      <c r="D608" s="189">
        <f t="shared" si="1"/>
        <v>0</v>
      </c>
    </row>
    <row r="609">
      <c r="A609" s="36"/>
      <c r="B609" s="187" t="s">
        <v>21</v>
      </c>
      <c r="C609" s="188"/>
      <c r="D609" s="189">
        <f t="shared" si="1"/>
        <v>0</v>
      </c>
    </row>
    <row r="610">
      <c r="A610" s="36"/>
      <c r="B610" s="187" t="s">
        <v>23</v>
      </c>
      <c r="C610" s="188"/>
      <c r="D610" s="189">
        <f t="shared" si="1"/>
        <v>0</v>
      </c>
    </row>
    <row r="611">
      <c r="A611" s="36"/>
      <c r="B611" s="187" t="s">
        <v>24</v>
      </c>
      <c r="C611" s="188"/>
      <c r="D611" s="189">
        <f t="shared" si="1"/>
        <v>0</v>
      </c>
    </row>
    <row r="612">
      <c r="A612" s="36"/>
      <c r="B612" s="187" t="s">
        <v>25</v>
      </c>
      <c r="C612" s="193"/>
      <c r="D612" s="189">
        <f t="shared" si="1"/>
        <v>0</v>
      </c>
    </row>
    <row r="613">
      <c r="A613" s="36"/>
      <c r="B613" s="187" t="s">
        <v>26</v>
      </c>
      <c r="C613" s="193"/>
      <c r="D613" s="189">
        <f t="shared" si="1"/>
        <v>0</v>
      </c>
    </row>
    <row r="614">
      <c r="A614" s="36"/>
      <c r="B614" s="187" t="s">
        <v>27</v>
      </c>
      <c r="C614" s="193"/>
      <c r="D614" s="189">
        <f t="shared" si="1"/>
        <v>0</v>
      </c>
    </row>
    <row r="615">
      <c r="A615" s="36"/>
      <c r="B615" s="187" t="s">
        <v>28</v>
      </c>
      <c r="C615" s="193"/>
      <c r="D615" s="189">
        <f t="shared" si="1"/>
        <v>0</v>
      </c>
    </row>
    <row r="616">
      <c r="A616" s="36"/>
      <c r="B616" s="194" t="s">
        <v>29</v>
      </c>
      <c r="C616" s="193"/>
      <c r="D616" s="189">
        <f t="shared" si="1"/>
        <v>0</v>
      </c>
    </row>
    <row r="617">
      <c r="A617" s="36"/>
      <c r="B617" s="195" t="s">
        <v>30</v>
      </c>
      <c r="C617" s="193"/>
      <c r="D617" s="189">
        <f t="shared" si="1"/>
        <v>0</v>
      </c>
    </row>
    <row r="618">
      <c r="A618" s="36"/>
      <c r="B618" s="196" t="s">
        <v>31</v>
      </c>
      <c r="C618" s="193"/>
      <c r="D618" s="189">
        <f t="shared" si="1"/>
        <v>0</v>
      </c>
    </row>
    <row r="619">
      <c r="A619" s="36"/>
      <c r="B619" s="196" t="s">
        <v>32</v>
      </c>
      <c r="C619" s="193"/>
      <c r="D619" s="189">
        <f t="shared" si="1"/>
        <v>0</v>
      </c>
    </row>
    <row r="620">
      <c r="A620" s="36"/>
      <c r="B620" s="196" t="s">
        <v>33</v>
      </c>
      <c r="C620" s="193"/>
      <c r="D620" s="189">
        <f t="shared" si="1"/>
        <v>0</v>
      </c>
    </row>
    <row r="621">
      <c r="A621" s="91"/>
      <c r="B621" s="196" t="s">
        <v>34</v>
      </c>
      <c r="C621" s="193"/>
      <c r="D621" s="189">
        <f t="shared" si="1"/>
        <v>0</v>
      </c>
    </row>
    <row r="622">
      <c r="A622" s="186">
        <v>46188.0</v>
      </c>
      <c r="B622" s="187" t="s">
        <v>4</v>
      </c>
      <c r="C622" s="188"/>
      <c r="D622" s="189">
        <f t="shared" si="1"/>
        <v>0</v>
      </c>
    </row>
    <row r="623">
      <c r="A623" s="36"/>
      <c r="B623" s="187" t="s">
        <v>5</v>
      </c>
      <c r="C623" s="188"/>
      <c r="D623" s="189">
        <f t="shared" si="1"/>
        <v>0</v>
      </c>
    </row>
    <row r="624">
      <c r="A624" s="36"/>
      <c r="B624" s="187" t="s">
        <v>6</v>
      </c>
      <c r="C624" s="188"/>
      <c r="D624" s="189">
        <f t="shared" si="1"/>
        <v>0</v>
      </c>
    </row>
    <row r="625">
      <c r="A625" s="36"/>
      <c r="B625" s="187" t="s">
        <v>22</v>
      </c>
      <c r="C625" s="188"/>
      <c r="D625" s="189">
        <f t="shared" si="1"/>
        <v>0</v>
      </c>
    </row>
    <row r="626">
      <c r="A626" s="36"/>
      <c r="B626" s="187" t="s">
        <v>7</v>
      </c>
      <c r="C626" s="188"/>
      <c r="D626" s="189">
        <f t="shared" si="1"/>
        <v>0</v>
      </c>
    </row>
    <row r="627">
      <c r="A627" s="36"/>
      <c r="B627" s="192" t="s">
        <v>8</v>
      </c>
      <c r="C627" s="188"/>
      <c r="D627" s="189">
        <f t="shared" si="1"/>
        <v>0</v>
      </c>
    </row>
    <row r="628">
      <c r="A628" s="36"/>
      <c r="B628" s="187" t="s">
        <v>9</v>
      </c>
      <c r="C628" s="188"/>
      <c r="D628" s="189">
        <f t="shared" si="1"/>
        <v>0</v>
      </c>
    </row>
    <row r="629">
      <c r="A629" s="36"/>
      <c r="B629" s="187" t="s">
        <v>10</v>
      </c>
      <c r="C629" s="188"/>
      <c r="D629" s="189">
        <f t="shared" si="1"/>
        <v>0</v>
      </c>
    </row>
    <row r="630">
      <c r="A630" s="36"/>
      <c r="B630" s="187" t="s">
        <v>11</v>
      </c>
      <c r="C630" s="188"/>
      <c r="D630" s="189">
        <f t="shared" si="1"/>
        <v>0</v>
      </c>
    </row>
    <row r="631">
      <c r="A631" s="36"/>
      <c r="B631" s="192" t="s">
        <v>12</v>
      </c>
      <c r="C631" s="188"/>
      <c r="D631" s="189">
        <f t="shared" si="1"/>
        <v>0</v>
      </c>
    </row>
    <row r="632">
      <c r="A632" s="36"/>
      <c r="B632" s="192" t="s">
        <v>13</v>
      </c>
      <c r="C632" s="188"/>
      <c r="D632" s="189">
        <f t="shared" si="1"/>
        <v>0</v>
      </c>
    </row>
    <row r="633">
      <c r="A633" s="36"/>
      <c r="B633" s="192" t="s">
        <v>14</v>
      </c>
      <c r="C633" s="188"/>
      <c r="D633" s="189">
        <f t="shared" si="1"/>
        <v>0</v>
      </c>
    </row>
    <row r="634">
      <c r="A634" s="36"/>
      <c r="B634" s="192" t="s">
        <v>15</v>
      </c>
      <c r="C634" s="188"/>
      <c r="D634" s="189">
        <f t="shared" si="1"/>
        <v>0</v>
      </c>
    </row>
    <row r="635">
      <c r="A635" s="36"/>
      <c r="B635" s="192" t="s">
        <v>16</v>
      </c>
      <c r="C635" s="188"/>
      <c r="D635" s="189">
        <f t="shared" si="1"/>
        <v>0</v>
      </c>
    </row>
    <row r="636">
      <c r="A636" s="36"/>
      <c r="B636" s="192" t="s">
        <v>17</v>
      </c>
      <c r="C636" s="188"/>
      <c r="D636" s="189">
        <f t="shared" si="1"/>
        <v>0</v>
      </c>
    </row>
    <row r="637">
      <c r="A637" s="36"/>
      <c r="B637" s="187" t="s">
        <v>18</v>
      </c>
      <c r="C637" s="188"/>
      <c r="D637" s="189">
        <f t="shared" si="1"/>
        <v>0</v>
      </c>
    </row>
    <row r="638">
      <c r="A638" s="36"/>
      <c r="B638" s="187" t="s">
        <v>19</v>
      </c>
      <c r="C638" s="188"/>
      <c r="D638" s="189">
        <f t="shared" si="1"/>
        <v>0</v>
      </c>
    </row>
    <row r="639">
      <c r="A639" s="36"/>
      <c r="B639" s="187" t="s">
        <v>20</v>
      </c>
      <c r="C639" s="188"/>
      <c r="D639" s="189">
        <f t="shared" si="1"/>
        <v>0</v>
      </c>
    </row>
    <row r="640">
      <c r="A640" s="36"/>
      <c r="B640" s="187" t="s">
        <v>21</v>
      </c>
      <c r="C640" s="188"/>
      <c r="D640" s="189">
        <f t="shared" si="1"/>
        <v>0</v>
      </c>
    </row>
    <row r="641">
      <c r="A641" s="36"/>
      <c r="B641" s="187" t="s">
        <v>23</v>
      </c>
      <c r="C641" s="188"/>
      <c r="D641" s="189">
        <f t="shared" si="1"/>
        <v>0</v>
      </c>
    </row>
    <row r="642">
      <c r="A642" s="36"/>
      <c r="B642" s="187" t="s">
        <v>24</v>
      </c>
      <c r="C642" s="188"/>
      <c r="D642" s="189">
        <f t="shared" si="1"/>
        <v>0</v>
      </c>
    </row>
    <row r="643">
      <c r="A643" s="36"/>
      <c r="B643" s="187" t="s">
        <v>25</v>
      </c>
      <c r="C643" s="193"/>
      <c r="D643" s="189">
        <f t="shared" si="1"/>
        <v>0</v>
      </c>
    </row>
    <row r="644">
      <c r="A644" s="36"/>
      <c r="B644" s="187" t="s">
        <v>26</v>
      </c>
      <c r="C644" s="193"/>
      <c r="D644" s="189">
        <f t="shared" si="1"/>
        <v>0</v>
      </c>
    </row>
    <row r="645">
      <c r="A645" s="36"/>
      <c r="B645" s="187" t="s">
        <v>27</v>
      </c>
      <c r="C645" s="193"/>
      <c r="D645" s="189">
        <f t="shared" si="1"/>
        <v>0</v>
      </c>
    </row>
    <row r="646">
      <c r="A646" s="36"/>
      <c r="B646" s="187" t="s">
        <v>28</v>
      </c>
      <c r="C646" s="193"/>
      <c r="D646" s="189">
        <f t="shared" si="1"/>
        <v>0</v>
      </c>
    </row>
    <row r="647">
      <c r="A647" s="36"/>
      <c r="B647" s="194" t="s">
        <v>29</v>
      </c>
      <c r="C647" s="193"/>
      <c r="D647" s="189">
        <f t="shared" si="1"/>
        <v>0</v>
      </c>
    </row>
    <row r="648">
      <c r="A648" s="36"/>
      <c r="B648" s="195" t="s">
        <v>30</v>
      </c>
      <c r="C648" s="193"/>
      <c r="D648" s="189">
        <f t="shared" si="1"/>
        <v>0</v>
      </c>
    </row>
    <row r="649">
      <c r="A649" s="36"/>
      <c r="B649" s="196" t="s">
        <v>31</v>
      </c>
      <c r="C649" s="193"/>
      <c r="D649" s="189">
        <f t="shared" si="1"/>
        <v>0</v>
      </c>
    </row>
    <row r="650">
      <c r="A650" s="36"/>
      <c r="B650" s="196" t="s">
        <v>32</v>
      </c>
      <c r="C650" s="193"/>
      <c r="D650" s="189">
        <f t="shared" si="1"/>
        <v>0</v>
      </c>
    </row>
    <row r="651">
      <c r="A651" s="36"/>
      <c r="B651" s="196" t="s">
        <v>33</v>
      </c>
      <c r="C651" s="193"/>
      <c r="D651" s="189">
        <f t="shared" si="1"/>
        <v>0</v>
      </c>
    </row>
    <row r="652">
      <c r="A652" s="91"/>
      <c r="B652" s="196" t="s">
        <v>34</v>
      </c>
      <c r="C652" s="193"/>
      <c r="D652" s="189">
        <f t="shared" si="1"/>
        <v>0</v>
      </c>
    </row>
    <row r="653">
      <c r="A653" s="186">
        <v>46189.0</v>
      </c>
      <c r="B653" s="187" t="s">
        <v>4</v>
      </c>
      <c r="C653" s="188"/>
      <c r="D653" s="189">
        <f t="shared" si="1"/>
        <v>0</v>
      </c>
    </row>
    <row r="654">
      <c r="A654" s="36"/>
      <c r="B654" s="187" t="s">
        <v>5</v>
      </c>
      <c r="C654" s="188"/>
      <c r="D654" s="189">
        <f t="shared" si="1"/>
        <v>0</v>
      </c>
    </row>
    <row r="655">
      <c r="A655" s="36"/>
      <c r="B655" s="187" t="s">
        <v>6</v>
      </c>
      <c r="C655" s="188"/>
      <c r="D655" s="189">
        <f t="shared" si="1"/>
        <v>0</v>
      </c>
    </row>
    <row r="656">
      <c r="A656" s="36"/>
      <c r="B656" s="187" t="s">
        <v>22</v>
      </c>
      <c r="C656" s="188"/>
      <c r="D656" s="189">
        <f t="shared" si="1"/>
        <v>0</v>
      </c>
    </row>
    <row r="657">
      <c r="A657" s="36"/>
      <c r="B657" s="187" t="s">
        <v>7</v>
      </c>
      <c r="C657" s="188"/>
      <c r="D657" s="189">
        <f t="shared" si="1"/>
        <v>0</v>
      </c>
    </row>
    <row r="658">
      <c r="A658" s="36"/>
      <c r="B658" s="192" t="s">
        <v>8</v>
      </c>
      <c r="C658" s="188"/>
      <c r="D658" s="189">
        <f t="shared" si="1"/>
        <v>0</v>
      </c>
    </row>
    <row r="659">
      <c r="A659" s="36"/>
      <c r="B659" s="187" t="s">
        <v>9</v>
      </c>
      <c r="C659" s="188"/>
      <c r="D659" s="189">
        <f t="shared" si="1"/>
        <v>0</v>
      </c>
    </row>
    <row r="660">
      <c r="A660" s="36"/>
      <c r="B660" s="187" t="s">
        <v>10</v>
      </c>
      <c r="C660" s="188"/>
      <c r="D660" s="189">
        <f t="shared" si="1"/>
        <v>0</v>
      </c>
    </row>
    <row r="661">
      <c r="A661" s="36"/>
      <c r="B661" s="187" t="s">
        <v>11</v>
      </c>
      <c r="C661" s="188"/>
      <c r="D661" s="189">
        <f t="shared" si="1"/>
        <v>0</v>
      </c>
    </row>
    <row r="662">
      <c r="A662" s="36"/>
      <c r="B662" s="192" t="s">
        <v>12</v>
      </c>
      <c r="C662" s="188"/>
      <c r="D662" s="189">
        <f t="shared" si="1"/>
        <v>0</v>
      </c>
    </row>
    <row r="663">
      <c r="A663" s="36"/>
      <c r="B663" s="192" t="s">
        <v>13</v>
      </c>
      <c r="C663" s="188"/>
      <c r="D663" s="189">
        <f t="shared" si="1"/>
        <v>0</v>
      </c>
    </row>
    <row r="664">
      <c r="A664" s="36"/>
      <c r="B664" s="192" t="s">
        <v>14</v>
      </c>
      <c r="C664" s="188"/>
      <c r="D664" s="189">
        <f t="shared" si="1"/>
        <v>0</v>
      </c>
    </row>
    <row r="665">
      <c r="A665" s="36"/>
      <c r="B665" s="192" t="s">
        <v>15</v>
      </c>
      <c r="C665" s="188"/>
      <c r="D665" s="189">
        <f t="shared" si="1"/>
        <v>0</v>
      </c>
    </row>
    <row r="666">
      <c r="A666" s="36"/>
      <c r="B666" s="192" t="s">
        <v>16</v>
      </c>
      <c r="C666" s="188"/>
      <c r="D666" s="189">
        <f t="shared" si="1"/>
        <v>0</v>
      </c>
    </row>
    <row r="667">
      <c r="A667" s="36"/>
      <c r="B667" s="192" t="s">
        <v>17</v>
      </c>
      <c r="C667" s="188"/>
      <c r="D667" s="189">
        <f t="shared" si="1"/>
        <v>0</v>
      </c>
    </row>
    <row r="668">
      <c r="A668" s="36"/>
      <c r="B668" s="187" t="s">
        <v>18</v>
      </c>
      <c r="C668" s="188"/>
      <c r="D668" s="189">
        <f t="shared" si="1"/>
        <v>0</v>
      </c>
    </row>
    <row r="669">
      <c r="A669" s="36"/>
      <c r="B669" s="187" t="s">
        <v>19</v>
      </c>
      <c r="C669" s="188"/>
      <c r="D669" s="189">
        <f t="shared" si="1"/>
        <v>0</v>
      </c>
    </row>
    <row r="670">
      <c r="A670" s="36"/>
      <c r="B670" s="187" t="s">
        <v>20</v>
      </c>
      <c r="C670" s="188"/>
      <c r="D670" s="189">
        <f t="shared" si="1"/>
        <v>0</v>
      </c>
    </row>
    <row r="671">
      <c r="A671" s="36"/>
      <c r="B671" s="187" t="s">
        <v>21</v>
      </c>
      <c r="C671" s="188"/>
      <c r="D671" s="189">
        <f t="shared" si="1"/>
        <v>0</v>
      </c>
    </row>
    <row r="672">
      <c r="A672" s="36"/>
      <c r="B672" s="187" t="s">
        <v>23</v>
      </c>
      <c r="C672" s="188"/>
      <c r="D672" s="189">
        <f t="shared" si="1"/>
        <v>0</v>
      </c>
    </row>
    <row r="673">
      <c r="A673" s="36"/>
      <c r="B673" s="187" t="s">
        <v>24</v>
      </c>
      <c r="C673" s="188"/>
      <c r="D673" s="189">
        <f t="shared" si="1"/>
        <v>0</v>
      </c>
    </row>
    <row r="674">
      <c r="A674" s="36"/>
      <c r="B674" s="187" t="s">
        <v>25</v>
      </c>
      <c r="C674" s="193"/>
      <c r="D674" s="189">
        <f t="shared" si="1"/>
        <v>0</v>
      </c>
    </row>
    <row r="675">
      <c r="A675" s="36"/>
      <c r="B675" s="187" t="s">
        <v>26</v>
      </c>
      <c r="C675" s="193"/>
      <c r="D675" s="189">
        <f t="shared" si="1"/>
        <v>0</v>
      </c>
    </row>
    <row r="676">
      <c r="A676" s="36"/>
      <c r="B676" s="187" t="s">
        <v>27</v>
      </c>
      <c r="C676" s="193"/>
      <c r="D676" s="189">
        <f t="shared" si="1"/>
        <v>0</v>
      </c>
    </row>
    <row r="677">
      <c r="A677" s="36"/>
      <c r="B677" s="187" t="s">
        <v>28</v>
      </c>
      <c r="C677" s="193"/>
      <c r="D677" s="189">
        <f t="shared" si="1"/>
        <v>0</v>
      </c>
    </row>
    <row r="678">
      <c r="A678" s="36"/>
      <c r="B678" s="194" t="s">
        <v>29</v>
      </c>
      <c r="C678" s="193"/>
      <c r="D678" s="189">
        <f t="shared" si="1"/>
        <v>0</v>
      </c>
    </row>
    <row r="679">
      <c r="A679" s="36"/>
      <c r="B679" s="195" t="s">
        <v>30</v>
      </c>
      <c r="C679" s="193"/>
      <c r="D679" s="189">
        <f t="shared" si="1"/>
        <v>0</v>
      </c>
    </row>
    <row r="680">
      <c r="A680" s="36"/>
      <c r="B680" s="196" t="s">
        <v>31</v>
      </c>
      <c r="C680" s="193"/>
      <c r="D680" s="189">
        <f t="shared" si="1"/>
        <v>0</v>
      </c>
    </row>
    <row r="681">
      <c r="A681" s="36"/>
      <c r="B681" s="196" t="s">
        <v>32</v>
      </c>
      <c r="C681" s="193"/>
      <c r="D681" s="189">
        <f t="shared" si="1"/>
        <v>0</v>
      </c>
    </row>
    <row r="682">
      <c r="A682" s="36"/>
      <c r="B682" s="196" t="s">
        <v>33</v>
      </c>
      <c r="C682" s="193"/>
      <c r="D682" s="189">
        <f t="shared" si="1"/>
        <v>0</v>
      </c>
    </row>
    <row r="683">
      <c r="A683" s="91"/>
      <c r="B683" s="196" t="s">
        <v>34</v>
      </c>
      <c r="C683" s="193"/>
      <c r="D683" s="189">
        <f t="shared" si="1"/>
        <v>0</v>
      </c>
    </row>
    <row r="684">
      <c r="A684" s="186">
        <v>46190.0</v>
      </c>
      <c r="B684" s="187" t="s">
        <v>4</v>
      </c>
      <c r="C684" s="188"/>
      <c r="D684" s="189">
        <f t="shared" si="1"/>
        <v>0</v>
      </c>
    </row>
    <row r="685">
      <c r="A685" s="36"/>
      <c r="B685" s="187" t="s">
        <v>5</v>
      </c>
      <c r="C685" s="188"/>
      <c r="D685" s="189">
        <f t="shared" si="1"/>
        <v>0</v>
      </c>
    </row>
    <row r="686">
      <c r="A686" s="36"/>
      <c r="B686" s="187" t="s">
        <v>6</v>
      </c>
      <c r="C686" s="188"/>
      <c r="D686" s="189">
        <f t="shared" si="1"/>
        <v>0</v>
      </c>
    </row>
    <row r="687">
      <c r="A687" s="36"/>
      <c r="B687" s="187" t="s">
        <v>22</v>
      </c>
      <c r="C687" s="188"/>
      <c r="D687" s="189">
        <f t="shared" si="1"/>
        <v>0</v>
      </c>
    </row>
    <row r="688">
      <c r="A688" s="36"/>
      <c r="B688" s="187" t="s">
        <v>7</v>
      </c>
      <c r="C688" s="188"/>
      <c r="D688" s="189">
        <f t="shared" si="1"/>
        <v>0</v>
      </c>
    </row>
    <row r="689">
      <c r="A689" s="36"/>
      <c r="B689" s="192" t="s">
        <v>8</v>
      </c>
      <c r="C689" s="188"/>
      <c r="D689" s="189">
        <f t="shared" si="1"/>
        <v>0</v>
      </c>
    </row>
    <row r="690">
      <c r="A690" s="36"/>
      <c r="B690" s="187" t="s">
        <v>9</v>
      </c>
      <c r="C690" s="188"/>
      <c r="D690" s="189">
        <f t="shared" si="1"/>
        <v>0</v>
      </c>
    </row>
    <row r="691">
      <c r="A691" s="36"/>
      <c r="B691" s="187" t="s">
        <v>10</v>
      </c>
      <c r="C691" s="188"/>
      <c r="D691" s="189">
        <f t="shared" si="1"/>
        <v>0</v>
      </c>
    </row>
    <row r="692">
      <c r="A692" s="36"/>
      <c r="B692" s="187" t="s">
        <v>11</v>
      </c>
      <c r="C692" s="188"/>
      <c r="D692" s="189">
        <f t="shared" si="1"/>
        <v>0</v>
      </c>
    </row>
    <row r="693">
      <c r="A693" s="36"/>
      <c r="B693" s="192" t="s">
        <v>12</v>
      </c>
      <c r="C693" s="188"/>
      <c r="D693" s="189">
        <f t="shared" si="1"/>
        <v>0</v>
      </c>
    </row>
    <row r="694">
      <c r="A694" s="36"/>
      <c r="B694" s="192" t="s">
        <v>13</v>
      </c>
      <c r="C694" s="188"/>
      <c r="D694" s="189">
        <f t="shared" si="1"/>
        <v>0</v>
      </c>
    </row>
    <row r="695">
      <c r="A695" s="36"/>
      <c r="B695" s="192" t="s">
        <v>14</v>
      </c>
      <c r="C695" s="188"/>
      <c r="D695" s="189">
        <f t="shared" si="1"/>
        <v>0</v>
      </c>
    </row>
    <row r="696">
      <c r="A696" s="36"/>
      <c r="B696" s="192" t="s">
        <v>15</v>
      </c>
      <c r="C696" s="188"/>
      <c r="D696" s="189">
        <f t="shared" si="1"/>
        <v>0</v>
      </c>
    </row>
    <row r="697">
      <c r="A697" s="36"/>
      <c r="B697" s="192" t="s">
        <v>16</v>
      </c>
      <c r="C697" s="188"/>
      <c r="D697" s="189">
        <f t="shared" si="1"/>
        <v>0</v>
      </c>
    </row>
    <row r="698">
      <c r="A698" s="36"/>
      <c r="B698" s="192" t="s">
        <v>17</v>
      </c>
      <c r="C698" s="188"/>
      <c r="D698" s="189">
        <f t="shared" si="1"/>
        <v>0</v>
      </c>
    </row>
    <row r="699">
      <c r="A699" s="36"/>
      <c r="B699" s="187" t="s">
        <v>18</v>
      </c>
      <c r="C699" s="188"/>
      <c r="D699" s="189">
        <f t="shared" si="1"/>
        <v>0</v>
      </c>
    </row>
    <row r="700">
      <c r="A700" s="36"/>
      <c r="B700" s="187" t="s">
        <v>19</v>
      </c>
      <c r="C700" s="188"/>
      <c r="D700" s="189">
        <f t="shared" si="1"/>
        <v>0</v>
      </c>
    </row>
    <row r="701">
      <c r="A701" s="36"/>
      <c r="B701" s="187" t="s">
        <v>20</v>
      </c>
      <c r="C701" s="188"/>
      <c r="D701" s="189">
        <f t="shared" si="1"/>
        <v>0</v>
      </c>
    </row>
    <row r="702">
      <c r="A702" s="36"/>
      <c r="B702" s="187" t="s">
        <v>21</v>
      </c>
      <c r="C702" s="188"/>
      <c r="D702" s="189">
        <f t="shared" si="1"/>
        <v>0</v>
      </c>
    </row>
    <row r="703">
      <c r="A703" s="36"/>
      <c r="B703" s="187" t="s">
        <v>23</v>
      </c>
      <c r="C703" s="188"/>
      <c r="D703" s="189">
        <f t="shared" si="1"/>
        <v>0</v>
      </c>
    </row>
    <row r="704">
      <c r="A704" s="36"/>
      <c r="B704" s="187" t="s">
        <v>24</v>
      </c>
      <c r="C704" s="188"/>
      <c r="D704" s="189">
        <f t="shared" si="1"/>
        <v>0</v>
      </c>
    </row>
    <row r="705">
      <c r="A705" s="36"/>
      <c r="B705" s="187" t="s">
        <v>25</v>
      </c>
      <c r="C705" s="193"/>
      <c r="D705" s="189">
        <f t="shared" si="1"/>
        <v>0</v>
      </c>
    </row>
    <row r="706">
      <c r="A706" s="36"/>
      <c r="B706" s="187" t="s">
        <v>26</v>
      </c>
      <c r="C706" s="193"/>
      <c r="D706" s="189">
        <f t="shared" si="1"/>
        <v>0</v>
      </c>
    </row>
    <row r="707">
      <c r="A707" s="36"/>
      <c r="B707" s="187" t="s">
        <v>27</v>
      </c>
      <c r="C707" s="193"/>
      <c r="D707" s="189">
        <f t="shared" si="1"/>
        <v>0</v>
      </c>
    </row>
    <row r="708">
      <c r="A708" s="36"/>
      <c r="B708" s="187" t="s">
        <v>28</v>
      </c>
      <c r="C708" s="193"/>
      <c r="D708" s="189">
        <f t="shared" si="1"/>
        <v>0</v>
      </c>
    </row>
    <row r="709">
      <c r="A709" s="36"/>
      <c r="B709" s="194" t="s">
        <v>29</v>
      </c>
      <c r="C709" s="193"/>
      <c r="D709" s="189">
        <f t="shared" si="1"/>
        <v>0</v>
      </c>
    </row>
    <row r="710">
      <c r="A710" s="36"/>
      <c r="B710" s="195" t="s">
        <v>30</v>
      </c>
      <c r="C710" s="193"/>
      <c r="D710" s="189">
        <f t="shared" si="1"/>
        <v>0</v>
      </c>
    </row>
    <row r="711">
      <c r="A711" s="36"/>
      <c r="B711" s="196" t="s">
        <v>31</v>
      </c>
      <c r="C711" s="193"/>
      <c r="D711" s="189">
        <f t="shared" si="1"/>
        <v>0</v>
      </c>
    </row>
    <row r="712">
      <c r="A712" s="36"/>
      <c r="B712" s="196" t="s">
        <v>32</v>
      </c>
      <c r="C712" s="193"/>
      <c r="D712" s="189">
        <f t="shared" si="1"/>
        <v>0</v>
      </c>
    </row>
    <row r="713">
      <c r="A713" s="36"/>
      <c r="B713" s="196" t="s">
        <v>33</v>
      </c>
      <c r="C713" s="193"/>
      <c r="D713" s="189">
        <f t="shared" si="1"/>
        <v>0</v>
      </c>
    </row>
    <row r="714">
      <c r="A714" s="91"/>
      <c r="B714" s="196" t="s">
        <v>34</v>
      </c>
      <c r="C714" s="193"/>
      <c r="D714" s="189">
        <f t="shared" si="1"/>
        <v>0</v>
      </c>
    </row>
    <row r="715">
      <c r="A715" s="186">
        <v>46191.0</v>
      </c>
      <c r="B715" s="187" t="s">
        <v>4</v>
      </c>
      <c r="C715" s="188"/>
      <c r="D715" s="189">
        <f t="shared" si="1"/>
        <v>0</v>
      </c>
    </row>
    <row r="716">
      <c r="A716" s="36"/>
      <c r="B716" s="187" t="s">
        <v>5</v>
      </c>
      <c r="C716" s="188"/>
      <c r="D716" s="189">
        <f t="shared" si="1"/>
        <v>0</v>
      </c>
    </row>
    <row r="717">
      <c r="A717" s="36"/>
      <c r="B717" s="187" t="s">
        <v>6</v>
      </c>
      <c r="C717" s="188"/>
      <c r="D717" s="189">
        <f t="shared" si="1"/>
        <v>0</v>
      </c>
    </row>
    <row r="718">
      <c r="A718" s="36"/>
      <c r="B718" s="187" t="s">
        <v>22</v>
      </c>
      <c r="C718" s="188"/>
      <c r="D718" s="189">
        <f t="shared" si="1"/>
        <v>0</v>
      </c>
    </row>
    <row r="719">
      <c r="A719" s="36"/>
      <c r="B719" s="187" t="s">
        <v>7</v>
      </c>
      <c r="C719" s="188"/>
      <c r="D719" s="189">
        <f t="shared" si="1"/>
        <v>0</v>
      </c>
    </row>
    <row r="720">
      <c r="A720" s="36"/>
      <c r="B720" s="192" t="s">
        <v>8</v>
      </c>
      <c r="C720" s="188"/>
      <c r="D720" s="189">
        <f t="shared" si="1"/>
        <v>0</v>
      </c>
    </row>
    <row r="721">
      <c r="A721" s="36"/>
      <c r="B721" s="187" t="s">
        <v>9</v>
      </c>
      <c r="C721" s="188"/>
      <c r="D721" s="189">
        <f t="shared" si="1"/>
        <v>0</v>
      </c>
    </row>
    <row r="722">
      <c r="A722" s="36"/>
      <c r="B722" s="187" t="s">
        <v>10</v>
      </c>
      <c r="C722" s="188"/>
      <c r="D722" s="189">
        <f t="shared" si="1"/>
        <v>0</v>
      </c>
    </row>
    <row r="723">
      <c r="A723" s="36"/>
      <c r="B723" s="187" t="s">
        <v>11</v>
      </c>
      <c r="C723" s="188"/>
      <c r="D723" s="189">
        <f t="shared" si="1"/>
        <v>0</v>
      </c>
    </row>
    <row r="724">
      <c r="A724" s="36"/>
      <c r="B724" s="192" t="s">
        <v>12</v>
      </c>
      <c r="C724" s="188"/>
      <c r="D724" s="189">
        <f t="shared" si="1"/>
        <v>0</v>
      </c>
    </row>
    <row r="725">
      <c r="A725" s="36"/>
      <c r="B725" s="192" t="s">
        <v>13</v>
      </c>
      <c r="C725" s="188"/>
      <c r="D725" s="189">
        <f t="shared" si="1"/>
        <v>0</v>
      </c>
    </row>
    <row r="726">
      <c r="A726" s="36"/>
      <c r="B726" s="192" t="s">
        <v>14</v>
      </c>
      <c r="C726" s="188"/>
      <c r="D726" s="189">
        <f t="shared" si="1"/>
        <v>0</v>
      </c>
    </row>
    <row r="727">
      <c r="A727" s="36"/>
      <c r="B727" s="192" t="s">
        <v>15</v>
      </c>
      <c r="C727" s="188"/>
      <c r="D727" s="189">
        <f t="shared" si="1"/>
        <v>0</v>
      </c>
    </row>
    <row r="728">
      <c r="A728" s="36"/>
      <c r="B728" s="192" t="s">
        <v>16</v>
      </c>
      <c r="C728" s="188"/>
      <c r="D728" s="189">
        <f t="shared" si="1"/>
        <v>0</v>
      </c>
    </row>
    <row r="729">
      <c r="A729" s="36"/>
      <c r="B729" s="192" t="s">
        <v>17</v>
      </c>
      <c r="C729" s="188"/>
      <c r="D729" s="189">
        <f t="shared" si="1"/>
        <v>0</v>
      </c>
    </row>
    <row r="730">
      <c r="A730" s="36"/>
      <c r="B730" s="187" t="s">
        <v>18</v>
      </c>
      <c r="C730" s="188"/>
      <c r="D730" s="189">
        <f t="shared" si="1"/>
        <v>0</v>
      </c>
    </row>
    <row r="731">
      <c r="A731" s="36"/>
      <c r="B731" s="187" t="s">
        <v>19</v>
      </c>
      <c r="C731" s="188"/>
      <c r="D731" s="189">
        <f t="shared" si="1"/>
        <v>0</v>
      </c>
    </row>
    <row r="732">
      <c r="A732" s="36"/>
      <c r="B732" s="187" t="s">
        <v>20</v>
      </c>
      <c r="C732" s="188"/>
      <c r="D732" s="189">
        <f t="shared" si="1"/>
        <v>0</v>
      </c>
    </row>
    <row r="733">
      <c r="A733" s="36"/>
      <c r="B733" s="187" t="s">
        <v>21</v>
      </c>
      <c r="C733" s="188"/>
      <c r="D733" s="189">
        <f t="shared" si="1"/>
        <v>0</v>
      </c>
    </row>
    <row r="734">
      <c r="A734" s="36"/>
      <c r="B734" s="187" t="s">
        <v>23</v>
      </c>
      <c r="C734" s="188"/>
      <c r="D734" s="189">
        <f t="shared" si="1"/>
        <v>0</v>
      </c>
    </row>
    <row r="735">
      <c r="A735" s="36"/>
      <c r="B735" s="187" t="s">
        <v>24</v>
      </c>
      <c r="C735" s="188"/>
      <c r="D735" s="189">
        <f t="shared" si="1"/>
        <v>0</v>
      </c>
    </row>
    <row r="736">
      <c r="A736" s="36"/>
      <c r="B736" s="187" t="s">
        <v>25</v>
      </c>
      <c r="C736" s="193"/>
      <c r="D736" s="189">
        <f t="shared" si="1"/>
        <v>0</v>
      </c>
    </row>
    <row r="737">
      <c r="A737" s="36"/>
      <c r="B737" s="187" t="s">
        <v>26</v>
      </c>
      <c r="C737" s="193"/>
      <c r="D737" s="189">
        <f t="shared" si="1"/>
        <v>0</v>
      </c>
    </row>
    <row r="738">
      <c r="A738" s="36"/>
      <c r="B738" s="187" t="s">
        <v>27</v>
      </c>
      <c r="C738" s="193"/>
      <c r="D738" s="189">
        <f t="shared" si="1"/>
        <v>0</v>
      </c>
    </row>
    <row r="739">
      <c r="A739" s="36"/>
      <c r="B739" s="187" t="s">
        <v>28</v>
      </c>
      <c r="C739" s="193"/>
      <c r="D739" s="189">
        <f t="shared" si="1"/>
        <v>0</v>
      </c>
    </row>
    <row r="740">
      <c r="A740" s="36"/>
      <c r="B740" s="194" t="s">
        <v>29</v>
      </c>
      <c r="C740" s="193"/>
      <c r="D740" s="189">
        <f t="shared" si="1"/>
        <v>0</v>
      </c>
    </row>
    <row r="741">
      <c r="A741" s="36"/>
      <c r="B741" s="195" t="s">
        <v>30</v>
      </c>
      <c r="C741" s="193"/>
      <c r="D741" s="189">
        <f t="shared" si="1"/>
        <v>0</v>
      </c>
    </row>
    <row r="742">
      <c r="A742" s="36"/>
      <c r="B742" s="196" t="s">
        <v>31</v>
      </c>
      <c r="C742" s="193"/>
      <c r="D742" s="189">
        <f t="shared" si="1"/>
        <v>0</v>
      </c>
    </row>
    <row r="743">
      <c r="A743" s="36"/>
      <c r="B743" s="196" t="s">
        <v>32</v>
      </c>
      <c r="C743" s="193"/>
      <c r="D743" s="189">
        <f t="shared" si="1"/>
        <v>0</v>
      </c>
    </row>
    <row r="744">
      <c r="A744" s="36"/>
      <c r="B744" s="196" t="s">
        <v>33</v>
      </c>
      <c r="C744" s="193"/>
      <c r="D744" s="189">
        <f t="shared" si="1"/>
        <v>0</v>
      </c>
    </row>
    <row r="745">
      <c r="A745" s="91"/>
      <c r="B745" s="196" t="s">
        <v>34</v>
      </c>
      <c r="C745" s="193"/>
      <c r="D745" s="189">
        <f t="shared" si="1"/>
        <v>0</v>
      </c>
    </row>
    <row r="746">
      <c r="A746" s="186">
        <v>46192.0</v>
      </c>
      <c r="B746" s="187" t="s">
        <v>4</v>
      </c>
      <c r="C746" s="188"/>
      <c r="D746" s="189">
        <f t="shared" si="1"/>
        <v>0</v>
      </c>
    </row>
    <row r="747">
      <c r="A747" s="36"/>
      <c r="B747" s="187" t="s">
        <v>5</v>
      </c>
      <c r="C747" s="188"/>
      <c r="D747" s="189">
        <f t="shared" si="1"/>
        <v>0</v>
      </c>
    </row>
    <row r="748">
      <c r="A748" s="36"/>
      <c r="B748" s="187" t="s">
        <v>6</v>
      </c>
      <c r="C748" s="188"/>
      <c r="D748" s="189">
        <f t="shared" si="1"/>
        <v>0</v>
      </c>
    </row>
    <row r="749">
      <c r="A749" s="36"/>
      <c r="B749" s="187" t="s">
        <v>22</v>
      </c>
      <c r="C749" s="188"/>
      <c r="D749" s="189">
        <f t="shared" si="1"/>
        <v>0</v>
      </c>
    </row>
    <row r="750">
      <c r="A750" s="36"/>
      <c r="B750" s="187" t="s">
        <v>7</v>
      </c>
      <c r="C750" s="188"/>
      <c r="D750" s="189">
        <f t="shared" si="1"/>
        <v>0</v>
      </c>
    </row>
    <row r="751">
      <c r="A751" s="36"/>
      <c r="B751" s="192" t="s">
        <v>8</v>
      </c>
      <c r="C751" s="188"/>
      <c r="D751" s="189">
        <f t="shared" si="1"/>
        <v>0</v>
      </c>
    </row>
    <row r="752">
      <c r="A752" s="36"/>
      <c r="B752" s="187" t="s">
        <v>9</v>
      </c>
      <c r="C752" s="188"/>
      <c r="D752" s="189">
        <f t="shared" si="1"/>
        <v>0</v>
      </c>
    </row>
    <row r="753">
      <c r="A753" s="36"/>
      <c r="B753" s="187" t="s">
        <v>10</v>
      </c>
      <c r="C753" s="188">
        <v>10.0</v>
      </c>
      <c r="D753" s="189">
        <f t="shared" si="1"/>
        <v>10</v>
      </c>
    </row>
    <row r="754">
      <c r="A754" s="36"/>
      <c r="B754" s="187" t="s">
        <v>11</v>
      </c>
      <c r="C754" s="188">
        <v>10.0</v>
      </c>
      <c r="D754" s="189">
        <f t="shared" si="1"/>
        <v>10</v>
      </c>
    </row>
    <row r="755">
      <c r="A755" s="36"/>
      <c r="B755" s="192" t="s">
        <v>12</v>
      </c>
      <c r="C755" s="188"/>
      <c r="D755" s="189">
        <f t="shared" si="1"/>
        <v>0</v>
      </c>
    </row>
    <row r="756">
      <c r="A756" s="36"/>
      <c r="B756" s="192" t="s">
        <v>13</v>
      </c>
      <c r="C756" s="188"/>
      <c r="D756" s="189">
        <f t="shared" si="1"/>
        <v>0</v>
      </c>
    </row>
    <row r="757">
      <c r="A757" s="36"/>
      <c r="B757" s="192" t="s">
        <v>14</v>
      </c>
      <c r="C757" s="188"/>
      <c r="D757" s="189">
        <f t="shared" si="1"/>
        <v>0</v>
      </c>
    </row>
    <row r="758">
      <c r="A758" s="36"/>
      <c r="B758" s="192" t="s">
        <v>15</v>
      </c>
      <c r="C758" s="188"/>
      <c r="D758" s="189">
        <f t="shared" si="1"/>
        <v>0</v>
      </c>
    </row>
    <row r="759">
      <c r="A759" s="36"/>
      <c r="B759" s="192" t="s">
        <v>16</v>
      </c>
      <c r="C759" s="188"/>
      <c r="D759" s="189">
        <f t="shared" si="1"/>
        <v>0</v>
      </c>
    </row>
    <row r="760">
      <c r="A760" s="36"/>
      <c r="B760" s="192" t="s">
        <v>17</v>
      </c>
      <c r="C760" s="188"/>
      <c r="D760" s="189">
        <f t="shared" si="1"/>
        <v>0</v>
      </c>
    </row>
    <row r="761">
      <c r="A761" s="36"/>
      <c r="B761" s="187" t="s">
        <v>18</v>
      </c>
      <c r="C761" s="188"/>
      <c r="D761" s="189">
        <f t="shared" si="1"/>
        <v>0</v>
      </c>
    </row>
    <row r="762">
      <c r="A762" s="36"/>
      <c r="B762" s="187" t="s">
        <v>19</v>
      </c>
      <c r="C762" s="188"/>
      <c r="D762" s="189">
        <f t="shared" si="1"/>
        <v>0</v>
      </c>
    </row>
    <row r="763">
      <c r="A763" s="36"/>
      <c r="B763" s="187" t="s">
        <v>20</v>
      </c>
      <c r="C763" s="193"/>
      <c r="D763" s="189">
        <f t="shared" si="1"/>
        <v>0</v>
      </c>
    </row>
    <row r="764">
      <c r="A764" s="36"/>
      <c r="B764" s="187" t="s">
        <v>21</v>
      </c>
      <c r="C764" s="193"/>
      <c r="D764" s="189">
        <f t="shared" si="1"/>
        <v>0</v>
      </c>
    </row>
    <row r="765">
      <c r="A765" s="36"/>
      <c r="B765" s="187" t="s">
        <v>23</v>
      </c>
      <c r="C765" s="193"/>
      <c r="D765" s="189">
        <f t="shared" si="1"/>
        <v>0</v>
      </c>
    </row>
    <row r="766">
      <c r="A766" s="36"/>
      <c r="B766" s="187" t="s">
        <v>24</v>
      </c>
      <c r="C766" s="193">
        <v>20.0</v>
      </c>
      <c r="D766" s="189">
        <f t="shared" si="1"/>
        <v>20</v>
      </c>
    </row>
    <row r="767">
      <c r="A767" s="36"/>
      <c r="B767" s="187" t="s">
        <v>25</v>
      </c>
      <c r="C767" s="193">
        <v>20.0</v>
      </c>
      <c r="D767" s="189">
        <f t="shared" si="1"/>
        <v>20</v>
      </c>
    </row>
    <row r="768">
      <c r="A768" s="36"/>
      <c r="B768" s="187" t="s">
        <v>26</v>
      </c>
      <c r="C768" s="193">
        <v>20.0</v>
      </c>
      <c r="D768" s="189">
        <f t="shared" si="1"/>
        <v>20</v>
      </c>
    </row>
    <row r="769">
      <c r="A769" s="36"/>
      <c r="B769" s="187" t="s">
        <v>27</v>
      </c>
      <c r="C769" s="193">
        <v>20.0</v>
      </c>
      <c r="D769" s="189">
        <f t="shared" si="1"/>
        <v>20</v>
      </c>
    </row>
    <row r="770">
      <c r="A770" s="36"/>
      <c r="B770" s="187" t="s">
        <v>28</v>
      </c>
      <c r="C770" s="193"/>
      <c r="D770" s="189">
        <f t="shared" si="1"/>
        <v>0</v>
      </c>
    </row>
    <row r="771">
      <c r="A771" s="36"/>
      <c r="B771" s="194" t="s">
        <v>29</v>
      </c>
      <c r="C771" s="193"/>
      <c r="D771" s="189">
        <f t="shared" si="1"/>
        <v>0</v>
      </c>
    </row>
    <row r="772">
      <c r="A772" s="36"/>
      <c r="B772" s="195" t="s">
        <v>30</v>
      </c>
      <c r="C772" s="193"/>
      <c r="D772" s="189">
        <f t="shared" si="1"/>
        <v>0</v>
      </c>
    </row>
    <row r="773">
      <c r="A773" s="36"/>
      <c r="B773" s="196" t="s">
        <v>31</v>
      </c>
      <c r="C773" s="193"/>
      <c r="D773" s="189">
        <f t="shared" si="1"/>
        <v>0</v>
      </c>
    </row>
    <row r="774">
      <c r="A774" s="36"/>
      <c r="B774" s="196" t="s">
        <v>32</v>
      </c>
      <c r="C774" s="193"/>
      <c r="D774" s="189">
        <f t="shared" si="1"/>
        <v>0</v>
      </c>
    </row>
    <row r="775">
      <c r="A775" s="36"/>
      <c r="B775" s="196" t="s">
        <v>33</v>
      </c>
      <c r="C775" s="193"/>
      <c r="D775" s="189">
        <f t="shared" si="1"/>
        <v>0</v>
      </c>
    </row>
    <row r="776">
      <c r="A776" s="91"/>
      <c r="B776" s="196" t="s">
        <v>34</v>
      </c>
      <c r="C776" s="193"/>
      <c r="D776" s="189">
        <f t="shared" si="1"/>
        <v>0</v>
      </c>
    </row>
    <row r="777">
      <c r="A777" s="186">
        <v>46193.0</v>
      </c>
      <c r="B777" s="187" t="s">
        <v>4</v>
      </c>
      <c r="C777" s="188"/>
      <c r="D777" s="189">
        <f t="shared" si="1"/>
        <v>0</v>
      </c>
    </row>
    <row r="778">
      <c r="A778" s="36"/>
      <c r="B778" s="187" t="s">
        <v>5</v>
      </c>
      <c r="C778" s="188"/>
      <c r="D778" s="189">
        <f t="shared" si="1"/>
        <v>0</v>
      </c>
    </row>
    <row r="779">
      <c r="A779" s="36"/>
      <c r="B779" s="187" t="s">
        <v>6</v>
      </c>
      <c r="C779" s="188"/>
      <c r="D779" s="189">
        <f t="shared" si="1"/>
        <v>0</v>
      </c>
    </row>
    <row r="780">
      <c r="A780" s="36"/>
      <c r="B780" s="187" t="s">
        <v>22</v>
      </c>
      <c r="C780" s="188"/>
      <c r="D780" s="189">
        <f t="shared" si="1"/>
        <v>0</v>
      </c>
    </row>
    <row r="781">
      <c r="A781" s="36"/>
      <c r="B781" s="187" t="s">
        <v>7</v>
      </c>
      <c r="C781" s="188"/>
      <c r="D781" s="189">
        <f t="shared" si="1"/>
        <v>0</v>
      </c>
    </row>
    <row r="782">
      <c r="A782" s="36"/>
      <c r="B782" s="192" t="s">
        <v>8</v>
      </c>
      <c r="C782" s="188"/>
      <c r="D782" s="189">
        <f t="shared" si="1"/>
        <v>0</v>
      </c>
    </row>
    <row r="783">
      <c r="A783" s="36"/>
      <c r="B783" s="187" t="s">
        <v>9</v>
      </c>
      <c r="C783" s="188"/>
      <c r="D783" s="189">
        <f t="shared" si="1"/>
        <v>0</v>
      </c>
    </row>
    <row r="784">
      <c r="A784" s="36"/>
      <c r="B784" s="187" t="s">
        <v>10</v>
      </c>
      <c r="C784" s="188"/>
      <c r="D784" s="189">
        <f t="shared" si="1"/>
        <v>0</v>
      </c>
    </row>
    <row r="785">
      <c r="A785" s="36"/>
      <c r="B785" s="187" t="s">
        <v>11</v>
      </c>
      <c r="C785" s="188"/>
      <c r="D785" s="189">
        <f t="shared" si="1"/>
        <v>0</v>
      </c>
    </row>
    <row r="786">
      <c r="A786" s="36"/>
      <c r="B786" s="192" t="s">
        <v>12</v>
      </c>
      <c r="C786" s="188"/>
      <c r="D786" s="189">
        <f t="shared" si="1"/>
        <v>0</v>
      </c>
    </row>
    <row r="787">
      <c r="A787" s="36"/>
      <c r="B787" s="192" t="s">
        <v>13</v>
      </c>
      <c r="C787" s="188"/>
      <c r="D787" s="189">
        <f t="shared" si="1"/>
        <v>0</v>
      </c>
    </row>
    <row r="788">
      <c r="A788" s="36"/>
      <c r="B788" s="192" t="s">
        <v>14</v>
      </c>
      <c r="C788" s="188"/>
      <c r="D788" s="189">
        <f t="shared" si="1"/>
        <v>0</v>
      </c>
    </row>
    <row r="789">
      <c r="A789" s="36"/>
      <c r="B789" s="192" t="s">
        <v>15</v>
      </c>
      <c r="C789" s="188"/>
      <c r="D789" s="189">
        <f t="shared" si="1"/>
        <v>0</v>
      </c>
    </row>
    <row r="790">
      <c r="A790" s="36"/>
      <c r="B790" s="192" t="s">
        <v>16</v>
      </c>
      <c r="C790" s="188"/>
      <c r="D790" s="189">
        <f t="shared" si="1"/>
        <v>0</v>
      </c>
    </row>
    <row r="791">
      <c r="A791" s="36"/>
      <c r="B791" s="192" t="s">
        <v>17</v>
      </c>
      <c r="C791" s="188"/>
      <c r="D791" s="189">
        <f t="shared" si="1"/>
        <v>0</v>
      </c>
    </row>
    <row r="792">
      <c r="A792" s="36"/>
      <c r="B792" s="187" t="s">
        <v>18</v>
      </c>
      <c r="C792" s="188"/>
      <c r="D792" s="189">
        <f t="shared" si="1"/>
        <v>0</v>
      </c>
    </row>
    <row r="793">
      <c r="A793" s="36"/>
      <c r="B793" s="187" t="s">
        <v>19</v>
      </c>
      <c r="C793" s="188"/>
      <c r="D793" s="189">
        <f t="shared" si="1"/>
        <v>0</v>
      </c>
    </row>
    <row r="794">
      <c r="A794" s="36"/>
      <c r="B794" s="187" t="s">
        <v>20</v>
      </c>
      <c r="C794" s="188"/>
      <c r="D794" s="189">
        <f t="shared" si="1"/>
        <v>0</v>
      </c>
    </row>
    <row r="795">
      <c r="A795" s="36"/>
      <c r="B795" s="187" t="s">
        <v>21</v>
      </c>
      <c r="C795" s="188"/>
      <c r="D795" s="189">
        <f t="shared" si="1"/>
        <v>0</v>
      </c>
    </row>
    <row r="796">
      <c r="A796" s="36"/>
      <c r="B796" s="187" t="s">
        <v>23</v>
      </c>
      <c r="C796" s="188"/>
      <c r="D796" s="189">
        <f t="shared" si="1"/>
        <v>0</v>
      </c>
    </row>
    <row r="797">
      <c r="A797" s="36"/>
      <c r="B797" s="187" t="s">
        <v>24</v>
      </c>
      <c r="C797" s="188"/>
      <c r="D797" s="189">
        <f t="shared" si="1"/>
        <v>0</v>
      </c>
    </row>
    <row r="798">
      <c r="A798" s="36"/>
      <c r="B798" s="187" t="s">
        <v>25</v>
      </c>
      <c r="C798" s="193"/>
      <c r="D798" s="189">
        <f t="shared" si="1"/>
        <v>0</v>
      </c>
    </row>
    <row r="799">
      <c r="A799" s="36"/>
      <c r="B799" s="187" t="s">
        <v>26</v>
      </c>
      <c r="C799" s="193"/>
      <c r="D799" s="189">
        <f t="shared" si="1"/>
        <v>0</v>
      </c>
    </row>
    <row r="800">
      <c r="A800" s="36"/>
      <c r="B800" s="187" t="s">
        <v>27</v>
      </c>
      <c r="C800" s="193"/>
      <c r="D800" s="189">
        <f t="shared" si="1"/>
        <v>0</v>
      </c>
    </row>
    <row r="801">
      <c r="A801" s="36"/>
      <c r="B801" s="187" t="s">
        <v>28</v>
      </c>
      <c r="C801" s="193"/>
      <c r="D801" s="189">
        <f t="shared" si="1"/>
        <v>0</v>
      </c>
    </row>
    <row r="802">
      <c r="A802" s="36"/>
      <c r="B802" s="194" t="s">
        <v>29</v>
      </c>
      <c r="C802" s="193"/>
      <c r="D802" s="189">
        <f t="shared" si="1"/>
        <v>0</v>
      </c>
    </row>
    <row r="803">
      <c r="A803" s="36"/>
      <c r="B803" s="195" t="s">
        <v>30</v>
      </c>
      <c r="C803" s="193"/>
      <c r="D803" s="189">
        <f t="shared" si="1"/>
        <v>0</v>
      </c>
    </row>
    <row r="804">
      <c r="A804" s="36"/>
      <c r="B804" s="196" t="s">
        <v>31</v>
      </c>
      <c r="C804" s="193"/>
      <c r="D804" s="189">
        <f t="shared" si="1"/>
        <v>0</v>
      </c>
    </row>
    <row r="805">
      <c r="A805" s="36"/>
      <c r="B805" s="196" t="s">
        <v>32</v>
      </c>
      <c r="C805" s="193"/>
      <c r="D805" s="189">
        <f t="shared" si="1"/>
        <v>0</v>
      </c>
    </row>
    <row r="806">
      <c r="A806" s="36"/>
      <c r="B806" s="196" t="s">
        <v>33</v>
      </c>
      <c r="C806" s="193"/>
      <c r="D806" s="189">
        <f t="shared" si="1"/>
        <v>0</v>
      </c>
    </row>
    <row r="807">
      <c r="A807" s="91"/>
      <c r="B807" s="196" t="s">
        <v>34</v>
      </c>
      <c r="C807" s="193"/>
      <c r="D807" s="189">
        <f t="shared" si="1"/>
        <v>0</v>
      </c>
    </row>
    <row r="808">
      <c r="A808" s="186">
        <v>46194.0</v>
      </c>
      <c r="B808" s="187" t="s">
        <v>4</v>
      </c>
      <c r="C808" s="188"/>
      <c r="D808" s="189">
        <f t="shared" si="1"/>
        <v>0</v>
      </c>
    </row>
    <row r="809">
      <c r="A809" s="36"/>
      <c r="B809" s="187" t="s">
        <v>5</v>
      </c>
      <c r="C809" s="188"/>
      <c r="D809" s="189">
        <f t="shared" si="1"/>
        <v>0</v>
      </c>
    </row>
    <row r="810">
      <c r="A810" s="36"/>
      <c r="B810" s="187" t="s">
        <v>6</v>
      </c>
      <c r="C810" s="188"/>
      <c r="D810" s="189">
        <f t="shared" si="1"/>
        <v>0</v>
      </c>
    </row>
    <row r="811">
      <c r="A811" s="36"/>
      <c r="B811" s="187" t="s">
        <v>22</v>
      </c>
      <c r="C811" s="188"/>
      <c r="D811" s="189">
        <f t="shared" si="1"/>
        <v>0</v>
      </c>
    </row>
    <row r="812">
      <c r="A812" s="36"/>
      <c r="B812" s="187" t="s">
        <v>7</v>
      </c>
      <c r="C812" s="188"/>
      <c r="D812" s="189">
        <f t="shared" si="1"/>
        <v>0</v>
      </c>
    </row>
    <row r="813">
      <c r="A813" s="36"/>
      <c r="B813" s="192" t="s">
        <v>8</v>
      </c>
      <c r="C813" s="188"/>
      <c r="D813" s="189">
        <f t="shared" si="1"/>
        <v>0</v>
      </c>
    </row>
    <row r="814">
      <c r="A814" s="36"/>
      <c r="B814" s="187" t="s">
        <v>9</v>
      </c>
      <c r="C814" s="188"/>
      <c r="D814" s="189">
        <f t="shared" si="1"/>
        <v>0</v>
      </c>
    </row>
    <row r="815">
      <c r="A815" s="36"/>
      <c r="B815" s="187" t="s">
        <v>10</v>
      </c>
      <c r="C815" s="188"/>
      <c r="D815" s="189">
        <f t="shared" si="1"/>
        <v>0</v>
      </c>
    </row>
    <row r="816">
      <c r="A816" s="36"/>
      <c r="B816" s="187" t="s">
        <v>11</v>
      </c>
      <c r="C816" s="188"/>
      <c r="D816" s="189">
        <f t="shared" si="1"/>
        <v>0</v>
      </c>
    </row>
    <row r="817">
      <c r="A817" s="36"/>
      <c r="B817" s="192" t="s">
        <v>12</v>
      </c>
      <c r="C817" s="188"/>
      <c r="D817" s="189">
        <f t="shared" si="1"/>
        <v>0</v>
      </c>
    </row>
    <row r="818">
      <c r="A818" s="36"/>
      <c r="B818" s="192" t="s">
        <v>13</v>
      </c>
      <c r="C818" s="188"/>
      <c r="D818" s="189">
        <f t="shared" si="1"/>
        <v>0</v>
      </c>
    </row>
    <row r="819">
      <c r="A819" s="36"/>
      <c r="B819" s="192" t="s">
        <v>14</v>
      </c>
      <c r="C819" s="188"/>
      <c r="D819" s="189">
        <f t="shared" si="1"/>
        <v>0</v>
      </c>
    </row>
    <row r="820">
      <c r="A820" s="36"/>
      <c r="B820" s="192" t="s">
        <v>15</v>
      </c>
      <c r="C820" s="188"/>
      <c r="D820" s="189">
        <f t="shared" si="1"/>
        <v>0</v>
      </c>
    </row>
    <row r="821">
      <c r="A821" s="36"/>
      <c r="B821" s="192" t="s">
        <v>16</v>
      </c>
      <c r="C821" s="188"/>
      <c r="D821" s="189">
        <f t="shared" si="1"/>
        <v>0</v>
      </c>
    </row>
    <row r="822">
      <c r="A822" s="36"/>
      <c r="B822" s="192" t="s">
        <v>17</v>
      </c>
      <c r="C822" s="188"/>
      <c r="D822" s="189">
        <f t="shared" si="1"/>
        <v>0</v>
      </c>
    </row>
    <row r="823">
      <c r="A823" s="36"/>
      <c r="B823" s="187" t="s">
        <v>18</v>
      </c>
      <c r="C823" s="188"/>
      <c r="D823" s="189">
        <f t="shared" si="1"/>
        <v>0</v>
      </c>
    </row>
    <row r="824">
      <c r="A824" s="36"/>
      <c r="B824" s="187" t="s">
        <v>19</v>
      </c>
      <c r="C824" s="188"/>
      <c r="D824" s="189">
        <f t="shared" si="1"/>
        <v>0</v>
      </c>
    </row>
    <row r="825">
      <c r="A825" s="36"/>
      <c r="B825" s="187" t="s">
        <v>20</v>
      </c>
      <c r="C825" s="188"/>
      <c r="D825" s="189">
        <f t="shared" si="1"/>
        <v>0</v>
      </c>
    </row>
    <row r="826">
      <c r="A826" s="36"/>
      <c r="B826" s="187" t="s">
        <v>21</v>
      </c>
      <c r="C826" s="188"/>
      <c r="D826" s="189">
        <f t="shared" si="1"/>
        <v>0</v>
      </c>
    </row>
    <row r="827">
      <c r="A827" s="36"/>
      <c r="B827" s="187" t="s">
        <v>23</v>
      </c>
      <c r="C827" s="188"/>
      <c r="D827" s="189">
        <f t="shared" si="1"/>
        <v>0</v>
      </c>
    </row>
    <row r="828">
      <c r="A828" s="36"/>
      <c r="B828" s="187" t="s">
        <v>24</v>
      </c>
      <c r="C828" s="188"/>
      <c r="D828" s="189">
        <f t="shared" si="1"/>
        <v>0</v>
      </c>
    </row>
    <row r="829">
      <c r="A829" s="36"/>
      <c r="B829" s="187" t="s">
        <v>25</v>
      </c>
      <c r="C829" s="193"/>
      <c r="D829" s="189">
        <f t="shared" si="1"/>
        <v>0</v>
      </c>
    </row>
    <row r="830">
      <c r="A830" s="36"/>
      <c r="B830" s="187" t="s">
        <v>26</v>
      </c>
      <c r="C830" s="193"/>
      <c r="D830" s="189">
        <f t="shared" si="1"/>
        <v>0</v>
      </c>
    </row>
    <row r="831">
      <c r="A831" s="36"/>
      <c r="B831" s="187" t="s">
        <v>27</v>
      </c>
      <c r="C831" s="193"/>
      <c r="D831" s="189">
        <f t="shared" si="1"/>
        <v>0</v>
      </c>
    </row>
    <row r="832">
      <c r="A832" s="36"/>
      <c r="B832" s="187" t="s">
        <v>28</v>
      </c>
      <c r="C832" s="193"/>
      <c r="D832" s="189">
        <f t="shared" si="1"/>
        <v>0</v>
      </c>
    </row>
    <row r="833">
      <c r="A833" s="36"/>
      <c r="B833" s="194" t="s">
        <v>29</v>
      </c>
      <c r="C833" s="193"/>
      <c r="D833" s="189">
        <f t="shared" si="1"/>
        <v>0</v>
      </c>
    </row>
    <row r="834">
      <c r="A834" s="36"/>
      <c r="B834" s="195" t="s">
        <v>30</v>
      </c>
      <c r="C834" s="193"/>
      <c r="D834" s="189">
        <f t="shared" si="1"/>
        <v>0</v>
      </c>
    </row>
    <row r="835">
      <c r="A835" s="36"/>
      <c r="B835" s="196" t="s">
        <v>31</v>
      </c>
      <c r="C835" s="193"/>
      <c r="D835" s="189">
        <f t="shared" si="1"/>
        <v>0</v>
      </c>
    </row>
    <row r="836">
      <c r="A836" s="36"/>
      <c r="B836" s="196" t="s">
        <v>32</v>
      </c>
      <c r="C836" s="193"/>
      <c r="D836" s="189">
        <f t="shared" si="1"/>
        <v>0</v>
      </c>
    </row>
    <row r="837">
      <c r="A837" s="36"/>
      <c r="B837" s="196" t="s">
        <v>33</v>
      </c>
      <c r="C837" s="193"/>
      <c r="D837" s="189">
        <f t="shared" si="1"/>
        <v>0</v>
      </c>
    </row>
    <row r="838">
      <c r="A838" s="91"/>
      <c r="B838" s="196" t="s">
        <v>34</v>
      </c>
      <c r="C838" s="193"/>
      <c r="D838" s="189">
        <f t="shared" si="1"/>
        <v>0</v>
      </c>
    </row>
    <row r="839">
      <c r="A839" s="186">
        <v>46195.0</v>
      </c>
      <c r="B839" s="187" t="s">
        <v>4</v>
      </c>
      <c r="C839" s="188"/>
      <c r="D839" s="189">
        <f t="shared" si="1"/>
        <v>0</v>
      </c>
    </row>
    <row r="840">
      <c r="A840" s="36"/>
      <c r="B840" s="187" t="s">
        <v>5</v>
      </c>
      <c r="C840" s="188"/>
      <c r="D840" s="189">
        <f t="shared" si="1"/>
        <v>0</v>
      </c>
    </row>
    <row r="841">
      <c r="A841" s="36"/>
      <c r="B841" s="187" t="s">
        <v>6</v>
      </c>
      <c r="C841" s="188"/>
      <c r="D841" s="189">
        <f t="shared" si="1"/>
        <v>0</v>
      </c>
    </row>
    <row r="842">
      <c r="A842" s="36"/>
      <c r="B842" s="187" t="s">
        <v>22</v>
      </c>
      <c r="C842" s="188"/>
      <c r="D842" s="189">
        <f t="shared" si="1"/>
        <v>0</v>
      </c>
    </row>
    <row r="843">
      <c r="A843" s="36"/>
      <c r="B843" s="187" t="s">
        <v>7</v>
      </c>
      <c r="C843" s="188"/>
      <c r="D843" s="189">
        <f t="shared" si="1"/>
        <v>0</v>
      </c>
    </row>
    <row r="844">
      <c r="A844" s="36"/>
      <c r="B844" s="192" t="s">
        <v>8</v>
      </c>
      <c r="C844" s="188"/>
      <c r="D844" s="189">
        <f t="shared" si="1"/>
        <v>0</v>
      </c>
    </row>
    <row r="845">
      <c r="A845" s="36"/>
      <c r="B845" s="187" t="s">
        <v>9</v>
      </c>
      <c r="C845" s="188"/>
      <c r="D845" s="189">
        <f t="shared" si="1"/>
        <v>0</v>
      </c>
    </row>
    <row r="846">
      <c r="A846" s="36"/>
      <c r="B846" s="187" t="s">
        <v>10</v>
      </c>
      <c r="C846" s="188"/>
      <c r="D846" s="189">
        <f t="shared" si="1"/>
        <v>0</v>
      </c>
    </row>
    <row r="847">
      <c r="A847" s="36"/>
      <c r="B847" s="187" t="s">
        <v>11</v>
      </c>
      <c r="C847" s="188"/>
      <c r="D847" s="189">
        <f t="shared" si="1"/>
        <v>0</v>
      </c>
    </row>
    <row r="848">
      <c r="A848" s="36"/>
      <c r="B848" s="192" t="s">
        <v>12</v>
      </c>
      <c r="C848" s="188"/>
      <c r="D848" s="189">
        <f t="shared" si="1"/>
        <v>0</v>
      </c>
    </row>
    <row r="849">
      <c r="A849" s="36"/>
      <c r="B849" s="192" t="s">
        <v>13</v>
      </c>
      <c r="C849" s="188"/>
      <c r="D849" s="189">
        <f t="shared" si="1"/>
        <v>0</v>
      </c>
    </row>
    <row r="850">
      <c r="A850" s="36"/>
      <c r="B850" s="192" t="s">
        <v>14</v>
      </c>
      <c r="C850" s="188"/>
      <c r="D850" s="189">
        <f t="shared" si="1"/>
        <v>0</v>
      </c>
    </row>
    <row r="851">
      <c r="A851" s="36"/>
      <c r="B851" s="192" t="s">
        <v>15</v>
      </c>
      <c r="C851" s="188"/>
      <c r="D851" s="189">
        <f t="shared" si="1"/>
        <v>0</v>
      </c>
    </row>
    <row r="852">
      <c r="A852" s="36"/>
      <c r="B852" s="192" t="s">
        <v>16</v>
      </c>
      <c r="C852" s="188"/>
      <c r="D852" s="189">
        <f t="shared" si="1"/>
        <v>0</v>
      </c>
    </row>
    <row r="853">
      <c r="A853" s="36"/>
      <c r="B853" s="192" t="s">
        <v>17</v>
      </c>
      <c r="C853" s="188"/>
      <c r="D853" s="189">
        <f t="shared" si="1"/>
        <v>0</v>
      </c>
    </row>
    <row r="854">
      <c r="A854" s="36"/>
      <c r="B854" s="187" t="s">
        <v>18</v>
      </c>
      <c r="C854" s="188"/>
      <c r="D854" s="189">
        <f t="shared" si="1"/>
        <v>0</v>
      </c>
    </row>
    <row r="855">
      <c r="A855" s="36"/>
      <c r="B855" s="187" t="s">
        <v>19</v>
      </c>
      <c r="C855" s="188"/>
      <c r="D855" s="189">
        <f t="shared" si="1"/>
        <v>0</v>
      </c>
    </row>
    <row r="856">
      <c r="A856" s="36"/>
      <c r="B856" s="187" t="s">
        <v>20</v>
      </c>
      <c r="C856" s="188"/>
      <c r="D856" s="189">
        <f t="shared" si="1"/>
        <v>0</v>
      </c>
    </row>
    <row r="857">
      <c r="A857" s="36"/>
      <c r="B857" s="187" t="s">
        <v>21</v>
      </c>
      <c r="C857" s="188"/>
      <c r="D857" s="189">
        <f t="shared" si="1"/>
        <v>0</v>
      </c>
    </row>
    <row r="858">
      <c r="A858" s="36"/>
      <c r="B858" s="187" t="s">
        <v>23</v>
      </c>
      <c r="C858" s="188"/>
      <c r="D858" s="189">
        <f t="shared" si="1"/>
        <v>0</v>
      </c>
    </row>
    <row r="859">
      <c r="A859" s="36"/>
      <c r="B859" s="187" t="s">
        <v>24</v>
      </c>
      <c r="C859" s="188"/>
      <c r="D859" s="189">
        <f t="shared" si="1"/>
        <v>0</v>
      </c>
    </row>
    <row r="860">
      <c r="A860" s="36"/>
      <c r="B860" s="187" t="s">
        <v>25</v>
      </c>
      <c r="C860" s="193"/>
      <c r="D860" s="189">
        <f t="shared" si="1"/>
        <v>0</v>
      </c>
    </row>
    <row r="861">
      <c r="A861" s="36"/>
      <c r="B861" s="187" t="s">
        <v>26</v>
      </c>
      <c r="C861" s="193"/>
      <c r="D861" s="189">
        <f t="shared" si="1"/>
        <v>0</v>
      </c>
    </row>
    <row r="862">
      <c r="A862" s="36"/>
      <c r="B862" s="187" t="s">
        <v>27</v>
      </c>
      <c r="C862" s="193"/>
      <c r="D862" s="189">
        <f t="shared" si="1"/>
        <v>0</v>
      </c>
    </row>
    <row r="863">
      <c r="A863" s="36"/>
      <c r="B863" s="187" t="s">
        <v>28</v>
      </c>
      <c r="C863" s="193"/>
      <c r="D863" s="189">
        <f t="shared" si="1"/>
        <v>0</v>
      </c>
    </row>
    <row r="864">
      <c r="A864" s="36"/>
      <c r="B864" s="194" t="s">
        <v>29</v>
      </c>
      <c r="C864" s="193"/>
      <c r="D864" s="189">
        <f t="shared" si="1"/>
        <v>0</v>
      </c>
    </row>
    <row r="865">
      <c r="A865" s="36"/>
      <c r="B865" s="195" t="s">
        <v>30</v>
      </c>
      <c r="C865" s="193"/>
      <c r="D865" s="189">
        <f t="shared" si="1"/>
        <v>0</v>
      </c>
    </row>
    <row r="866">
      <c r="A866" s="36"/>
      <c r="B866" s="196" t="s">
        <v>31</v>
      </c>
      <c r="C866" s="193"/>
      <c r="D866" s="189">
        <f t="shared" si="1"/>
        <v>0</v>
      </c>
    </row>
    <row r="867">
      <c r="A867" s="36"/>
      <c r="B867" s="196" t="s">
        <v>32</v>
      </c>
      <c r="C867" s="193"/>
      <c r="D867" s="189">
        <f t="shared" si="1"/>
        <v>0</v>
      </c>
    </row>
    <row r="868">
      <c r="A868" s="36"/>
      <c r="B868" s="196" t="s">
        <v>33</v>
      </c>
      <c r="C868" s="193"/>
      <c r="D868" s="189">
        <f t="shared" si="1"/>
        <v>0</v>
      </c>
    </row>
    <row r="869">
      <c r="A869" s="91"/>
      <c r="B869" s="196" t="s">
        <v>34</v>
      </c>
      <c r="C869" s="193"/>
      <c r="D869" s="189">
        <f t="shared" si="1"/>
        <v>0</v>
      </c>
    </row>
    <row r="870">
      <c r="A870" s="186">
        <v>46196.0</v>
      </c>
      <c r="B870" s="187" t="s">
        <v>4</v>
      </c>
      <c r="C870" s="188"/>
      <c r="D870" s="189">
        <f t="shared" si="1"/>
        <v>0</v>
      </c>
    </row>
    <row r="871">
      <c r="A871" s="36"/>
      <c r="B871" s="187" t="s">
        <v>5</v>
      </c>
      <c r="C871" s="188"/>
      <c r="D871" s="189">
        <f t="shared" si="1"/>
        <v>0</v>
      </c>
    </row>
    <row r="872">
      <c r="A872" s="36"/>
      <c r="B872" s="187" t="s">
        <v>6</v>
      </c>
      <c r="C872" s="188"/>
      <c r="D872" s="189">
        <f t="shared" si="1"/>
        <v>0</v>
      </c>
    </row>
    <row r="873">
      <c r="A873" s="36"/>
      <c r="B873" s="187" t="s">
        <v>22</v>
      </c>
      <c r="C873" s="188"/>
      <c r="D873" s="189">
        <f t="shared" si="1"/>
        <v>0</v>
      </c>
    </row>
    <row r="874">
      <c r="A874" s="36"/>
      <c r="B874" s="187" t="s">
        <v>7</v>
      </c>
      <c r="C874" s="188"/>
      <c r="D874" s="189">
        <f t="shared" si="1"/>
        <v>0</v>
      </c>
    </row>
    <row r="875">
      <c r="A875" s="36"/>
      <c r="B875" s="192" t="s">
        <v>8</v>
      </c>
      <c r="C875" s="188"/>
      <c r="D875" s="189">
        <f t="shared" si="1"/>
        <v>0</v>
      </c>
    </row>
    <row r="876">
      <c r="A876" s="36"/>
      <c r="B876" s="187" t="s">
        <v>9</v>
      </c>
      <c r="C876" s="188"/>
      <c r="D876" s="189">
        <f t="shared" si="1"/>
        <v>0</v>
      </c>
    </row>
    <row r="877">
      <c r="A877" s="36"/>
      <c r="B877" s="187" t="s">
        <v>10</v>
      </c>
      <c r="C877" s="188"/>
      <c r="D877" s="189">
        <f t="shared" si="1"/>
        <v>0</v>
      </c>
    </row>
    <row r="878">
      <c r="A878" s="36"/>
      <c r="B878" s="187" t="s">
        <v>11</v>
      </c>
      <c r="C878" s="188"/>
      <c r="D878" s="189">
        <f t="shared" si="1"/>
        <v>0</v>
      </c>
    </row>
    <row r="879">
      <c r="A879" s="36"/>
      <c r="B879" s="192" t="s">
        <v>12</v>
      </c>
      <c r="C879" s="188"/>
      <c r="D879" s="189">
        <f t="shared" si="1"/>
        <v>0</v>
      </c>
    </row>
    <row r="880">
      <c r="A880" s="36"/>
      <c r="B880" s="192" t="s">
        <v>13</v>
      </c>
      <c r="C880" s="188"/>
      <c r="D880" s="189">
        <f t="shared" si="1"/>
        <v>0</v>
      </c>
    </row>
    <row r="881">
      <c r="A881" s="36"/>
      <c r="B881" s="192" t="s">
        <v>14</v>
      </c>
      <c r="C881" s="188"/>
      <c r="D881" s="189">
        <f t="shared" si="1"/>
        <v>0</v>
      </c>
    </row>
    <row r="882">
      <c r="A882" s="36"/>
      <c r="B882" s="192" t="s">
        <v>15</v>
      </c>
      <c r="C882" s="188"/>
      <c r="D882" s="189">
        <f t="shared" si="1"/>
        <v>0</v>
      </c>
    </row>
    <row r="883">
      <c r="A883" s="36"/>
      <c r="B883" s="192" t="s">
        <v>16</v>
      </c>
      <c r="C883" s="188"/>
      <c r="D883" s="189">
        <f t="shared" si="1"/>
        <v>0</v>
      </c>
    </row>
    <row r="884">
      <c r="A884" s="36"/>
      <c r="B884" s="192" t="s">
        <v>17</v>
      </c>
      <c r="C884" s="188"/>
      <c r="D884" s="189">
        <f t="shared" si="1"/>
        <v>0</v>
      </c>
    </row>
    <row r="885">
      <c r="A885" s="36"/>
      <c r="B885" s="187" t="s">
        <v>18</v>
      </c>
      <c r="C885" s="188"/>
      <c r="D885" s="189">
        <f t="shared" si="1"/>
        <v>0</v>
      </c>
    </row>
    <row r="886">
      <c r="A886" s="36"/>
      <c r="B886" s="187" t="s">
        <v>19</v>
      </c>
      <c r="C886" s="188"/>
      <c r="D886" s="189">
        <f t="shared" si="1"/>
        <v>0</v>
      </c>
    </row>
    <row r="887">
      <c r="A887" s="36"/>
      <c r="B887" s="187" t="s">
        <v>20</v>
      </c>
      <c r="C887" s="188"/>
      <c r="D887" s="189">
        <f t="shared" si="1"/>
        <v>0</v>
      </c>
    </row>
    <row r="888">
      <c r="A888" s="36"/>
      <c r="B888" s="187" t="s">
        <v>21</v>
      </c>
      <c r="C888" s="188"/>
      <c r="D888" s="189">
        <f t="shared" si="1"/>
        <v>0</v>
      </c>
    </row>
    <row r="889">
      <c r="A889" s="36"/>
      <c r="B889" s="187" t="s">
        <v>23</v>
      </c>
      <c r="C889" s="188"/>
      <c r="D889" s="189">
        <f t="shared" si="1"/>
        <v>0</v>
      </c>
    </row>
    <row r="890">
      <c r="A890" s="36"/>
      <c r="B890" s="187" t="s">
        <v>24</v>
      </c>
      <c r="C890" s="188"/>
      <c r="D890" s="189">
        <f t="shared" si="1"/>
        <v>0</v>
      </c>
    </row>
    <row r="891">
      <c r="A891" s="36"/>
      <c r="B891" s="187" t="s">
        <v>25</v>
      </c>
      <c r="C891" s="193"/>
      <c r="D891" s="189">
        <f t="shared" si="1"/>
        <v>0</v>
      </c>
    </row>
    <row r="892">
      <c r="A892" s="36"/>
      <c r="B892" s="187" t="s">
        <v>26</v>
      </c>
      <c r="C892" s="193"/>
      <c r="D892" s="189">
        <f t="shared" si="1"/>
        <v>0</v>
      </c>
    </row>
    <row r="893">
      <c r="A893" s="36"/>
      <c r="B893" s="187" t="s">
        <v>27</v>
      </c>
      <c r="C893" s="193"/>
      <c r="D893" s="189">
        <f t="shared" si="1"/>
        <v>0</v>
      </c>
    </row>
    <row r="894">
      <c r="A894" s="36"/>
      <c r="B894" s="187" t="s">
        <v>28</v>
      </c>
      <c r="C894" s="193"/>
      <c r="D894" s="189">
        <f t="shared" si="1"/>
        <v>0</v>
      </c>
    </row>
    <row r="895">
      <c r="A895" s="36"/>
      <c r="B895" s="194" t="s">
        <v>29</v>
      </c>
      <c r="C895" s="193"/>
      <c r="D895" s="189">
        <f t="shared" si="1"/>
        <v>0</v>
      </c>
    </row>
    <row r="896">
      <c r="A896" s="36"/>
      <c r="B896" s="195" t="s">
        <v>30</v>
      </c>
      <c r="C896" s="193"/>
      <c r="D896" s="189">
        <f t="shared" si="1"/>
        <v>0</v>
      </c>
    </row>
    <row r="897">
      <c r="A897" s="36"/>
      <c r="B897" s="196" t="s">
        <v>31</v>
      </c>
      <c r="C897" s="193"/>
      <c r="D897" s="189">
        <f t="shared" si="1"/>
        <v>0</v>
      </c>
    </row>
    <row r="898">
      <c r="A898" s="36"/>
      <c r="B898" s="196" t="s">
        <v>32</v>
      </c>
      <c r="C898" s="193"/>
      <c r="D898" s="189">
        <f t="shared" si="1"/>
        <v>0</v>
      </c>
    </row>
    <row r="899">
      <c r="A899" s="36"/>
      <c r="B899" s="196" t="s">
        <v>33</v>
      </c>
      <c r="C899" s="193"/>
      <c r="D899" s="189">
        <f t="shared" si="1"/>
        <v>0</v>
      </c>
    </row>
    <row r="900">
      <c r="A900" s="91"/>
      <c r="B900" s="196" t="s">
        <v>34</v>
      </c>
      <c r="C900" s="193"/>
      <c r="D900" s="189">
        <f t="shared" si="1"/>
        <v>0</v>
      </c>
    </row>
    <row r="901">
      <c r="A901" s="186">
        <v>46197.0</v>
      </c>
      <c r="B901" s="187" t="s">
        <v>4</v>
      </c>
      <c r="C901" s="199"/>
      <c r="D901" s="189">
        <f t="shared" si="1"/>
        <v>0</v>
      </c>
    </row>
    <row r="902">
      <c r="A902" s="36"/>
      <c r="B902" s="187" t="s">
        <v>5</v>
      </c>
      <c r="C902" s="199"/>
      <c r="D902" s="189">
        <f t="shared" si="1"/>
        <v>0</v>
      </c>
    </row>
    <row r="903">
      <c r="A903" s="36"/>
      <c r="B903" s="187" t="s">
        <v>6</v>
      </c>
      <c r="C903" s="199"/>
      <c r="D903" s="189">
        <f t="shared" si="1"/>
        <v>0</v>
      </c>
    </row>
    <row r="904">
      <c r="A904" s="36"/>
      <c r="B904" s="187" t="s">
        <v>22</v>
      </c>
      <c r="C904" s="199"/>
      <c r="D904" s="189">
        <f t="shared" si="1"/>
        <v>0</v>
      </c>
    </row>
    <row r="905">
      <c r="A905" s="36"/>
      <c r="B905" s="187" t="s">
        <v>7</v>
      </c>
      <c r="C905" s="199"/>
      <c r="D905" s="189">
        <f t="shared" si="1"/>
        <v>0</v>
      </c>
    </row>
    <row r="906">
      <c r="A906" s="36"/>
      <c r="B906" s="192" t="s">
        <v>8</v>
      </c>
      <c r="C906" s="199"/>
      <c r="D906" s="189">
        <f t="shared" si="1"/>
        <v>0</v>
      </c>
    </row>
    <row r="907">
      <c r="A907" s="36"/>
      <c r="B907" s="187" t="s">
        <v>9</v>
      </c>
      <c r="C907" s="199"/>
      <c r="D907" s="189">
        <f t="shared" si="1"/>
        <v>0</v>
      </c>
    </row>
    <row r="908">
      <c r="A908" s="36"/>
      <c r="B908" s="187" t="s">
        <v>10</v>
      </c>
      <c r="C908" s="199"/>
      <c r="D908" s="189">
        <f t="shared" si="1"/>
        <v>0</v>
      </c>
    </row>
    <row r="909">
      <c r="A909" s="36"/>
      <c r="B909" s="187" t="s">
        <v>11</v>
      </c>
      <c r="C909" s="199"/>
      <c r="D909" s="189">
        <f t="shared" si="1"/>
        <v>0</v>
      </c>
    </row>
    <row r="910">
      <c r="A910" s="36"/>
      <c r="B910" s="192" t="s">
        <v>12</v>
      </c>
      <c r="C910" s="199"/>
      <c r="D910" s="189">
        <f t="shared" si="1"/>
        <v>0</v>
      </c>
    </row>
    <row r="911">
      <c r="A911" s="36"/>
      <c r="B911" s="192" t="s">
        <v>13</v>
      </c>
      <c r="C911" s="199"/>
      <c r="D911" s="189">
        <f t="shared" si="1"/>
        <v>0</v>
      </c>
    </row>
    <row r="912">
      <c r="A912" s="36"/>
      <c r="B912" s="192" t="s">
        <v>14</v>
      </c>
      <c r="C912" s="199"/>
      <c r="D912" s="189">
        <f t="shared" si="1"/>
        <v>0</v>
      </c>
    </row>
    <row r="913">
      <c r="A913" s="36"/>
      <c r="B913" s="192" t="s">
        <v>15</v>
      </c>
      <c r="C913" s="199"/>
      <c r="D913" s="189">
        <f t="shared" si="1"/>
        <v>0</v>
      </c>
    </row>
    <row r="914">
      <c r="A914" s="36"/>
      <c r="B914" s="192" t="s">
        <v>16</v>
      </c>
      <c r="C914" s="199"/>
      <c r="D914" s="189">
        <f t="shared" si="1"/>
        <v>0</v>
      </c>
    </row>
    <row r="915">
      <c r="A915" s="36"/>
      <c r="B915" s="192" t="s">
        <v>17</v>
      </c>
      <c r="C915" s="199"/>
      <c r="D915" s="189">
        <f t="shared" si="1"/>
        <v>0</v>
      </c>
    </row>
    <row r="916">
      <c r="A916" s="36"/>
      <c r="B916" s="187" t="s">
        <v>18</v>
      </c>
      <c r="C916" s="199"/>
      <c r="D916" s="189">
        <f t="shared" si="1"/>
        <v>0</v>
      </c>
    </row>
    <row r="917">
      <c r="A917" s="36"/>
      <c r="B917" s="187" t="s">
        <v>19</v>
      </c>
      <c r="C917" s="199"/>
      <c r="D917" s="189">
        <f t="shared" si="1"/>
        <v>0</v>
      </c>
    </row>
    <row r="918">
      <c r="A918" s="36"/>
      <c r="B918" s="187" t="s">
        <v>20</v>
      </c>
      <c r="C918" s="199"/>
      <c r="D918" s="189">
        <f t="shared" si="1"/>
        <v>0</v>
      </c>
    </row>
    <row r="919">
      <c r="A919" s="36"/>
      <c r="B919" s="187" t="s">
        <v>21</v>
      </c>
      <c r="C919" s="199"/>
      <c r="D919" s="189">
        <f t="shared" si="1"/>
        <v>0</v>
      </c>
    </row>
    <row r="920">
      <c r="A920" s="36"/>
      <c r="B920" s="187" t="s">
        <v>23</v>
      </c>
      <c r="C920" s="199"/>
      <c r="D920" s="189">
        <f t="shared" si="1"/>
        <v>0</v>
      </c>
    </row>
    <row r="921">
      <c r="A921" s="36"/>
      <c r="B921" s="187" t="s">
        <v>24</v>
      </c>
      <c r="C921" s="199"/>
      <c r="D921" s="189">
        <f t="shared" si="1"/>
        <v>0</v>
      </c>
    </row>
    <row r="922">
      <c r="A922" s="36"/>
      <c r="B922" s="187" t="s">
        <v>25</v>
      </c>
      <c r="C922" s="200"/>
      <c r="D922" s="189">
        <f t="shared" si="1"/>
        <v>0</v>
      </c>
    </row>
    <row r="923">
      <c r="A923" s="36"/>
      <c r="B923" s="187" t="s">
        <v>26</v>
      </c>
      <c r="C923" s="200"/>
      <c r="D923" s="189">
        <f t="shared" si="1"/>
        <v>0</v>
      </c>
    </row>
    <row r="924">
      <c r="A924" s="36"/>
      <c r="B924" s="187" t="s">
        <v>27</v>
      </c>
      <c r="C924" s="200"/>
      <c r="D924" s="189">
        <f t="shared" si="1"/>
        <v>0</v>
      </c>
    </row>
    <row r="925">
      <c r="A925" s="36"/>
      <c r="B925" s="187" t="s">
        <v>28</v>
      </c>
      <c r="C925" s="200"/>
      <c r="D925" s="189">
        <f t="shared" si="1"/>
        <v>0</v>
      </c>
    </row>
    <row r="926">
      <c r="A926" s="36"/>
      <c r="B926" s="194" t="s">
        <v>29</v>
      </c>
      <c r="C926" s="200"/>
      <c r="D926" s="189">
        <f t="shared" si="1"/>
        <v>0</v>
      </c>
    </row>
    <row r="927">
      <c r="A927" s="36"/>
      <c r="B927" s="195" t="s">
        <v>30</v>
      </c>
      <c r="C927" s="200"/>
      <c r="D927" s="189">
        <f t="shared" si="1"/>
        <v>0</v>
      </c>
    </row>
    <row r="928">
      <c r="A928" s="36"/>
      <c r="B928" s="196" t="s">
        <v>31</v>
      </c>
      <c r="C928" s="200"/>
      <c r="D928" s="189">
        <f t="shared" si="1"/>
        <v>0</v>
      </c>
    </row>
    <row r="929">
      <c r="A929" s="36"/>
      <c r="B929" s="196" t="s">
        <v>32</v>
      </c>
      <c r="C929" s="200"/>
      <c r="D929" s="189">
        <f t="shared" si="1"/>
        <v>0</v>
      </c>
    </row>
    <row r="930">
      <c r="A930" s="36"/>
      <c r="B930" s="196" t="s">
        <v>33</v>
      </c>
      <c r="C930" s="200"/>
      <c r="D930" s="189">
        <f t="shared" si="1"/>
        <v>0</v>
      </c>
    </row>
    <row r="931">
      <c r="A931" s="91"/>
      <c r="B931" s="196" t="s">
        <v>34</v>
      </c>
      <c r="C931" s="200"/>
      <c r="D931" s="189">
        <f t="shared" si="1"/>
        <v>0</v>
      </c>
    </row>
    <row r="932">
      <c r="A932" s="186">
        <v>46198.0</v>
      </c>
      <c r="B932" s="187" t="s">
        <v>5</v>
      </c>
      <c r="C932" s="199"/>
      <c r="D932" s="189">
        <f t="shared" si="1"/>
        <v>0</v>
      </c>
    </row>
    <row r="933">
      <c r="A933" s="36"/>
      <c r="B933" s="187" t="s">
        <v>6</v>
      </c>
      <c r="C933" s="199"/>
      <c r="D933" s="189">
        <f t="shared" si="1"/>
        <v>0</v>
      </c>
    </row>
    <row r="934">
      <c r="A934" s="36"/>
      <c r="B934" s="187" t="s">
        <v>22</v>
      </c>
      <c r="C934" s="199"/>
      <c r="D934" s="189">
        <f t="shared" si="1"/>
        <v>0</v>
      </c>
    </row>
    <row r="935">
      <c r="A935" s="36"/>
      <c r="B935" s="187" t="s">
        <v>7</v>
      </c>
      <c r="C935" s="199"/>
      <c r="D935" s="189">
        <f t="shared" si="1"/>
        <v>0</v>
      </c>
    </row>
    <row r="936">
      <c r="A936" s="36"/>
      <c r="B936" s="192" t="s">
        <v>8</v>
      </c>
      <c r="C936" s="199"/>
      <c r="D936" s="189">
        <f t="shared" si="1"/>
        <v>0</v>
      </c>
    </row>
    <row r="937">
      <c r="A937" s="36"/>
      <c r="B937" s="187" t="s">
        <v>9</v>
      </c>
      <c r="C937" s="199"/>
      <c r="D937" s="189">
        <f t="shared" si="1"/>
        <v>0</v>
      </c>
    </row>
    <row r="938">
      <c r="A938" s="36"/>
      <c r="B938" s="187" t="s">
        <v>10</v>
      </c>
      <c r="C938" s="199"/>
      <c r="D938" s="189">
        <f t="shared" si="1"/>
        <v>0</v>
      </c>
    </row>
    <row r="939">
      <c r="A939" s="36"/>
      <c r="B939" s="187" t="s">
        <v>11</v>
      </c>
      <c r="C939" s="199"/>
      <c r="D939" s="189">
        <f t="shared" si="1"/>
        <v>0</v>
      </c>
    </row>
    <row r="940">
      <c r="A940" s="36"/>
      <c r="B940" s="192" t="s">
        <v>12</v>
      </c>
      <c r="C940" s="199"/>
      <c r="D940" s="189">
        <f t="shared" si="1"/>
        <v>0</v>
      </c>
    </row>
    <row r="941">
      <c r="A941" s="36"/>
      <c r="B941" s="192" t="s">
        <v>13</v>
      </c>
      <c r="C941" s="199"/>
      <c r="D941" s="189">
        <f t="shared" si="1"/>
        <v>0</v>
      </c>
    </row>
    <row r="942">
      <c r="A942" s="36"/>
      <c r="B942" s="192" t="s">
        <v>14</v>
      </c>
      <c r="C942" s="199"/>
      <c r="D942" s="189">
        <f t="shared" si="1"/>
        <v>0</v>
      </c>
    </row>
    <row r="943">
      <c r="A943" s="36"/>
      <c r="B943" s="192" t="s">
        <v>15</v>
      </c>
      <c r="C943" s="199"/>
      <c r="D943" s="189">
        <f t="shared" si="1"/>
        <v>0</v>
      </c>
    </row>
    <row r="944">
      <c r="A944" s="36"/>
      <c r="B944" s="192" t="s">
        <v>16</v>
      </c>
      <c r="C944" s="199"/>
      <c r="D944" s="189">
        <f t="shared" si="1"/>
        <v>0</v>
      </c>
    </row>
    <row r="945">
      <c r="A945" s="36"/>
      <c r="B945" s="192" t="s">
        <v>17</v>
      </c>
      <c r="C945" s="199"/>
      <c r="D945" s="189">
        <f t="shared" si="1"/>
        <v>0</v>
      </c>
    </row>
    <row r="946">
      <c r="A946" s="36"/>
      <c r="B946" s="187" t="s">
        <v>18</v>
      </c>
      <c r="C946" s="199"/>
      <c r="D946" s="189">
        <f t="shared" si="1"/>
        <v>0</v>
      </c>
    </row>
    <row r="947">
      <c r="A947" s="36"/>
      <c r="B947" s="187" t="s">
        <v>19</v>
      </c>
      <c r="C947" s="199"/>
      <c r="D947" s="189">
        <f t="shared" si="1"/>
        <v>0</v>
      </c>
    </row>
    <row r="948">
      <c r="A948" s="36"/>
      <c r="B948" s="187" t="s">
        <v>20</v>
      </c>
      <c r="C948" s="199"/>
      <c r="D948" s="189">
        <f t="shared" si="1"/>
        <v>0</v>
      </c>
    </row>
    <row r="949">
      <c r="A949" s="36"/>
      <c r="B949" s="187" t="s">
        <v>21</v>
      </c>
      <c r="C949" s="199"/>
      <c r="D949" s="189">
        <f t="shared" si="1"/>
        <v>0</v>
      </c>
    </row>
    <row r="950">
      <c r="A950" s="36"/>
      <c r="B950" s="187" t="s">
        <v>23</v>
      </c>
      <c r="C950" s="199"/>
      <c r="D950" s="189">
        <f t="shared" si="1"/>
        <v>0</v>
      </c>
    </row>
    <row r="951">
      <c r="A951" s="36"/>
      <c r="B951" s="187" t="s">
        <v>24</v>
      </c>
      <c r="C951" s="199"/>
      <c r="D951" s="189">
        <f t="shared" si="1"/>
        <v>0</v>
      </c>
    </row>
    <row r="952">
      <c r="A952" s="36"/>
      <c r="B952" s="187" t="s">
        <v>25</v>
      </c>
      <c r="C952" s="200"/>
      <c r="D952" s="189">
        <f t="shared" si="1"/>
        <v>0</v>
      </c>
    </row>
    <row r="953">
      <c r="A953" s="36"/>
      <c r="B953" s="187" t="s">
        <v>26</v>
      </c>
      <c r="C953" s="200"/>
      <c r="D953" s="189">
        <f t="shared" si="1"/>
        <v>0</v>
      </c>
    </row>
    <row r="954">
      <c r="A954" s="36"/>
      <c r="B954" s="187" t="s">
        <v>27</v>
      </c>
      <c r="C954" s="200"/>
      <c r="D954" s="189">
        <f t="shared" si="1"/>
        <v>0</v>
      </c>
    </row>
    <row r="955">
      <c r="A955" s="36"/>
      <c r="B955" s="187" t="s">
        <v>28</v>
      </c>
      <c r="C955" s="200"/>
      <c r="D955" s="189">
        <f t="shared" si="1"/>
        <v>0</v>
      </c>
    </row>
    <row r="956">
      <c r="A956" s="36"/>
      <c r="B956" s="194" t="s">
        <v>29</v>
      </c>
      <c r="C956" s="200"/>
      <c r="D956" s="189">
        <f t="shared" si="1"/>
        <v>0</v>
      </c>
    </row>
    <row r="957">
      <c r="A957" s="36"/>
      <c r="B957" s="195" t="s">
        <v>30</v>
      </c>
      <c r="C957" s="200"/>
      <c r="D957" s="189">
        <f t="shared" si="1"/>
        <v>0</v>
      </c>
    </row>
    <row r="958">
      <c r="A958" s="36"/>
      <c r="B958" s="196" t="s">
        <v>31</v>
      </c>
      <c r="C958" s="200"/>
      <c r="D958" s="189">
        <f t="shared" si="1"/>
        <v>0</v>
      </c>
    </row>
    <row r="959">
      <c r="A959" s="36"/>
      <c r="B959" s="196" t="s">
        <v>32</v>
      </c>
      <c r="C959" s="200"/>
      <c r="D959" s="189">
        <f t="shared" si="1"/>
        <v>0</v>
      </c>
    </row>
    <row r="960">
      <c r="A960" s="36"/>
      <c r="B960" s="196" t="s">
        <v>33</v>
      </c>
      <c r="C960" s="200"/>
      <c r="D960" s="189">
        <f t="shared" si="1"/>
        <v>0</v>
      </c>
    </row>
    <row r="961">
      <c r="A961" s="91"/>
      <c r="B961" s="196" t="s">
        <v>34</v>
      </c>
      <c r="C961" s="200"/>
      <c r="D961" s="189">
        <f t="shared" si="1"/>
        <v>0</v>
      </c>
    </row>
  </sheetData>
  <mergeCells count="31">
    <mergeCell ref="A2:A32"/>
    <mergeCell ref="A33:A63"/>
    <mergeCell ref="A64:A94"/>
    <mergeCell ref="A95:A125"/>
    <mergeCell ref="A126:A156"/>
    <mergeCell ref="A157:A187"/>
    <mergeCell ref="A188:A218"/>
    <mergeCell ref="A219:A249"/>
    <mergeCell ref="A250:A280"/>
    <mergeCell ref="A281:A311"/>
    <mergeCell ref="A312:A342"/>
    <mergeCell ref="A343:A373"/>
    <mergeCell ref="A374:A404"/>
    <mergeCell ref="A405:A435"/>
    <mergeCell ref="A436:A466"/>
    <mergeCell ref="A467:A497"/>
    <mergeCell ref="A498:A528"/>
    <mergeCell ref="A529:A559"/>
    <mergeCell ref="A560:A590"/>
    <mergeCell ref="A591:A621"/>
    <mergeCell ref="A622:A652"/>
    <mergeCell ref="A870:A900"/>
    <mergeCell ref="A901:A931"/>
    <mergeCell ref="A932:A961"/>
    <mergeCell ref="A653:A683"/>
    <mergeCell ref="A684:A714"/>
    <mergeCell ref="A715:A745"/>
    <mergeCell ref="A746:A776"/>
    <mergeCell ref="A777:A807"/>
    <mergeCell ref="A808:A838"/>
    <mergeCell ref="A839:A869"/>
  </mergeCell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4.13"/>
    <col customWidth="1" min="3" max="3" width="25.63"/>
    <col customWidth="1" min="4" max="4" width="22.0"/>
    <col customWidth="1" min="5" max="5" width="11.38"/>
  </cols>
  <sheetData>
    <row r="1">
      <c r="A1" s="201" t="s">
        <v>110</v>
      </c>
      <c r="B1" s="202"/>
      <c r="C1" s="202"/>
      <c r="D1" s="202"/>
      <c r="E1" s="203"/>
    </row>
    <row r="2">
      <c r="A2" s="204" t="s">
        <v>36</v>
      </c>
      <c r="B2" s="204" t="s">
        <v>111</v>
      </c>
      <c r="C2" s="204" t="s">
        <v>112</v>
      </c>
      <c r="D2" s="204" t="s">
        <v>45</v>
      </c>
      <c r="E2" s="205" t="s">
        <v>44</v>
      </c>
    </row>
    <row r="3">
      <c r="A3" s="206">
        <v>46168.0</v>
      </c>
      <c r="B3" s="207">
        <f>'26052026'!I95</f>
        <v>824402.9</v>
      </c>
      <c r="C3" s="207">
        <f>'26052026'!J95</f>
        <v>1461362</v>
      </c>
      <c r="D3" s="207">
        <f>'26052026'!L95</f>
        <v>636959.1</v>
      </c>
      <c r="E3" s="208">
        <f>(C3-B3)/C3</f>
        <v>0.4358667462</v>
      </c>
    </row>
    <row r="4">
      <c r="A4" s="206">
        <v>46169.0</v>
      </c>
      <c r="B4" s="209">
        <v>0.0</v>
      </c>
      <c r="C4" s="209">
        <v>0.0</v>
      </c>
      <c r="D4" s="209">
        <v>0.0</v>
      </c>
      <c r="E4" s="210"/>
    </row>
    <row r="5">
      <c r="A5" s="206">
        <v>46170.0</v>
      </c>
      <c r="B5" s="207">
        <f>'28052026'!I126</f>
        <v>681751.51</v>
      </c>
      <c r="C5" s="207">
        <f>'28052026'!J126</f>
        <v>1146139</v>
      </c>
      <c r="D5" s="207">
        <f>'28052026'!L126</f>
        <v>464387.49</v>
      </c>
      <c r="E5" s="208">
        <f t="shared" ref="E5:E33" si="1">(C5-B5)/C5</f>
        <v>0.4051755415</v>
      </c>
    </row>
    <row r="6">
      <c r="A6" s="206">
        <v>46171.0</v>
      </c>
      <c r="B6" s="207">
        <f>'29052026'!I126</f>
        <v>402490.87</v>
      </c>
      <c r="C6" s="207">
        <f>'29052026'!J126</f>
        <v>734930</v>
      </c>
      <c r="D6" s="207">
        <f>'29052026'!L126</f>
        <v>332439.13</v>
      </c>
      <c r="E6" s="208">
        <f t="shared" si="1"/>
        <v>0.4523412162</v>
      </c>
    </row>
    <row r="7">
      <c r="A7" s="206">
        <v>46172.0</v>
      </c>
      <c r="B7" s="207">
        <f>'30052026'!I126</f>
        <v>495593.23</v>
      </c>
      <c r="C7" s="207">
        <f>'30052026'!J126</f>
        <v>788888</v>
      </c>
      <c r="D7" s="207">
        <f>'30052026'!L126</f>
        <v>293294.77</v>
      </c>
      <c r="E7" s="208">
        <f t="shared" si="1"/>
        <v>0.3717825217</v>
      </c>
    </row>
    <row r="8">
      <c r="A8" s="206">
        <v>46173.0</v>
      </c>
      <c r="B8" s="207">
        <f>'31052026'!I126</f>
        <v>727272.27</v>
      </c>
      <c r="C8" s="207">
        <f>'31052026'!J126</f>
        <v>1203054</v>
      </c>
      <c r="D8" s="207">
        <f>'31052026'!L126</f>
        <v>475781.73</v>
      </c>
      <c r="E8" s="208">
        <f t="shared" si="1"/>
        <v>0.3954782828</v>
      </c>
    </row>
    <row r="9">
      <c r="A9" s="206">
        <v>46174.0</v>
      </c>
      <c r="B9" s="207">
        <f>'01062026'!I126</f>
        <v>795126.96</v>
      </c>
      <c r="C9" s="207">
        <f>'01062026'!J126</f>
        <v>1264179</v>
      </c>
      <c r="D9" s="207">
        <f>'01062026'!L126</f>
        <v>469052.04</v>
      </c>
      <c r="E9" s="208">
        <f t="shared" si="1"/>
        <v>0.3710329313</v>
      </c>
    </row>
    <row r="10">
      <c r="A10" s="206">
        <v>46175.0</v>
      </c>
      <c r="B10" s="207">
        <f>'02062026'!I126</f>
        <v>789351.94</v>
      </c>
      <c r="C10" s="207">
        <f>'02062026'!J126</f>
        <v>1429581</v>
      </c>
      <c r="D10" s="207">
        <f>'02062026'!L126</f>
        <v>640229.06</v>
      </c>
      <c r="E10" s="208">
        <f t="shared" si="1"/>
        <v>0.4478438508</v>
      </c>
    </row>
    <row r="11">
      <c r="A11" s="206">
        <v>46176.0</v>
      </c>
      <c r="B11" s="207">
        <f>'03062026'!I126</f>
        <v>742924.59</v>
      </c>
      <c r="C11" s="207">
        <f>'03062026'!J126</f>
        <v>1250881</v>
      </c>
      <c r="D11" s="207">
        <f>'03062026'!L126</f>
        <v>507956.41</v>
      </c>
      <c r="E11" s="208">
        <f t="shared" si="1"/>
        <v>0.4060789236</v>
      </c>
    </row>
    <row r="12">
      <c r="A12" s="206">
        <v>46177.0</v>
      </c>
      <c r="B12" s="207">
        <f>'04062026'!I126</f>
        <v>707714.42</v>
      </c>
      <c r="C12" s="207">
        <f>'04062026'!J126</f>
        <v>1235011</v>
      </c>
      <c r="D12" s="207">
        <f>'04062026'!L126</f>
        <v>527296.58</v>
      </c>
      <c r="E12" s="208">
        <f t="shared" si="1"/>
        <v>0.4269569907</v>
      </c>
    </row>
    <row r="13">
      <c r="A13" s="206">
        <v>46178.0</v>
      </c>
      <c r="B13" s="207">
        <f>'05062026'!I126</f>
        <v>778343.52</v>
      </c>
      <c r="C13" s="207">
        <f>'05062026'!J126</f>
        <v>1328818</v>
      </c>
      <c r="D13" s="207">
        <f>'05062026'!L126</f>
        <v>550474.48</v>
      </c>
      <c r="E13" s="208">
        <f t="shared" si="1"/>
        <v>0.4142587472</v>
      </c>
    </row>
    <row r="14">
      <c r="A14" s="206">
        <v>46179.0</v>
      </c>
      <c r="B14" s="207">
        <f>'06062026'!I126</f>
        <v>957724.93</v>
      </c>
      <c r="C14" s="207">
        <f>'06062026'!J126</f>
        <v>1681514</v>
      </c>
      <c r="D14" s="207">
        <f>'06062026'!L126</f>
        <v>723789.07</v>
      </c>
      <c r="E14" s="208">
        <f t="shared" si="1"/>
        <v>0.4304389199</v>
      </c>
    </row>
    <row r="15">
      <c r="A15" s="206">
        <v>46180.0</v>
      </c>
      <c r="B15" s="207">
        <f>'07062026'!I126</f>
        <v>844890.33</v>
      </c>
      <c r="C15" s="207">
        <f>'07062026'!J126</f>
        <v>1442299</v>
      </c>
      <c r="D15" s="207">
        <f>'07062026'!L126</f>
        <v>597408.67</v>
      </c>
      <c r="E15" s="208">
        <f t="shared" si="1"/>
        <v>0.4142058408</v>
      </c>
    </row>
    <row r="16">
      <c r="A16" s="206">
        <v>46181.0</v>
      </c>
      <c r="B16" s="207">
        <f>'08062026'!I126</f>
        <v>765543.3</v>
      </c>
      <c r="C16" s="207">
        <f>'08062026'!J126</f>
        <v>1284571</v>
      </c>
      <c r="D16" s="207">
        <f>'08062026'!L126</f>
        <v>519027.7</v>
      </c>
      <c r="E16" s="208">
        <f t="shared" si="1"/>
        <v>0.4040474991</v>
      </c>
    </row>
    <row r="17">
      <c r="A17" s="206">
        <v>46182.0</v>
      </c>
      <c r="B17" s="207">
        <f>'09062026'!I126</f>
        <v>632140.59</v>
      </c>
      <c r="C17" s="207">
        <f>'09062026'!J126</f>
        <v>1034050</v>
      </c>
      <c r="D17" s="207">
        <f>'09062026'!L126</f>
        <v>401909.41</v>
      </c>
      <c r="E17" s="208">
        <f t="shared" si="1"/>
        <v>0.3886750254</v>
      </c>
    </row>
    <row r="18">
      <c r="A18" s="206">
        <v>46183.0</v>
      </c>
      <c r="B18" s="207">
        <f>'10062026'!I126</f>
        <v>720620.67</v>
      </c>
      <c r="C18" s="207">
        <f>'10062026'!J126</f>
        <v>1174819</v>
      </c>
      <c r="D18" s="207">
        <f>'10062026'!L126</f>
        <v>454198.33</v>
      </c>
      <c r="E18" s="208">
        <f t="shared" si="1"/>
        <v>0.3866113248</v>
      </c>
    </row>
    <row r="19">
      <c r="A19" s="206">
        <v>46184.0</v>
      </c>
      <c r="B19" s="207">
        <f>'11062026'!I126</f>
        <v>554072.47</v>
      </c>
      <c r="C19" s="207">
        <f>'11062026'!J126</f>
        <v>953340</v>
      </c>
      <c r="D19" s="207">
        <f>'11062026'!L126</f>
        <v>399267.53</v>
      </c>
      <c r="E19" s="208">
        <f t="shared" si="1"/>
        <v>0.4188091657</v>
      </c>
    </row>
    <row r="20">
      <c r="A20" s="206">
        <v>46185.0</v>
      </c>
      <c r="B20" s="207">
        <f>'12062026'!I126</f>
        <v>828601.37</v>
      </c>
      <c r="C20" s="207">
        <f>'12062026'!J126</f>
        <v>1571538</v>
      </c>
      <c r="D20" s="207">
        <f>'12062026'!L126</f>
        <v>742936.63</v>
      </c>
      <c r="E20" s="208">
        <f t="shared" si="1"/>
        <v>0.4727449352</v>
      </c>
    </row>
    <row r="21">
      <c r="A21" s="206">
        <v>46186.0</v>
      </c>
      <c r="B21" s="207">
        <f>'13062026'!I126</f>
        <v>634018.47</v>
      </c>
      <c r="C21" s="207">
        <f>'13062026'!J126</f>
        <v>1065423</v>
      </c>
      <c r="D21" s="207">
        <f>'13062026'!L126</f>
        <v>431404.53</v>
      </c>
      <c r="E21" s="208">
        <f t="shared" si="1"/>
        <v>0.4049138511</v>
      </c>
    </row>
    <row r="22">
      <c r="A22" s="206">
        <v>46187.0</v>
      </c>
      <c r="B22" s="207">
        <f>'14062026'!I126</f>
        <v>955062.27</v>
      </c>
      <c r="C22" s="207">
        <f>'14062026'!J126</f>
        <v>1535554</v>
      </c>
      <c r="D22" s="207">
        <f>'14062026'!L126</f>
        <v>580491.73</v>
      </c>
      <c r="E22" s="208">
        <f t="shared" si="1"/>
        <v>0.3780340711</v>
      </c>
    </row>
    <row r="23">
      <c r="A23" s="206">
        <v>46188.0</v>
      </c>
      <c r="B23" s="207">
        <f>'15062026'!I126</f>
        <v>579957.74</v>
      </c>
      <c r="C23" s="207">
        <f>'15062026'!J126</f>
        <v>955079</v>
      </c>
      <c r="D23" s="207">
        <f>'15062026'!L126</f>
        <v>375121.26</v>
      </c>
      <c r="E23" s="208">
        <f t="shared" si="1"/>
        <v>0.3927646404</v>
      </c>
    </row>
    <row r="24">
      <c r="A24" s="206">
        <v>46189.0</v>
      </c>
      <c r="B24" s="207">
        <f>'16062026'!I126</f>
        <v>1249352</v>
      </c>
      <c r="C24" s="207">
        <f>'16062026'!J126</f>
        <v>2036093</v>
      </c>
      <c r="D24" s="207">
        <f>'16062026'!L126</f>
        <v>786741</v>
      </c>
      <c r="E24" s="208">
        <f t="shared" si="1"/>
        <v>0.3863973797</v>
      </c>
    </row>
    <row r="25">
      <c r="A25" s="206">
        <v>46190.0</v>
      </c>
      <c r="B25" s="207">
        <f>'17062026'!I126</f>
        <v>880910.07</v>
      </c>
      <c r="C25" s="207">
        <f>'17062026'!J126</f>
        <v>1443538</v>
      </c>
      <c r="D25" s="207">
        <f>'17062026'!L126</f>
        <v>562627.93</v>
      </c>
      <c r="E25" s="208">
        <f t="shared" si="1"/>
        <v>0.3897562309</v>
      </c>
    </row>
    <row r="26">
      <c r="A26" s="206">
        <v>46191.0</v>
      </c>
      <c r="B26" s="207">
        <f>'18062026'!I126</f>
        <v>917163.61</v>
      </c>
      <c r="C26" s="207">
        <f>'18062026'!J126</f>
        <v>1619759</v>
      </c>
      <c r="D26" s="207">
        <f>'18062026'!L126</f>
        <v>702595.39</v>
      </c>
      <c r="E26" s="208">
        <f t="shared" si="1"/>
        <v>0.4337653873</v>
      </c>
    </row>
    <row r="27">
      <c r="A27" s="206">
        <v>46192.0</v>
      </c>
      <c r="B27" s="207">
        <f>'19062026'!I126</f>
        <v>978780.45</v>
      </c>
      <c r="C27" s="207">
        <f>'19062026'!J126</f>
        <v>1529732</v>
      </c>
      <c r="D27" s="207">
        <f>'19062026'!L126</f>
        <v>550951.55</v>
      </c>
      <c r="E27" s="208">
        <f t="shared" si="1"/>
        <v>0.3601621395</v>
      </c>
    </row>
    <row r="28">
      <c r="A28" s="206">
        <v>46193.0</v>
      </c>
      <c r="B28" s="207">
        <f>'20062026'!I126</f>
        <v>737045.41</v>
      </c>
      <c r="C28" s="207">
        <f>'20062026'!J126</f>
        <v>1160648</v>
      </c>
      <c r="D28" s="207">
        <f>'20062026'!L126</f>
        <v>423602.59</v>
      </c>
      <c r="E28" s="208">
        <f t="shared" si="1"/>
        <v>0.3649707663</v>
      </c>
    </row>
    <row r="29">
      <c r="A29" s="206">
        <v>46194.0</v>
      </c>
      <c r="B29" s="207">
        <f>'21062026'!I126</f>
        <v>1334091.62</v>
      </c>
      <c r="C29" s="207">
        <f>'21062026'!J126</f>
        <v>2219197</v>
      </c>
      <c r="D29" s="207">
        <f>'21062026'!L126</f>
        <v>885105.38</v>
      </c>
      <c r="E29" s="208">
        <f t="shared" si="1"/>
        <v>0.3988403824</v>
      </c>
    </row>
    <row r="30">
      <c r="A30" s="206">
        <v>46195.0</v>
      </c>
      <c r="B30" s="207">
        <f>'22062026'!I126</f>
        <v>1205263.38</v>
      </c>
      <c r="C30" s="207">
        <f>'22062026'!J126</f>
        <v>2046228</v>
      </c>
      <c r="D30" s="207">
        <f>'22062026'!L126</f>
        <v>840964.62</v>
      </c>
      <c r="E30" s="208">
        <f t="shared" si="1"/>
        <v>0.4109828524</v>
      </c>
    </row>
    <row r="31">
      <c r="A31" s="206">
        <v>46196.0</v>
      </c>
      <c r="B31" s="207">
        <f>'23062026'!I126</f>
        <v>850600.75</v>
      </c>
      <c r="C31" s="207">
        <f>'23062026'!J126</f>
        <v>1376121</v>
      </c>
      <c r="D31" s="207">
        <f>'23062026'!L126</f>
        <v>525520.25</v>
      </c>
      <c r="E31" s="208">
        <f t="shared" si="1"/>
        <v>0.3818852049</v>
      </c>
    </row>
    <row r="32">
      <c r="A32" s="206">
        <v>46197.0</v>
      </c>
      <c r="B32" s="207">
        <f>'24062026'!I126</f>
        <v>516770.83</v>
      </c>
      <c r="C32" s="207">
        <f>'24062026'!J126</f>
        <v>845266</v>
      </c>
      <c r="D32" s="207">
        <f>'24062026'!L126</f>
        <v>328495.17</v>
      </c>
      <c r="E32" s="208">
        <f t="shared" si="1"/>
        <v>0.3886293427</v>
      </c>
    </row>
    <row r="33">
      <c r="A33" s="206">
        <v>46198.0</v>
      </c>
      <c r="B33" s="207">
        <f>'25062026'!I126</f>
        <v>799400.07</v>
      </c>
      <c r="C33" s="207">
        <f>'25062026'!J126</f>
        <v>1357455</v>
      </c>
      <c r="D33" s="207">
        <f>'25062026'!L126</f>
        <v>558054.93</v>
      </c>
      <c r="E33" s="208">
        <f t="shared" si="1"/>
        <v>0.4111038156</v>
      </c>
    </row>
    <row r="34">
      <c r="A34" s="211"/>
      <c r="B34" s="212">
        <f t="shared" ref="B34:D34" si="2">SUM(B2:B33)</f>
        <v>23886982.54</v>
      </c>
      <c r="C34" s="212">
        <f t="shared" si="2"/>
        <v>40175067</v>
      </c>
      <c r="D34" s="212">
        <f t="shared" si="2"/>
        <v>16288084.46</v>
      </c>
      <c r="E34" s="213">
        <f>average(E3:E33)</f>
        <v>0.4048184842</v>
      </c>
    </row>
    <row r="35">
      <c r="A35" s="211"/>
      <c r="B35" s="214"/>
      <c r="C35" s="214"/>
      <c r="D35" s="214"/>
      <c r="E35" s="215"/>
    </row>
    <row r="36">
      <c r="A36" s="211"/>
      <c r="B36" s="214"/>
      <c r="C36" s="214"/>
      <c r="D36" s="214"/>
      <c r="E36" s="215"/>
    </row>
    <row r="37">
      <c r="A37" s="211"/>
      <c r="B37" s="214"/>
      <c r="C37" s="214"/>
      <c r="D37" s="214"/>
      <c r="E37" s="215"/>
    </row>
    <row r="38">
      <c r="A38" s="211"/>
      <c r="B38" s="214"/>
      <c r="C38" s="214"/>
      <c r="D38" s="214"/>
      <c r="E38" s="215"/>
    </row>
    <row r="39">
      <c r="A39" s="211"/>
      <c r="B39" s="214"/>
      <c r="C39" s="214"/>
      <c r="D39" s="214"/>
      <c r="E39" s="215"/>
    </row>
    <row r="40">
      <c r="A40" s="211"/>
      <c r="B40" s="214"/>
      <c r="C40" s="214"/>
      <c r="D40" s="214"/>
      <c r="E40" s="215"/>
    </row>
    <row r="41">
      <c r="A41" s="211"/>
      <c r="B41" s="214"/>
      <c r="C41" s="214"/>
      <c r="D41" s="214"/>
      <c r="E41" s="215"/>
    </row>
    <row r="42">
      <c r="A42" s="211"/>
      <c r="B42" s="214"/>
      <c r="C42" s="214"/>
      <c r="D42" s="214"/>
      <c r="E42" s="215"/>
    </row>
    <row r="43">
      <c r="A43" s="211"/>
      <c r="B43" s="214"/>
      <c r="C43" s="214"/>
      <c r="D43" s="214"/>
      <c r="E43" s="215"/>
    </row>
    <row r="44">
      <c r="A44" s="214"/>
      <c r="B44" s="214"/>
      <c r="C44" s="214"/>
      <c r="D44" s="214"/>
      <c r="E44" s="215"/>
    </row>
    <row r="45">
      <c r="A45" s="214"/>
      <c r="B45" s="214"/>
      <c r="C45" s="214"/>
      <c r="D45" s="214"/>
      <c r="E45" s="215"/>
    </row>
    <row r="46">
      <c r="A46" s="214"/>
      <c r="B46" s="214"/>
      <c r="C46" s="214"/>
      <c r="D46" s="214"/>
      <c r="E46" s="215"/>
    </row>
    <row r="47">
      <c r="A47" s="214"/>
      <c r="B47" s="214"/>
      <c r="C47" s="214"/>
      <c r="D47" s="214"/>
      <c r="E47" s="215"/>
    </row>
    <row r="48">
      <c r="A48" s="214"/>
      <c r="B48" s="214"/>
      <c r="C48" s="214"/>
      <c r="D48" s="214"/>
      <c r="E48" s="215"/>
    </row>
    <row r="49">
      <c r="A49" s="214"/>
      <c r="B49" s="214"/>
      <c r="C49" s="214"/>
      <c r="D49" s="214"/>
      <c r="E49" s="215"/>
    </row>
    <row r="50">
      <c r="A50" s="214"/>
      <c r="B50" s="214"/>
      <c r="C50" s="214"/>
      <c r="D50" s="214"/>
      <c r="E50" s="215"/>
    </row>
    <row r="51">
      <c r="A51" s="214"/>
      <c r="B51" s="214"/>
      <c r="C51" s="214"/>
      <c r="D51" s="214"/>
      <c r="E51" s="215"/>
    </row>
    <row r="52">
      <c r="A52" s="214"/>
      <c r="B52" s="214"/>
      <c r="C52" s="214"/>
      <c r="D52" s="214"/>
      <c r="E52" s="215"/>
    </row>
    <row r="53">
      <c r="A53" s="214"/>
      <c r="B53" s="214"/>
      <c r="C53" s="214"/>
      <c r="D53" s="214"/>
      <c r="E53" s="215"/>
    </row>
    <row r="54">
      <c r="A54" s="214"/>
      <c r="B54" s="214"/>
      <c r="C54" s="214"/>
      <c r="D54" s="214"/>
      <c r="E54" s="215"/>
    </row>
    <row r="55">
      <c r="A55" s="214"/>
      <c r="B55" s="214"/>
      <c r="C55" s="214"/>
      <c r="D55" s="214"/>
      <c r="E55" s="215"/>
    </row>
    <row r="56">
      <c r="A56" s="214"/>
      <c r="B56" s="214"/>
      <c r="C56" s="214"/>
      <c r="D56" s="214"/>
      <c r="E56" s="215"/>
    </row>
    <row r="57">
      <c r="A57" s="214"/>
      <c r="B57" s="214"/>
      <c r="C57" s="214"/>
      <c r="D57" s="214"/>
      <c r="E57" s="215"/>
    </row>
    <row r="58">
      <c r="A58" s="214"/>
      <c r="B58" s="214"/>
      <c r="C58" s="214"/>
      <c r="D58" s="214"/>
      <c r="E58" s="215"/>
    </row>
    <row r="59">
      <c r="A59" s="214"/>
      <c r="B59" s="214"/>
      <c r="C59" s="214"/>
      <c r="D59" s="214"/>
      <c r="E59" s="215"/>
    </row>
    <row r="60">
      <c r="A60" s="214"/>
      <c r="B60" s="214"/>
      <c r="C60" s="214"/>
      <c r="D60" s="214"/>
      <c r="E60" s="215"/>
    </row>
    <row r="61">
      <c r="A61" s="214"/>
      <c r="B61" s="214"/>
      <c r="C61" s="214"/>
      <c r="D61" s="214"/>
      <c r="E61" s="215"/>
    </row>
    <row r="62">
      <c r="A62" s="214"/>
      <c r="B62" s="214"/>
      <c r="C62" s="214"/>
      <c r="D62" s="214"/>
      <c r="E62" s="215"/>
    </row>
    <row r="63">
      <c r="A63" s="214"/>
      <c r="B63" s="214"/>
      <c r="C63" s="214"/>
      <c r="D63" s="214"/>
      <c r="E63" s="215"/>
    </row>
    <row r="64">
      <c r="A64" s="214"/>
      <c r="B64" s="214"/>
      <c r="C64" s="214"/>
      <c r="D64" s="214"/>
      <c r="E64" s="215"/>
    </row>
    <row r="65">
      <c r="A65" s="214"/>
      <c r="B65" s="214"/>
      <c r="C65" s="214"/>
      <c r="D65" s="214"/>
      <c r="E65" s="215"/>
    </row>
    <row r="66">
      <c r="A66" s="214"/>
      <c r="B66" s="214"/>
      <c r="C66" s="214"/>
      <c r="D66" s="214"/>
      <c r="E66" s="215"/>
    </row>
    <row r="67">
      <c r="A67" s="214"/>
      <c r="B67" s="214"/>
      <c r="C67" s="214"/>
      <c r="D67" s="214"/>
      <c r="E67" s="215"/>
    </row>
    <row r="68">
      <c r="A68" s="214"/>
      <c r="B68" s="214"/>
      <c r="C68" s="214"/>
      <c r="D68" s="214"/>
      <c r="E68" s="215"/>
    </row>
    <row r="69">
      <c r="A69" s="214"/>
      <c r="B69" s="214"/>
      <c r="C69" s="214"/>
      <c r="D69" s="214"/>
      <c r="E69" s="215"/>
    </row>
    <row r="70">
      <c r="A70" s="214"/>
      <c r="B70" s="214"/>
      <c r="C70" s="214"/>
      <c r="D70" s="214"/>
      <c r="E70" s="215"/>
    </row>
    <row r="71">
      <c r="A71" s="214"/>
      <c r="B71" s="214"/>
      <c r="C71" s="214"/>
      <c r="D71" s="214"/>
      <c r="E71" s="215"/>
    </row>
    <row r="72">
      <c r="A72" s="214"/>
      <c r="B72" s="214"/>
      <c r="C72" s="214"/>
      <c r="D72" s="214"/>
      <c r="E72" s="215"/>
    </row>
    <row r="73">
      <c r="A73" s="214"/>
      <c r="B73" s="214"/>
      <c r="C73" s="214"/>
      <c r="D73" s="214"/>
      <c r="E73" s="215"/>
    </row>
    <row r="74">
      <c r="A74" s="214"/>
      <c r="B74" s="214"/>
      <c r="C74" s="214"/>
      <c r="D74" s="214"/>
      <c r="E74" s="215"/>
    </row>
    <row r="75">
      <c r="A75" s="214"/>
      <c r="B75" s="214"/>
      <c r="C75" s="214"/>
      <c r="D75" s="214"/>
      <c r="E75" s="215"/>
    </row>
    <row r="76">
      <c r="A76" s="214"/>
      <c r="B76" s="214"/>
      <c r="C76" s="214"/>
      <c r="D76" s="214"/>
      <c r="E76" s="215"/>
    </row>
    <row r="77">
      <c r="A77" s="214"/>
      <c r="B77" s="214"/>
      <c r="C77" s="214"/>
      <c r="D77" s="214"/>
      <c r="E77" s="215"/>
    </row>
    <row r="78">
      <c r="A78" s="214"/>
      <c r="B78" s="214"/>
      <c r="C78" s="214"/>
      <c r="D78" s="214"/>
      <c r="E78" s="215"/>
    </row>
    <row r="79">
      <c r="A79" s="214"/>
      <c r="B79" s="214"/>
      <c r="C79" s="214"/>
      <c r="D79" s="214"/>
      <c r="E79" s="215"/>
    </row>
    <row r="80">
      <c r="A80" s="214"/>
      <c r="B80" s="214"/>
      <c r="C80" s="214"/>
      <c r="D80" s="214"/>
      <c r="E80" s="215"/>
    </row>
    <row r="81">
      <c r="A81" s="214"/>
      <c r="B81" s="214"/>
      <c r="C81" s="214"/>
      <c r="D81" s="214"/>
      <c r="E81" s="215"/>
    </row>
    <row r="82">
      <c r="A82" s="214"/>
      <c r="B82" s="214"/>
      <c r="C82" s="214"/>
      <c r="D82" s="214"/>
      <c r="E82" s="215"/>
    </row>
    <row r="83">
      <c r="A83" s="214"/>
      <c r="B83" s="214"/>
      <c r="C83" s="214"/>
      <c r="D83" s="214"/>
      <c r="E83" s="215"/>
    </row>
    <row r="84">
      <c r="A84" s="214"/>
      <c r="B84" s="214"/>
      <c r="C84" s="214"/>
      <c r="D84" s="214"/>
      <c r="E84" s="215"/>
    </row>
    <row r="85">
      <c r="A85" s="214"/>
      <c r="B85" s="214"/>
      <c r="C85" s="214"/>
      <c r="D85" s="214"/>
      <c r="E85" s="215"/>
    </row>
    <row r="86">
      <c r="A86" s="214"/>
      <c r="B86" s="214"/>
      <c r="C86" s="214"/>
      <c r="D86" s="214"/>
      <c r="E86" s="215"/>
    </row>
    <row r="87">
      <c r="A87" s="214"/>
      <c r="B87" s="214"/>
      <c r="C87" s="214"/>
      <c r="D87" s="214"/>
      <c r="E87" s="215"/>
    </row>
    <row r="88">
      <c r="A88" s="214"/>
      <c r="B88" s="214"/>
      <c r="C88" s="214"/>
      <c r="D88" s="214"/>
      <c r="E88" s="215"/>
    </row>
    <row r="89">
      <c r="A89" s="214"/>
      <c r="B89" s="214"/>
      <c r="C89" s="214"/>
      <c r="D89" s="214"/>
      <c r="E89" s="215"/>
    </row>
    <row r="90">
      <c r="A90" s="214"/>
      <c r="B90" s="214"/>
      <c r="C90" s="214"/>
      <c r="D90" s="214"/>
      <c r="E90" s="215"/>
    </row>
    <row r="91">
      <c r="A91" s="214"/>
      <c r="B91" s="214"/>
      <c r="C91" s="214"/>
      <c r="D91" s="214"/>
      <c r="E91" s="215"/>
    </row>
    <row r="92">
      <c r="A92" s="214"/>
      <c r="B92" s="214"/>
      <c r="C92" s="214"/>
      <c r="D92" s="214"/>
      <c r="E92" s="215"/>
    </row>
    <row r="93">
      <c r="A93" s="214"/>
      <c r="B93" s="214"/>
      <c r="C93" s="214"/>
      <c r="D93" s="214"/>
      <c r="E93" s="215"/>
    </row>
    <row r="94">
      <c r="A94" s="214"/>
      <c r="B94" s="214"/>
      <c r="C94" s="214"/>
      <c r="D94" s="214"/>
      <c r="E94" s="215"/>
    </row>
    <row r="95">
      <c r="A95" s="214"/>
      <c r="B95" s="214"/>
      <c r="C95" s="214"/>
      <c r="D95" s="214"/>
      <c r="E95" s="215"/>
    </row>
    <row r="96">
      <c r="A96" s="214"/>
      <c r="B96" s="214"/>
      <c r="C96" s="214"/>
      <c r="D96" s="214"/>
      <c r="E96" s="215"/>
    </row>
    <row r="97">
      <c r="A97" s="214"/>
      <c r="B97" s="214"/>
      <c r="C97" s="214"/>
      <c r="D97" s="214"/>
      <c r="E97" s="215"/>
    </row>
    <row r="98">
      <c r="A98" s="214"/>
      <c r="B98" s="214"/>
      <c r="C98" s="214"/>
      <c r="D98" s="214"/>
      <c r="E98" s="215"/>
    </row>
    <row r="99">
      <c r="A99" s="214"/>
      <c r="B99" s="214"/>
      <c r="C99" s="214"/>
      <c r="D99" s="214"/>
      <c r="E99" s="215"/>
    </row>
    <row r="100">
      <c r="A100" s="214"/>
      <c r="B100" s="214"/>
      <c r="C100" s="214"/>
      <c r="D100" s="214"/>
      <c r="E100" s="215"/>
    </row>
    <row r="101">
      <c r="A101" s="214"/>
      <c r="B101" s="214"/>
      <c r="C101" s="214"/>
      <c r="D101" s="214"/>
      <c r="E101" s="215"/>
    </row>
    <row r="102">
      <c r="A102" s="214"/>
      <c r="B102" s="214"/>
      <c r="C102" s="214"/>
      <c r="D102" s="214"/>
      <c r="E102" s="215"/>
    </row>
    <row r="103">
      <c r="A103" s="214"/>
      <c r="B103" s="214"/>
      <c r="C103" s="214"/>
      <c r="D103" s="214"/>
      <c r="E103" s="215"/>
    </row>
    <row r="104">
      <c r="A104" s="214"/>
      <c r="B104" s="214"/>
      <c r="C104" s="214"/>
      <c r="D104" s="214"/>
      <c r="E104" s="215"/>
    </row>
    <row r="105">
      <c r="A105" s="214"/>
      <c r="B105" s="214"/>
      <c r="C105" s="214"/>
      <c r="D105" s="214"/>
      <c r="E105" s="215"/>
    </row>
    <row r="106">
      <c r="A106" s="214"/>
      <c r="B106" s="214"/>
      <c r="C106" s="214"/>
      <c r="D106" s="214"/>
      <c r="E106" s="215"/>
    </row>
    <row r="107">
      <c r="A107" s="214"/>
      <c r="B107" s="214"/>
      <c r="C107" s="214"/>
      <c r="D107" s="214"/>
      <c r="E107" s="215"/>
    </row>
    <row r="108">
      <c r="A108" s="214"/>
      <c r="B108" s="214"/>
      <c r="C108" s="214"/>
      <c r="D108" s="214"/>
      <c r="E108" s="215"/>
    </row>
    <row r="109">
      <c r="A109" s="214"/>
      <c r="B109" s="214"/>
      <c r="C109" s="214"/>
      <c r="D109" s="214"/>
      <c r="E109" s="215"/>
    </row>
    <row r="110">
      <c r="A110" s="214"/>
      <c r="B110" s="214"/>
      <c r="C110" s="214"/>
      <c r="D110" s="214"/>
      <c r="E110" s="215"/>
    </row>
    <row r="111">
      <c r="A111" s="214"/>
      <c r="B111" s="214"/>
      <c r="C111" s="214"/>
      <c r="D111" s="214"/>
      <c r="E111" s="215"/>
    </row>
    <row r="112">
      <c r="A112" s="214"/>
      <c r="B112" s="214"/>
      <c r="C112" s="214"/>
      <c r="D112" s="214"/>
      <c r="E112" s="215"/>
    </row>
    <row r="113">
      <c r="A113" s="214"/>
      <c r="B113" s="214"/>
      <c r="C113" s="214"/>
      <c r="D113" s="214"/>
      <c r="E113" s="215"/>
    </row>
    <row r="114">
      <c r="A114" s="214"/>
      <c r="B114" s="214"/>
      <c r="C114" s="214"/>
      <c r="D114" s="214"/>
      <c r="E114" s="215"/>
    </row>
    <row r="115">
      <c r="A115" s="214"/>
      <c r="B115" s="214"/>
      <c r="C115" s="214"/>
      <c r="D115" s="214"/>
      <c r="E115" s="215"/>
    </row>
    <row r="116">
      <c r="A116" s="214"/>
      <c r="B116" s="214"/>
      <c r="C116" s="214"/>
      <c r="D116" s="214"/>
      <c r="E116" s="215"/>
    </row>
    <row r="117">
      <c r="A117" s="214"/>
      <c r="B117" s="214"/>
      <c r="C117" s="214"/>
      <c r="D117" s="214"/>
      <c r="E117" s="215"/>
    </row>
    <row r="118">
      <c r="A118" s="214"/>
      <c r="B118" s="214"/>
      <c r="C118" s="214"/>
      <c r="D118" s="214"/>
      <c r="E118" s="215"/>
    </row>
    <row r="119">
      <c r="A119" s="214"/>
      <c r="B119" s="214"/>
      <c r="C119" s="214"/>
      <c r="D119" s="214"/>
      <c r="E119" s="215"/>
    </row>
    <row r="120">
      <c r="A120" s="214"/>
      <c r="B120" s="214"/>
      <c r="C120" s="214"/>
      <c r="D120" s="214"/>
      <c r="E120" s="215"/>
    </row>
    <row r="121">
      <c r="A121" s="214"/>
      <c r="B121" s="214"/>
      <c r="C121" s="214"/>
      <c r="D121" s="214"/>
      <c r="E121" s="215"/>
    </row>
    <row r="122">
      <c r="A122" s="214"/>
      <c r="B122" s="214"/>
      <c r="C122" s="214"/>
      <c r="D122" s="214"/>
      <c r="E122" s="215"/>
    </row>
    <row r="123">
      <c r="A123" s="214"/>
      <c r="B123" s="214"/>
      <c r="C123" s="214"/>
      <c r="D123" s="214"/>
      <c r="E123" s="215"/>
    </row>
    <row r="124">
      <c r="A124" s="214"/>
      <c r="B124" s="214"/>
      <c r="C124" s="214"/>
      <c r="D124" s="214"/>
      <c r="E124" s="215"/>
    </row>
    <row r="125">
      <c r="A125" s="214"/>
      <c r="B125" s="214"/>
      <c r="C125" s="214"/>
      <c r="D125" s="214"/>
      <c r="E125" s="215"/>
    </row>
    <row r="126">
      <c r="A126" s="214"/>
      <c r="B126" s="214"/>
      <c r="C126" s="214"/>
      <c r="D126" s="214"/>
      <c r="E126" s="215"/>
    </row>
    <row r="127">
      <c r="A127" s="214"/>
      <c r="B127" s="214"/>
      <c r="C127" s="214"/>
      <c r="D127" s="214"/>
      <c r="E127" s="215"/>
    </row>
    <row r="128">
      <c r="A128" s="214"/>
      <c r="B128" s="214"/>
      <c r="C128" s="214"/>
      <c r="D128" s="214"/>
      <c r="E128" s="215"/>
    </row>
    <row r="129">
      <c r="A129" s="214"/>
      <c r="B129" s="214"/>
      <c r="C129" s="214"/>
      <c r="D129" s="214"/>
      <c r="E129" s="215"/>
    </row>
    <row r="130">
      <c r="A130" s="214"/>
      <c r="B130" s="214"/>
      <c r="C130" s="214"/>
      <c r="D130" s="214"/>
      <c r="E130" s="215"/>
    </row>
    <row r="131">
      <c r="A131" s="214"/>
      <c r="B131" s="214"/>
      <c r="C131" s="214"/>
      <c r="D131" s="214"/>
      <c r="E131" s="215"/>
    </row>
    <row r="132">
      <c r="A132" s="214"/>
      <c r="B132" s="214"/>
      <c r="C132" s="214"/>
      <c r="D132" s="214"/>
      <c r="E132" s="215"/>
    </row>
    <row r="133">
      <c r="A133" s="214"/>
      <c r="B133" s="214"/>
      <c r="C133" s="214"/>
      <c r="D133" s="214"/>
      <c r="E133" s="215"/>
    </row>
    <row r="134">
      <c r="A134" s="214"/>
      <c r="B134" s="214"/>
      <c r="C134" s="214"/>
      <c r="D134" s="214"/>
      <c r="E134" s="215"/>
    </row>
    <row r="135">
      <c r="A135" s="214"/>
      <c r="B135" s="214"/>
      <c r="C135" s="214"/>
      <c r="D135" s="214"/>
      <c r="E135" s="215"/>
    </row>
    <row r="136">
      <c r="A136" s="214"/>
      <c r="B136" s="214"/>
      <c r="C136" s="214"/>
      <c r="D136" s="214"/>
      <c r="E136" s="215"/>
    </row>
    <row r="137">
      <c r="A137" s="214"/>
      <c r="B137" s="214"/>
      <c r="C137" s="214"/>
      <c r="D137" s="214"/>
      <c r="E137" s="215"/>
    </row>
    <row r="138">
      <c r="A138" s="214"/>
      <c r="B138" s="214"/>
      <c r="C138" s="214"/>
      <c r="D138" s="214"/>
      <c r="E138" s="215"/>
    </row>
    <row r="139">
      <c r="A139" s="214"/>
      <c r="B139" s="214"/>
      <c r="C139" s="214"/>
      <c r="D139" s="214"/>
      <c r="E139" s="215"/>
    </row>
    <row r="140">
      <c r="A140" s="214"/>
      <c r="B140" s="214"/>
      <c r="C140" s="214"/>
      <c r="D140" s="214"/>
      <c r="E140" s="215"/>
    </row>
    <row r="141">
      <c r="A141" s="214"/>
      <c r="B141" s="214"/>
      <c r="C141" s="214"/>
      <c r="D141" s="214"/>
      <c r="E141" s="215"/>
    </row>
    <row r="142">
      <c r="A142" s="214"/>
      <c r="B142" s="214"/>
      <c r="C142" s="214"/>
      <c r="D142" s="214"/>
      <c r="E142" s="215"/>
    </row>
    <row r="143">
      <c r="A143" s="214"/>
      <c r="B143" s="214"/>
      <c r="C143" s="214"/>
      <c r="D143" s="214"/>
      <c r="E143" s="215"/>
    </row>
    <row r="144">
      <c r="A144" s="214"/>
      <c r="B144" s="214"/>
      <c r="C144" s="214"/>
      <c r="D144" s="214"/>
      <c r="E144" s="215"/>
    </row>
    <row r="145">
      <c r="A145" s="214"/>
      <c r="B145" s="214"/>
      <c r="C145" s="214"/>
      <c r="D145" s="214"/>
      <c r="E145" s="215"/>
    </row>
    <row r="146">
      <c r="A146" s="214"/>
      <c r="B146" s="214"/>
      <c r="C146" s="214"/>
      <c r="D146" s="214"/>
      <c r="E146" s="215"/>
    </row>
    <row r="147">
      <c r="A147" s="214"/>
      <c r="B147" s="214"/>
      <c r="C147" s="214"/>
      <c r="D147" s="214"/>
      <c r="E147" s="215"/>
    </row>
    <row r="148">
      <c r="A148" s="214"/>
      <c r="B148" s="214"/>
      <c r="C148" s="214"/>
      <c r="D148" s="214"/>
      <c r="E148" s="215"/>
    </row>
    <row r="149">
      <c r="A149" s="214"/>
      <c r="B149" s="214"/>
      <c r="C149" s="214"/>
      <c r="D149" s="214"/>
      <c r="E149" s="215"/>
    </row>
    <row r="150">
      <c r="A150" s="214"/>
      <c r="B150" s="214"/>
      <c r="C150" s="214"/>
      <c r="D150" s="214"/>
      <c r="E150" s="215"/>
    </row>
    <row r="151">
      <c r="A151" s="214"/>
      <c r="B151" s="214"/>
      <c r="C151" s="214"/>
      <c r="D151" s="214"/>
      <c r="E151" s="215"/>
    </row>
    <row r="152">
      <c r="A152" s="214"/>
      <c r="B152" s="214"/>
      <c r="C152" s="214"/>
      <c r="D152" s="214"/>
      <c r="E152" s="215"/>
    </row>
    <row r="153">
      <c r="A153" s="214"/>
      <c r="B153" s="214"/>
      <c r="C153" s="214"/>
      <c r="D153" s="214"/>
      <c r="E153" s="215"/>
    </row>
    <row r="154">
      <c r="A154" s="214"/>
      <c r="B154" s="214"/>
      <c r="C154" s="214"/>
      <c r="D154" s="214"/>
      <c r="E154" s="215"/>
    </row>
    <row r="155">
      <c r="A155" s="214"/>
      <c r="B155" s="214"/>
      <c r="C155" s="214"/>
      <c r="D155" s="214"/>
      <c r="E155" s="215"/>
    </row>
    <row r="156">
      <c r="A156" s="214"/>
      <c r="B156" s="214"/>
      <c r="C156" s="214"/>
      <c r="D156" s="214"/>
      <c r="E156" s="215"/>
    </row>
    <row r="157">
      <c r="A157" s="214"/>
      <c r="B157" s="214"/>
      <c r="C157" s="214"/>
      <c r="D157" s="214"/>
      <c r="E157" s="215"/>
    </row>
    <row r="158">
      <c r="A158" s="214"/>
      <c r="B158" s="214"/>
      <c r="C158" s="214"/>
      <c r="D158" s="214"/>
      <c r="E158" s="215"/>
    </row>
    <row r="159">
      <c r="A159" s="214"/>
      <c r="B159" s="214"/>
      <c r="C159" s="214"/>
      <c r="D159" s="214"/>
      <c r="E159" s="215"/>
    </row>
    <row r="160">
      <c r="A160" s="214"/>
      <c r="B160" s="214"/>
      <c r="C160" s="214"/>
      <c r="D160" s="214"/>
      <c r="E160" s="215"/>
    </row>
    <row r="161">
      <c r="A161" s="214"/>
      <c r="B161" s="214"/>
      <c r="C161" s="214"/>
      <c r="D161" s="214"/>
      <c r="E161" s="215"/>
    </row>
    <row r="162">
      <c r="A162" s="214"/>
      <c r="B162" s="214"/>
      <c r="C162" s="214"/>
      <c r="D162" s="214"/>
      <c r="E162" s="215"/>
    </row>
    <row r="163">
      <c r="A163" s="214"/>
      <c r="B163" s="214"/>
      <c r="C163" s="214"/>
      <c r="D163" s="214"/>
      <c r="E163" s="215"/>
    </row>
    <row r="164">
      <c r="A164" s="214"/>
      <c r="B164" s="214"/>
      <c r="C164" s="214"/>
      <c r="D164" s="214"/>
      <c r="E164" s="215"/>
    </row>
    <row r="165">
      <c r="A165" s="214"/>
      <c r="B165" s="214"/>
      <c r="C165" s="214"/>
      <c r="D165" s="214"/>
      <c r="E165" s="215"/>
    </row>
    <row r="166">
      <c r="A166" s="214"/>
      <c r="B166" s="214"/>
      <c r="C166" s="214"/>
      <c r="D166" s="214"/>
      <c r="E166" s="215"/>
    </row>
    <row r="167">
      <c r="A167" s="214"/>
      <c r="B167" s="214"/>
      <c r="C167" s="214"/>
      <c r="D167" s="214"/>
      <c r="E167" s="215"/>
    </row>
    <row r="168">
      <c r="A168" s="214"/>
      <c r="B168" s="214"/>
      <c r="C168" s="214"/>
      <c r="D168" s="214"/>
      <c r="E168" s="215"/>
    </row>
    <row r="169">
      <c r="A169" s="214"/>
      <c r="B169" s="214"/>
      <c r="C169" s="214"/>
      <c r="D169" s="214"/>
      <c r="E169" s="215"/>
    </row>
    <row r="170">
      <c r="A170" s="214"/>
      <c r="B170" s="214"/>
      <c r="C170" s="214"/>
      <c r="D170" s="214"/>
      <c r="E170" s="215"/>
    </row>
    <row r="171">
      <c r="A171" s="214"/>
      <c r="B171" s="214"/>
      <c r="C171" s="214"/>
      <c r="D171" s="214"/>
      <c r="E171" s="215"/>
    </row>
    <row r="172">
      <c r="A172" s="214"/>
      <c r="B172" s="214"/>
      <c r="C172" s="214"/>
      <c r="D172" s="214"/>
      <c r="E172" s="215"/>
    </row>
    <row r="173">
      <c r="A173" s="214"/>
      <c r="B173" s="214"/>
      <c r="C173" s="214"/>
      <c r="D173" s="214"/>
      <c r="E173" s="215"/>
    </row>
    <row r="174">
      <c r="A174" s="214"/>
      <c r="B174" s="214"/>
      <c r="C174" s="214"/>
      <c r="D174" s="214"/>
      <c r="E174" s="215"/>
    </row>
    <row r="175">
      <c r="A175" s="214"/>
      <c r="B175" s="214"/>
      <c r="C175" s="214"/>
      <c r="D175" s="214"/>
      <c r="E175" s="215"/>
    </row>
    <row r="176">
      <c r="A176" s="214"/>
      <c r="B176" s="214"/>
      <c r="C176" s="214"/>
      <c r="D176" s="214"/>
      <c r="E176" s="215"/>
    </row>
    <row r="177">
      <c r="A177" s="214"/>
      <c r="B177" s="214"/>
      <c r="C177" s="214"/>
      <c r="D177" s="214"/>
      <c r="E177" s="215"/>
    </row>
    <row r="178">
      <c r="A178" s="214"/>
      <c r="B178" s="214"/>
      <c r="C178" s="214"/>
      <c r="D178" s="214"/>
      <c r="E178" s="215"/>
    </row>
    <row r="179">
      <c r="A179" s="214"/>
      <c r="B179" s="214"/>
      <c r="C179" s="214"/>
      <c r="D179" s="214"/>
      <c r="E179" s="215"/>
    </row>
    <row r="180">
      <c r="A180" s="214"/>
      <c r="B180" s="214"/>
      <c r="C180" s="214"/>
      <c r="D180" s="214"/>
      <c r="E180" s="215"/>
    </row>
    <row r="181">
      <c r="A181" s="214"/>
      <c r="B181" s="214"/>
      <c r="C181" s="214"/>
      <c r="D181" s="214"/>
      <c r="E181" s="215"/>
    </row>
    <row r="182">
      <c r="A182" s="214"/>
      <c r="B182" s="214"/>
      <c r="C182" s="214"/>
      <c r="D182" s="214"/>
      <c r="E182" s="215"/>
    </row>
    <row r="183">
      <c r="A183" s="214"/>
      <c r="B183" s="214"/>
      <c r="C183" s="214"/>
      <c r="D183" s="214"/>
      <c r="E183" s="215"/>
    </row>
    <row r="184">
      <c r="A184" s="214"/>
      <c r="B184" s="214"/>
      <c r="C184" s="214"/>
      <c r="D184" s="214"/>
      <c r="E184" s="215"/>
    </row>
    <row r="185">
      <c r="A185" s="214"/>
      <c r="B185" s="214"/>
      <c r="C185" s="214"/>
      <c r="D185" s="214"/>
      <c r="E185" s="215"/>
    </row>
    <row r="186">
      <c r="A186" s="214"/>
      <c r="B186" s="214"/>
      <c r="C186" s="214"/>
      <c r="D186" s="214"/>
      <c r="E186" s="215"/>
    </row>
    <row r="187">
      <c r="A187" s="214"/>
      <c r="B187" s="214"/>
      <c r="C187" s="214"/>
      <c r="D187" s="214"/>
      <c r="E187" s="215"/>
    </row>
    <row r="188">
      <c r="A188" s="214"/>
      <c r="B188" s="214"/>
      <c r="C188" s="214"/>
      <c r="D188" s="214"/>
      <c r="E188" s="215"/>
    </row>
    <row r="189">
      <c r="A189" s="214"/>
      <c r="B189" s="214"/>
      <c r="C189" s="214"/>
      <c r="D189" s="214"/>
      <c r="E189" s="215"/>
    </row>
    <row r="190">
      <c r="A190" s="214"/>
      <c r="B190" s="214"/>
      <c r="C190" s="214"/>
      <c r="D190" s="214"/>
      <c r="E190" s="215"/>
    </row>
    <row r="191">
      <c r="A191" s="214"/>
      <c r="B191" s="214"/>
      <c r="C191" s="214"/>
      <c r="D191" s="214"/>
      <c r="E191" s="215"/>
    </row>
    <row r="192">
      <c r="A192" s="214"/>
      <c r="B192" s="214"/>
      <c r="C192" s="214"/>
      <c r="D192" s="214"/>
      <c r="E192" s="215"/>
    </row>
    <row r="193">
      <c r="A193" s="214"/>
      <c r="B193" s="214"/>
      <c r="C193" s="214"/>
      <c r="D193" s="214"/>
      <c r="E193" s="215"/>
    </row>
    <row r="194">
      <c r="A194" s="214"/>
      <c r="B194" s="214"/>
      <c r="C194" s="214"/>
      <c r="D194" s="214"/>
      <c r="E194" s="215"/>
    </row>
    <row r="195">
      <c r="A195" s="214"/>
      <c r="B195" s="214"/>
      <c r="C195" s="214"/>
      <c r="D195" s="214"/>
      <c r="E195" s="215"/>
    </row>
    <row r="196">
      <c r="A196" s="214"/>
      <c r="B196" s="214"/>
      <c r="C196" s="214"/>
      <c r="D196" s="214"/>
      <c r="E196" s="215"/>
    </row>
    <row r="197">
      <c r="A197" s="214"/>
      <c r="B197" s="214"/>
      <c r="C197" s="214"/>
      <c r="D197" s="214"/>
      <c r="E197" s="215"/>
    </row>
    <row r="198">
      <c r="A198" s="214"/>
      <c r="B198" s="214"/>
      <c r="C198" s="214"/>
      <c r="D198" s="214"/>
      <c r="E198" s="215"/>
    </row>
    <row r="199">
      <c r="A199" s="214"/>
      <c r="B199" s="214"/>
      <c r="C199" s="214"/>
      <c r="D199" s="214"/>
      <c r="E199" s="215"/>
    </row>
    <row r="200">
      <c r="A200" s="214"/>
      <c r="B200" s="214"/>
      <c r="C200" s="214"/>
      <c r="D200" s="214"/>
      <c r="E200" s="215"/>
    </row>
    <row r="201">
      <c r="A201" s="214"/>
      <c r="B201" s="214"/>
      <c r="C201" s="214"/>
      <c r="D201" s="214"/>
      <c r="E201" s="215"/>
    </row>
    <row r="202">
      <c r="A202" s="214"/>
      <c r="B202" s="214"/>
      <c r="C202" s="214"/>
      <c r="D202" s="214"/>
      <c r="E202" s="215"/>
    </row>
    <row r="203">
      <c r="A203" s="214"/>
      <c r="B203" s="214"/>
      <c r="C203" s="214"/>
      <c r="D203" s="214"/>
      <c r="E203" s="215"/>
    </row>
    <row r="204">
      <c r="A204" s="214"/>
      <c r="B204" s="214"/>
      <c r="C204" s="214"/>
      <c r="D204" s="214"/>
      <c r="E204" s="215"/>
    </row>
    <row r="205">
      <c r="A205" s="214"/>
      <c r="B205" s="214"/>
      <c r="C205" s="214"/>
      <c r="D205" s="214"/>
      <c r="E205" s="215"/>
    </row>
    <row r="206">
      <c r="A206" s="214"/>
      <c r="B206" s="214"/>
      <c r="C206" s="214"/>
      <c r="D206" s="214"/>
      <c r="E206" s="215"/>
    </row>
    <row r="207">
      <c r="A207" s="214"/>
      <c r="B207" s="214"/>
      <c r="C207" s="214"/>
      <c r="D207" s="214"/>
      <c r="E207" s="215"/>
    </row>
    <row r="208">
      <c r="A208" s="214"/>
      <c r="B208" s="214"/>
      <c r="C208" s="214"/>
      <c r="D208" s="214"/>
      <c r="E208" s="215"/>
    </row>
    <row r="209">
      <c r="A209" s="214"/>
      <c r="B209" s="214"/>
      <c r="C209" s="214"/>
      <c r="D209" s="214"/>
      <c r="E209" s="215"/>
    </row>
    <row r="210">
      <c r="A210" s="214"/>
      <c r="B210" s="214"/>
      <c r="C210" s="214"/>
      <c r="D210" s="214"/>
      <c r="E210" s="215"/>
    </row>
    <row r="211">
      <c r="A211" s="214"/>
      <c r="B211" s="214"/>
      <c r="C211" s="214"/>
      <c r="D211" s="214"/>
      <c r="E211" s="215"/>
    </row>
    <row r="212">
      <c r="A212" s="214"/>
      <c r="B212" s="214"/>
      <c r="C212" s="214"/>
      <c r="D212" s="214"/>
      <c r="E212" s="215"/>
    </row>
    <row r="213">
      <c r="A213" s="214"/>
      <c r="B213" s="214"/>
      <c r="C213" s="214"/>
      <c r="D213" s="214"/>
      <c r="E213" s="215"/>
    </row>
    <row r="214">
      <c r="A214" s="214"/>
      <c r="B214" s="214"/>
      <c r="C214" s="214"/>
      <c r="D214" s="214"/>
      <c r="E214" s="215"/>
    </row>
    <row r="215">
      <c r="A215" s="214"/>
      <c r="B215" s="214"/>
      <c r="C215" s="214"/>
      <c r="D215" s="214"/>
      <c r="E215" s="215"/>
    </row>
    <row r="216">
      <c r="A216" s="214"/>
      <c r="B216" s="214"/>
      <c r="C216" s="214"/>
      <c r="D216" s="214"/>
      <c r="E216" s="215"/>
    </row>
    <row r="217">
      <c r="A217" s="214"/>
      <c r="B217" s="214"/>
      <c r="C217" s="214"/>
      <c r="D217" s="214"/>
      <c r="E217" s="215"/>
    </row>
    <row r="218">
      <c r="A218" s="214"/>
      <c r="B218" s="214"/>
      <c r="C218" s="214"/>
      <c r="D218" s="214"/>
      <c r="E218" s="215"/>
    </row>
    <row r="219">
      <c r="A219" s="214"/>
      <c r="B219" s="214"/>
      <c r="C219" s="214"/>
      <c r="D219" s="214"/>
      <c r="E219" s="215"/>
    </row>
    <row r="220">
      <c r="A220" s="214"/>
      <c r="B220" s="214"/>
      <c r="C220" s="214"/>
      <c r="D220" s="214"/>
      <c r="E220" s="215"/>
    </row>
    <row r="221">
      <c r="A221" s="214"/>
      <c r="B221" s="214"/>
      <c r="C221" s="214"/>
      <c r="D221" s="214"/>
      <c r="E221" s="215"/>
    </row>
    <row r="222">
      <c r="A222" s="214"/>
      <c r="B222" s="214"/>
      <c r="C222" s="214"/>
      <c r="D222" s="214"/>
      <c r="E222" s="215"/>
    </row>
    <row r="223">
      <c r="A223" s="214"/>
      <c r="B223" s="214"/>
      <c r="C223" s="214"/>
      <c r="D223" s="214"/>
      <c r="E223" s="215"/>
    </row>
    <row r="224">
      <c r="A224" s="214"/>
      <c r="B224" s="214"/>
      <c r="C224" s="214"/>
      <c r="D224" s="214"/>
      <c r="E224" s="215"/>
    </row>
    <row r="225">
      <c r="A225" s="214"/>
      <c r="B225" s="214"/>
      <c r="C225" s="214"/>
      <c r="D225" s="214"/>
      <c r="E225" s="215"/>
    </row>
    <row r="226">
      <c r="A226" s="214"/>
      <c r="B226" s="214"/>
      <c r="C226" s="214"/>
      <c r="D226" s="214"/>
      <c r="E226" s="215"/>
    </row>
    <row r="227">
      <c r="A227" s="214"/>
      <c r="B227" s="214"/>
      <c r="C227" s="214"/>
      <c r="D227" s="214"/>
      <c r="E227" s="215"/>
    </row>
    <row r="228">
      <c r="A228" s="214"/>
      <c r="B228" s="214"/>
      <c r="C228" s="214"/>
      <c r="D228" s="214"/>
      <c r="E228" s="215"/>
    </row>
    <row r="229">
      <c r="A229" s="214"/>
      <c r="B229" s="214"/>
      <c r="C229" s="214"/>
      <c r="D229" s="214"/>
      <c r="E229" s="215"/>
    </row>
    <row r="230">
      <c r="A230" s="214"/>
      <c r="B230" s="214"/>
      <c r="C230" s="214"/>
      <c r="D230" s="214"/>
      <c r="E230" s="215"/>
    </row>
    <row r="231">
      <c r="A231" s="214"/>
      <c r="B231" s="214"/>
      <c r="C231" s="214"/>
      <c r="D231" s="214"/>
      <c r="E231" s="215"/>
    </row>
    <row r="232">
      <c r="A232" s="214"/>
      <c r="B232" s="214"/>
      <c r="C232" s="214"/>
      <c r="D232" s="214"/>
      <c r="E232" s="215"/>
    </row>
    <row r="233">
      <c r="A233" s="214"/>
      <c r="B233" s="214"/>
      <c r="C233" s="214"/>
      <c r="D233" s="214"/>
      <c r="E233" s="215"/>
    </row>
    <row r="234">
      <c r="A234" s="214"/>
      <c r="B234" s="214"/>
      <c r="C234" s="214"/>
      <c r="D234" s="214"/>
      <c r="E234" s="215"/>
    </row>
    <row r="235">
      <c r="A235" s="214"/>
      <c r="B235" s="214"/>
      <c r="C235" s="214"/>
      <c r="D235" s="214"/>
      <c r="E235" s="215"/>
    </row>
    <row r="236">
      <c r="A236" s="214"/>
      <c r="B236" s="214"/>
      <c r="C236" s="214"/>
      <c r="D236" s="214"/>
      <c r="E236" s="215"/>
    </row>
    <row r="237">
      <c r="A237" s="214"/>
      <c r="B237" s="214"/>
      <c r="C237" s="214"/>
      <c r="D237" s="214"/>
      <c r="E237" s="215"/>
    </row>
    <row r="238">
      <c r="A238" s="214"/>
      <c r="B238" s="214"/>
      <c r="C238" s="214"/>
      <c r="D238" s="214"/>
      <c r="E238" s="215"/>
    </row>
    <row r="239">
      <c r="A239" s="214"/>
      <c r="B239" s="214"/>
      <c r="C239" s="214"/>
      <c r="D239" s="214"/>
      <c r="E239" s="215"/>
    </row>
    <row r="240">
      <c r="A240" s="214"/>
      <c r="B240" s="214"/>
      <c r="C240" s="214"/>
      <c r="D240" s="214"/>
      <c r="E240" s="215"/>
    </row>
    <row r="241">
      <c r="A241" s="214"/>
      <c r="B241" s="214"/>
      <c r="C241" s="214"/>
      <c r="D241" s="214"/>
      <c r="E241" s="215"/>
    </row>
    <row r="242">
      <c r="A242" s="214"/>
      <c r="B242" s="214"/>
      <c r="C242" s="214"/>
      <c r="D242" s="214"/>
      <c r="E242" s="215"/>
    </row>
    <row r="243">
      <c r="A243" s="214"/>
      <c r="B243" s="214"/>
      <c r="C243" s="214"/>
      <c r="D243" s="214"/>
      <c r="E243" s="215"/>
    </row>
    <row r="244">
      <c r="A244" s="214"/>
      <c r="B244" s="214"/>
      <c r="C244" s="214"/>
      <c r="D244" s="214"/>
      <c r="E244" s="215"/>
    </row>
    <row r="245">
      <c r="A245" s="214"/>
      <c r="B245" s="214"/>
      <c r="C245" s="214"/>
      <c r="D245" s="214"/>
      <c r="E245" s="215"/>
    </row>
    <row r="246">
      <c r="A246" s="214"/>
      <c r="B246" s="214"/>
      <c r="C246" s="214"/>
      <c r="D246" s="214"/>
      <c r="E246" s="215"/>
    </row>
    <row r="247">
      <c r="A247" s="214"/>
      <c r="B247" s="214"/>
      <c r="C247" s="214"/>
      <c r="D247" s="214"/>
      <c r="E247" s="215"/>
    </row>
    <row r="248">
      <c r="A248" s="214"/>
      <c r="B248" s="214"/>
      <c r="C248" s="214"/>
      <c r="D248" s="214"/>
      <c r="E248" s="215"/>
    </row>
    <row r="249">
      <c r="A249" s="214"/>
      <c r="B249" s="214"/>
      <c r="C249" s="214"/>
      <c r="D249" s="214"/>
      <c r="E249" s="215"/>
    </row>
    <row r="250">
      <c r="A250" s="214"/>
      <c r="B250" s="214"/>
      <c r="C250" s="214"/>
      <c r="D250" s="214"/>
      <c r="E250" s="215"/>
    </row>
    <row r="251">
      <c r="A251" s="214"/>
      <c r="B251" s="214"/>
      <c r="C251" s="214"/>
      <c r="D251" s="214"/>
      <c r="E251" s="215"/>
    </row>
    <row r="252">
      <c r="A252" s="214"/>
      <c r="B252" s="214"/>
      <c r="C252" s="214"/>
      <c r="D252" s="214"/>
      <c r="E252" s="215"/>
    </row>
    <row r="253">
      <c r="A253" s="214"/>
      <c r="B253" s="214"/>
      <c r="C253" s="214"/>
      <c r="D253" s="214"/>
      <c r="E253" s="215"/>
    </row>
    <row r="254">
      <c r="A254" s="214"/>
      <c r="B254" s="214"/>
      <c r="C254" s="214"/>
      <c r="D254" s="214"/>
      <c r="E254" s="215"/>
    </row>
    <row r="255">
      <c r="A255" s="214"/>
      <c r="B255" s="214"/>
      <c r="C255" s="214"/>
      <c r="D255" s="214"/>
      <c r="E255" s="215"/>
    </row>
    <row r="256">
      <c r="A256" s="214"/>
      <c r="B256" s="214"/>
      <c r="C256" s="214"/>
      <c r="D256" s="214"/>
      <c r="E256" s="215"/>
    </row>
    <row r="257">
      <c r="A257" s="214"/>
      <c r="B257" s="214"/>
      <c r="C257" s="214"/>
      <c r="D257" s="214"/>
      <c r="E257" s="215"/>
    </row>
    <row r="258">
      <c r="A258" s="214"/>
      <c r="B258" s="214"/>
      <c r="C258" s="214"/>
      <c r="D258" s="214"/>
      <c r="E258" s="215"/>
    </row>
    <row r="259">
      <c r="A259" s="214"/>
      <c r="B259" s="214"/>
      <c r="C259" s="214"/>
      <c r="D259" s="214"/>
      <c r="E259" s="215"/>
    </row>
    <row r="260">
      <c r="A260" s="214"/>
      <c r="B260" s="214"/>
      <c r="C260" s="214"/>
      <c r="D260" s="214"/>
      <c r="E260" s="215"/>
    </row>
    <row r="261">
      <c r="A261" s="214"/>
      <c r="B261" s="214"/>
      <c r="C261" s="214"/>
      <c r="D261" s="214"/>
      <c r="E261" s="215"/>
    </row>
    <row r="262">
      <c r="A262" s="214"/>
      <c r="B262" s="214"/>
      <c r="C262" s="214"/>
      <c r="D262" s="214"/>
      <c r="E262" s="215"/>
    </row>
    <row r="263">
      <c r="A263" s="214"/>
      <c r="B263" s="214"/>
      <c r="C263" s="214"/>
      <c r="D263" s="214"/>
      <c r="E263" s="215"/>
    </row>
    <row r="264">
      <c r="A264" s="214"/>
      <c r="B264" s="214"/>
      <c r="C264" s="214"/>
      <c r="D264" s="214"/>
      <c r="E264" s="215"/>
    </row>
    <row r="265">
      <c r="A265" s="214"/>
      <c r="B265" s="214"/>
      <c r="C265" s="214"/>
      <c r="D265" s="214"/>
      <c r="E265" s="215"/>
    </row>
    <row r="266">
      <c r="A266" s="214"/>
      <c r="B266" s="214"/>
      <c r="C266" s="214"/>
      <c r="D266" s="214"/>
      <c r="E266" s="215"/>
    </row>
    <row r="267">
      <c r="A267" s="214"/>
      <c r="B267" s="214"/>
      <c r="C267" s="214"/>
      <c r="D267" s="214"/>
      <c r="E267" s="215"/>
    </row>
    <row r="268">
      <c r="A268" s="214"/>
      <c r="B268" s="214"/>
      <c r="C268" s="214"/>
      <c r="D268" s="214"/>
      <c r="E268" s="215"/>
    </row>
    <row r="269">
      <c r="A269" s="214"/>
      <c r="B269" s="214"/>
      <c r="C269" s="214"/>
      <c r="D269" s="214"/>
      <c r="E269" s="215"/>
    </row>
    <row r="270">
      <c r="A270" s="214"/>
      <c r="B270" s="214"/>
      <c r="C270" s="214"/>
      <c r="D270" s="214"/>
      <c r="E270" s="215"/>
    </row>
    <row r="271">
      <c r="A271" s="214"/>
      <c r="B271" s="214"/>
      <c r="C271" s="214"/>
      <c r="D271" s="214"/>
      <c r="E271" s="215"/>
    </row>
    <row r="272">
      <c r="A272" s="214"/>
      <c r="B272" s="214"/>
      <c r="C272" s="214"/>
      <c r="D272" s="214"/>
      <c r="E272" s="215"/>
    </row>
    <row r="273">
      <c r="A273" s="214"/>
      <c r="B273" s="214"/>
      <c r="C273" s="214"/>
      <c r="D273" s="214"/>
      <c r="E273" s="215"/>
    </row>
    <row r="274">
      <c r="A274" s="214"/>
      <c r="B274" s="214"/>
      <c r="C274" s="214"/>
      <c r="D274" s="214"/>
      <c r="E274" s="215"/>
    </row>
    <row r="275">
      <c r="A275" s="214"/>
      <c r="B275" s="214"/>
      <c r="C275" s="214"/>
      <c r="D275" s="214"/>
      <c r="E275" s="215"/>
    </row>
    <row r="276">
      <c r="A276" s="214"/>
      <c r="B276" s="214"/>
      <c r="C276" s="214"/>
      <c r="D276" s="214"/>
      <c r="E276" s="215"/>
    </row>
    <row r="277">
      <c r="A277" s="214"/>
      <c r="B277" s="214"/>
      <c r="C277" s="214"/>
      <c r="D277" s="214"/>
      <c r="E277" s="215"/>
    </row>
    <row r="278">
      <c r="A278" s="214"/>
      <c r="B278" s="214"/>
      <c r="C278" s="214"/>
      <c r="D278" s="214"/>
      <c r="E278" s="215"/>
    </row>
    <row r="279">
      <c r="A279" s="214"/>
      <c r="B279" s="214"/>
      <c r="C279" s="214"/>
      <c r="D279" s="214"/>
      <c r="E279" s="215"/>
    </row>
    <row r="280">
      <c r="A280" s="214"/>
      <c r="B280" s="214"/>
      <c r="C280" s="214"/>
      <c r="D280" s="214"/>
      <c r="E280" s="215"/>
    </row>
    <row r="281">
      <c r="A281" s="214"/>
      <c r="B281" s="214"/>
      <c r="C281" s="214"/>
      <c r="D281" s="214"/>
      <c r="E281" s="215"/>
    </row>
    <row r="282">
      <c r="A282" s="214"/>
      <c r="B282" s="214"/>
      <c r="C282" s="214"/>
      <c r="D282" s="214"/>
      <c r="E282" s="215"/>
    </row>
    <row r="283">
      <c r="A283" s="214"/>
      <c r="B283" s="214"/>
      <c r="C283" s="214"/>
      <c r="D283" s="214"/>
      <c r="E283" s="215"/>
    </row>
    <row r="284">
      <c r="A284" s="214"/>
      <c r="B284" s="214"/>
      <c r="C284" s="214"/>
      <c r="D284" s="214"/>
      <c r="E284" s="215"/>
    </row>
    <row r="285">
      <c r="A285" s="214"/>
      <c r="B285" s="214"/>
      <c r="C285" s="214"/>
      <c r="D285" s="214"/>
      <c r="E285" s="215"/>
    </row>
    <row r="286">
      <c r="A286" s="214"/>
      <c r="B286" s="214"/>
      <c r="C286" s="214"/>
      <c r="D286" s="214"/>
      <c r="E286" s="215"/>
    </row>
    <row r="287">
      <c r="A287" s="214"/>
      <c r="B287" s="214"/>
      <c r="C287" s="214"/>
      <c r="D287" s="214"/>
      <c r="E287" s="215"/>
    </row>
    <row r="288">
      <c r="A288" s="214"/>
      <c r="B288" s="214"/>
      <c r="C288" s="214"/>
      <c r="D288" s="214"/>
      <c r="E288" s="215"/>
    </row>
    <row r="289">
      <c r="A289" s="214"/>
      <c r="B289" s="214"/>
      <c r="C289" s="214"/>
      <c r="D289" s="214"/>
      <c r="E289" s="215"/>
    </row>
    <row r="290">
      <c r="A290" s="214"/>
      <c r="B290" s="214"/>
      <c r="C290" s="214"/>
      <c r="D290" s="214"/>
      <c r="E290" s="215"/>
    </row>
    <row r="291">
      <c r="A291" s="214"/>
      <c r="B291" s="214"/>
      <c r="C291" s="214"/>
      <c r="D291" s="214"/>
      <c r="E291" s="215"/>
    </row>
    <row r="292">
      <c r="A292" s="214"/>
      <c r="B292" s="214"/>
      <c r="C292" s="214"/>
      <c r="D292" s="214"/>
      <c r="E292" s="215"/>
    </row>
    <row r="293">
      <c r="A293" s="214"/>
      <c r="B293" s="214"/>
      <c r="C293" s="214"/>
      <c r="D293" s="214"/>
      <c r="E293" s="215"/>
    </row>
    <row r="294">
      <c r="A294" s="214"/>
      <c r="B294" s="214"/>
      <c r="C294" s="214"/>
      <c r="D294" s="214"/>
      <c r="E294" s="215"/>
    </row>
    <row r="295">
      <c r="A295" s="214"/>
      <c r="B295" s="214"/>
      <c r="C295" s="214"/>
      <c r="D295" s="214"/>
      <c r="E295" s="215"/>
    </row>
    <row r="296">
      <c r="A296" s="214"/>
      <c r="B296" s="214"/>
      <c r="C296" s="214"/>
      <c r="D296" s="214"/>
      <c r="E296" s="215"/>
    </row>
    <row r="297">
      <c r="A297" s="214"/>
      <c r="B297" s="214"/>
      <c r="C297" s="214"/>
      <c r="D297" s="214"/>
      <c r="E297" s="215"/>
    </row>
    <row r="298">
      <c r="A298" s="214"/>
      <c r="B298" s="214"/>
      <c r="C298" s="214"/>
      <c r="D298" s="214"/>
      <c r="E298" s="215"/>
    </row>
    <row r="299">
      <c r="A299" s="214"/>
      <c r="B299" s="214"/>
      <c r="C299" s="214"/>
      <c r="D299" s="214"/>
      <c r="E299" s="215"/>
    </row>
    <row r="300">
      <c r="A300" s="214"/>
      <c r="B300" s="214"/>
      <c r="C300" s="214"/>
      <c r="D300" s="214"/>
      <c r="E300" s="215"/>
    </row>
    <row r="301">
      <c r="A301" s="214"/>
      <c r="B301" s="214"/>
      <c r="C301" s="214"/>
      <c r="D301" s="214"/>
      <c r="E301" s="215"/>
    </row>
    <row r="302">
      <c r="A302" s="214"/>
      <c r="B302" s="214"/>
      <c r="C302" s="214"/>
      <c r="D302" s="214"/>
      <c r="E302" s="215"/>
    </row>
    <row r="303">
      <c r="A303" s="214"/>
      <c r="B303" s="214"/>
      <c r="C303" s="214"/>
      <c r="D303" s="214"/>
      <c r="E303" s="215"/>
    </row>
    <row r="304">
      <c r="A304" s="214"/>
      <c r="B304" s="214"/>
      <c r="C304" s="214"/>
      <c r="D304" s="214"/>
      <c r="E304" s="215"/>
    </row>
    <row r="305">
      <c r="A305" s="214"/>
      <c r="B305" s="214"/>
      <c r="C305" s="214"/>
      <c r="D305" s="214"/>
      <c r="E305" s="215"/>
    </row>
    <row r="306">
      <c r="A306" s="214"/>
      <c r="B306" s="214"/>
      <c r="C306" s="214"/>
      <c r="D306" s="214"/>
      <c r="E306" s="215"/>
    </row>
    <row r="307">
      <c r="A307" s="214"/>
      <c r="B307" s="214"/>
      <c r="C307" s="214"/>
      <c r="D307" s="214"/>
      <c r="E307" s="215"/>
    </row>
    <row r="308">
      <c r="A308" s="214"/>
      <c r="B308" s="214"/>
      <c r="C308" s="214"/>
      <c r="D308" s="214"/>
      <c r="E308" s="215"/>
    </row>
    <row r="309">
      <c r="A309" s="214"/>
      <c r="B309" s="214"/>
      <c r="C309" s="214"/>
      <c r="D309" s="214"/>
      <c r="E309" s="215"/>
    </row>
    <row r="310">
      <c r="A310" s="214"/>
      <c r="B310" s="214"/>
      <c r="C310" s="214"/>
      <c r="D310" s="214"/>
      <c r="E310" s="215"/>
    </row>
    <row r="311">
      <c r="A311" s="214"/>
      <c r="B311" s="214"/>
      <c r="C311" s="214"/>
      <c r="D311" s="214"/>
      <c r="E311" s="215"/>
    </row>
    <row r="312">
      <c r="A312" s="214"/>
      <c r="B312" s="214"/>
      <c r="C312" s="214"/>
      <c r="D312" s="214"/>
      <c r="E312" s="215"/>
    </row>
    <row r="313">
      <c r="A313" s="214"/>
      <c r="B313" s="214"/>
      <c r="C313" s="214"/>
      <c r="D313" s="214"/>
      <c r="E313" s="215"/>
    </row>
    <row r="314">
      <c r="A314" s="214"/>
      <c r="B314" s="214"/>
      <c r="C314" s="214"/>
      <c r="D314" s="214"/>
      <c r="E314" s="215"/>
    </row>
    <row r="315">
      <c r="A315" s="214"/>
      <c r="B315" s="214"/>
      <c r="C315" s="214"/>
      <c r="D315" s="214"/>
      <c r="E315" s="215"/>
    </row>
    <row r="316">
      <c r="A316" s="214"/>
      <c r="B316" s="214"/>
      <c r="C316" s="214"/>
      <c r="D316" s="214"/>
      <c r="E316" s="215"/>
    </row>
    <row r="317">
      <c r="A317" s="214"/>
      <c r="B317" s="214"/>
      <c r="C317" s="214"/>
      <c r="D317" s="214"/>
      <c r="E317" s="215"/>
    </row>
    <row r="318">
      <c r="A318" s="214"/>
      <c r="B318" s="214"/>
      <c r="C318" s="214"/>
      <c r="D318" s="214"/>
      <c r="E318" s="215"/>
    </row>
    <row r="319">
      <c r="A319" s="214"/>
      <c r="B319" s="214"/>
      <c r="C319" s="214"/>
      <c r="D319" s="214"/>
      <c r="E319" s="215"/>
    </row>
    <row r="320">
      <c r="A320" s="214"/>
      <c r="B320" s="214"/>
      <c r="C320" s="214"/>
      <c r="D320" s="214"/>
      <c r="E320" s="215"/>
    </row>
    <row r="321">
      <c r="A321" s="214"/>
      <c r="B321" s="214"/>
      <c r="C321" s="214"/>
      <c r="D321" s="214"/>
      <c r="E321" s="215"/>
    </row>
    <row r="322">
      <c r="A322" s="214"/>
      <c r="B322" s="214"/>
      <c r="C322" s="214"/>
      <c r="D322" s="214"/>
      <c r="E322" s="215"/>
    </row>
    <row r="323">
      <c r="A323" s="214"/>
      <c r="B323" s="214"/>
      <c r="C323" s="214"/>
      <c r="D323" s="214"/>
      <c r="E323" s="215"/>
    </row>
    <row r="324">
      <c r="A324" s="214"/>
      <c r="B324" s="214"/>
      <c r="C324" s="214"/>
      <c r="D324" s="214"/>
      <c r="E324" s="215"/>
    </row>
    <row r="325">
      <c r="A325" s="214"/>
      <c r="B325" s="214"/>
      <c r="C325" s="214"/>
      <c r="D325" s="214"/>
      <c r="E325" s="215"/>
    </row>
    <row r="326">
      <c r="A326" s="214"/>
      <c r="B326" s="214"/>
      <c r="C326" s="214"/>
      <c r="D326" s="214"/>
      <c r="E326" s="215"/>
    </row>
    <row r="327">
      <c r="A327" s="214"/>
      <c r="B327" s="214"/>
      <c r="C327" s="214"/>
      <c r="D327" s="214"/>
      <c r="E327" s="215"/>
    </row>
    <row r="328">
      <c r="A328" s="214"/>
      <c r="B328" s="214"/>
      <c r="C328" s="214"/>
      <c r="D328" s="214"/>
      <c r="E328" s="215"/>
    </row>
    <row r="329">
      <c r="A329" s="214"/>
      <c r="B329" s="214"/>
      <c r="C329" s="214"/>
      <c r="D329" s="214"/>
      <c r="E329" s="215"/>
    </row>
    <row r="330">
      <c r="A330" s="214"/>
      <c r="B330" s="214"/>
      <c r="C330" s="214"/>
      <c r="D330" s="214"/>
      <c r="E330" s="215"/>
    </row>
    <row r="331">
      <c r="A331" s="214"/>
      <c r="B331" s="214"/>
      <c r="C331" s="214"/>
      <c r="D331" s="214"/>
      <c r="E331" s="215"/>
    </row>
    <row r="332">
      <c r="A332" s="214"/>
      <c r="B332" s="214"/>
      <c r="C332" s="214"/>
      <c r="D332" s="214"/>
      <c r="E332" s="215"/>
    </row>
    <row r="333">
      <c r="A333" s="214"/>
      <c r="B333" s="214"/>
      <c r="C333" s="214"/>
      <c r="D333" s="214"/>
      <c r="E333" s="215"/>
    </row>
    <row r="334">
      <c r="A334" s="214"/>
      <c r="B334" s="214"/>
      <c r="C334" s="214"/>
      <c r="D334" s="214"/>
      <c r="E334" s="215"/>
    </row>
    <row r="335">
      <c r="A335" s="214"/>
      <c r="B335" s="214"/>
      <c r="C335" s="214"/>
      <c r="D335" s="214"/>
      <c r="E335" s="215"/>
    </row>
    <row r="336">
      <c r="A336" s="214"/>
      <c r="B336" s="214"/>
      <c r="C336" s="214"/>
      <c r="D336" s="214"/>
      <c r="E336" s="215"/>
    </row>
    <row r="337">
      <c r="A337" s="214"/>
      <c r="B337" s="214"/>
      <c r="C337" s="214"/>
      <c r="D337" s="214"/>
      <c r="E337" s="215"/>
    </row>
    <row r="338">
      <c r="A338" s="214"/>
      <c r="B338" s="214"/>
      <c r="C338" s="214"/>
      <c r="D338" s="214"/>
      <c r="E338" s="215"/>
    </row>
    <row r="339">
      <c r="A339" s="214"/>
      <c r="B339" s="214"/>
      <c r="C339" s="214"/>
      <c r="D339" s="214"/>
      <c r="E339" s="215"/>
    </row>
    <row r="340">
      <c r="A340" s="214"/>
      <c r="B340" s="214"/>
      <c r="C340" s="214"/>
      <c r="D340" s="214"/>
      <c r="E340" s="215"/>
    </row>
    <row r="341">
      <c r="A341" s="214"/>
      <c r="B341" s="214"/>
      <c r="C341" s="214"/>
      <c r="D341" s="214"/>
      <c r="E341" s="215"/>
    </row>
    <row r="342">
      <c r="A342" s="214"/>
      <c r="B342" s="214"/>
      <c r="C342" s="214"/>
      <c r="D342" s="214"/>
      <c r="E342" s="215"/>
    </row>
    <row r="343">
      <c r="A343" s="214"/>
      <c r="B343" s="214"/>
      <c r="C343" s="214"/>
      <c r="D343" s="214"/>
      <c r="E343" s="215"/>
    </row>
    <row r="344">
      <c r="A344" s="214"/>
      <c r="B344" s="214"/>
      <c r="C344" s="214"/>
      <c r="D344" s="214"/>
      <c r="E344" s="215"/>
    </row>
    <row r="345">
      <c r="A345" s="214"/>
      <c r="B345" s="214"/>
      <c r="C345" s="214"/>
      <c r="D345" s="214"/>
      <c r="E345" s="215"/>
    </row>
    <row r="346">
      <c r="A346" s="214"/>
      <c r="B346" s="214"/>
      <c r="C346" s="214"/>
      <c r="D346" s="214"/>
      <c r="E346" s="215"/>
    </row>
    <row r="347">
      <c r="A347" s="214"/>
      <c r="B347" s="214"/>
      <c r="C347" s="214"/>
      <c r="D347" s="214"/>
      <c r="E347" s="215"/>
    </row>
    <row r="348">
      <c r="A348" s="214"/>
      <c r="B348" s="214"/>
      <c r="C348" s="214"/>
      <c r="D348" s="214"/>
      <c r="E348" s="215"/>
    </row>
    <row r="349">
      <c r="A349" s="214"/>
      <c r="B349" s="214"/>
      <c r="C349" s="214"/>
      <c r="D349" s="214"/>
      <c r="E349" s="215"/>
    </row>
    <row r="350">
      <c r="A350" s="214"/>
      <c r="B350" s="214"/>
      <c r="C350" s="214"/>
      <c r="D350" s="214"/>
      <c r="E350" s="215"/>
    </row>
    <row r="351">
      <c r="A351" s="214"/>
      <c r="B351" s="214"/>
      <c r="C351" s="214"/>
      <c r="D351" s="214"/>
      <c r="E351" s="215"/>
    </row>
    <row r="352">
      <c r="A352" s="214"/>
      <c r="B352" s="214"/>
      <c r="C352" s="214"/>
      <c r="D352" s="214"/>
      <c r="E352" s="215"/>
    </row>
    <row r="353">
      <c r="A353" s="214"/>
      <c r="B353" s="214"/>
      <c r="C353" s="214"/>
      <c r="D353" s="214"/>
      <c r="E353" s="215"/>
    </row>
    <row r="354">
      <c r="A354" s="214"/>
      <c r="B354" s="214"/>
      <c r="C354" s="214"/>
      <c r="D354" s="214"/>
      <c r="E354" s="215"/>
    </row>
    <row r="355">
      <c r="A355" s="214"/>
      <c r="B355" s="214"/>
      <c r="C355" s="214"/>
      <c r="D355" s="214"/>
      <c r="E355" s="215"/>
    </row>
    <row r="356">
      <c r="A356" s="214"/>
      <c r="B356" s="214"/>
      <c r="C356" s="214"/>
      <c r="D356" s="214"/>
      <c r="E356" s="215"/>
    </row>
    <row r="357">
      <c r="A357" s="214"/>
      <c r="B357" s="214"/>
      <c r="C357" s="214"/>
      <c r="D357" s="214"/>
      <c r="E357" s="215"/>
    </row>
    <row r="358">
      <c r="A358" s="214"/>
      <c r="B358" s="214"/>
      <c r="C358" s="214"/>
      <c r="D358" s="214"/>
      <c r="E358" s="215"/>
    </row>
    <row r="359">
      <c r="A359" s="214"/>
      <c r="B359" s="214"/>
      <c r="C359" s="214"/>
      <c r="D359" s="214"/>
      <c r="E359" s="215"/>
    </row>
    <row r="360">
      <c r="A360" s="214"/>
      <c r="B360" s="214"/>
      <c r="C360" s="214"/>
      <c r="D360" s="214"/>
      <c r="E360" s="215"/>
    </row>
    <row r="361">
      <c r="A361" s="214"/>
      <c r="B361" s="214"/>
      <c r="C361" s="214"/>
      <c r="D361" s="214"/>
      <c r="E361" s="215"/>
    </row>
    <row r="362">
      <c r="A362" s="214"/>
      <c r="B362" s="214"/>
      <c r="C362" s="214"/>
      <c r="D362" s="214"/>
      <c r="E362" s="215"/>
    </row>
    <row r="363">
      <c r="A363" s="214"/>
      <c r="B363" s="214"/>
      <c r="C363" s="214"/>
      <c r="D363" s="214"/>
      <c r="E363" s="215"/>
    </row>
    <row r="364">
      <c r="A364" s="214"/>
      <c r="B364" s="214"/>
      <c r="C364" s="214"/>
      <c r="D364" s="214"/>
      <c r="E364" s="215"/>
    </row>
    <row r="365">
      <c r="A365" s="214"/>
      <c r="B365" s="214"/>
      <c r="C365" s="214"/>
      <c r="D365" s="214"/>
      <c r="E365" s="215"/>
    </row>
    <row r="366">
      <c r="A366" s="214"/>
      <c r="B366" s="214"/>
      <c r="C366" s="214"/>
      <c r="D366" s="214"/>
      <c r="E366" s="215"/>
    </row>
    <row r="367">
      <c r="A367" s="214"/>
      <c r="B367" s="214"/>
      <c r="C367" s="214"/>
      <c r="D367" s="214"/>
      <c r="E367" s="215"/>
    </row>
    <row r="368">
      <c r="A368" s="214"/>
      <c r="B368" s="214"/>
      <c r="C368" s="214"/>
      <c r="D368" s="214"/>
      <c r="E368" s="215"/>
    </row>
    <row r="369">
      <c r="A369" s="214"/>
      <c r="B369" s="214"/>
      <c r="C369" s="214"/>
      <c r="D369" s="214"/>
      <c r="E369" s="215"/>
    </row>
    <row r="370">
      <c r="A370" s="214"/>
      <c r="B370" s="214"/>
      <c r="C370" s="214"/>
      <c r="D370" s="214"/>
      <c r="E370" s="215"/>
    </row>
    <row r="371">
      <c r="A371" s="214"/>
      <c r="B371" s="214"/>
      <c r="C371" s="214"/>
      <c r="D371" s="214"/>
      <c r="E371" s="215"/>
    </row>
    <row r="372">
      <c r="A372" s="214"/>
      <c r="B372" s="214"/>
      <c r="C372" s="214"/>
      <c r="D372" s="214"/>
      <c r="E372" s="215"/>
    </row>
    <row r="373">
      <c r="A373" s="214"/>
      <c r="B373" s="214"/>
      <c r="C373" s="214"/>
      <c r="D373" s="214"/>
      <c r="E373" s="215"/>
    </row>
    <row r="374">
      <c r="A374" s="214"/>
      <c r="B374" s="214"/>
      <c r="C374" s="214"/>
      <c r="D374" s="214"/>
      <c r="E374" s="215"/>
    </row>
    <row r="375">
      <c r="A375" s="214"/>
      <c r="B375" s="214"/>
      <c r="C375" s="214"/>
      <c r="D375" s="214"/>
      <c r="E375" s="215"/>
    </row>
    <row r="376">
      <c r="A376" s="214"/>
      <c r="B376" s="214"/>
      <c r="C376" s="214"/>
      <c r="D376" s="214"/>
      <c r="E376" s="215"/>
    </row>
    <row r="377">
      <c r="A377" s="214"/>
      <c r="B377" s="214"/>
      <c r="C377" s="214"/>
      <c r="D377" s="214"/>
      <c r="E377" s="215"/>
    </row>
    <row r="378">
      <c r="A378" s="214"/>
      <c r="B378" s="214"/>
      <c r="C378" s="214"/>
      <c r="D378" s="214"/>
      <c r="E378" s="215"/>
    </row>
    <row r="379">
      <c r="A379" s="214"/>
      <c r="B379" s="214"/>
      <c r="C379" s="214"/>
      <c r="D379" s="214"/>
      <c r="E379" s="215"/>
    </row>
    <row r="380">
      <c r="A380" s="214"/>
      <c r="B380" s="214"/>
      <c r="C380" s="214"/>
      <c r="D380" s="214"/>
      <c r="E380" s="215"/>
    </row>
    <row r="381">
      <c r="A381" s="214"/>
      <c r="B381" s="214"/>
      <c r="C381" s="214"/>
      <c r="D381" s="214"/>
      <c r="E381" s="215"/>
    </row>
    <row r="382">
      <c r="A382" s="214"/>
      <c r="B382" s="214"/>
      <c r="C382" s="214"/>
      <c r="D382" s="214"/>
      <c r="E382" s="215"/>
    </row>
    <row r="383">
      <c r="A383" s="214"/>
      <c r="B383" s="214"/>
      <c r="C383" s="214"/>
      <c r="D383" s="214"/>
      <c r="E383" s="215"/>
    </row>
    <row r="384">
      <c r="A384" s="214"/>
      <c r="B384" s="214"/>
      <c r="C384" s="214"/>
      <c r="D384" s="214"/>
      <c r="E384" s="215"/>
    </row>
    <row r="385">
      <c r="A385" s="214"/>
      <c r="B385" s="214"/>
      <c r="C385" s="214"/>
      <c r="D385" s="214"/>
      <c r="E385" s="215"/>
    </row>
    <row r="386">
      <c r="A386" s="214"/>
      <c r="B386" s="214"/>
      <c r="C386" s="214"/>
      <c r="D386" s="214"/>
      <c r="E386" s="215"/>
    </row>
    <row r="387">
      <c r="A387" s="214"/>
      <c r="B387" s="214"/>
      <c r="C387" s="214"/>
      <c r="D387" s="214"/>
      <c r="E387" s="215"/>
    </row>
    <row r="388">
      <c r="A388" s="214"/>
      <c r="B388" s="214"/>
      <c r="C388" s="214"/>
      <c r="D388" s="214"/>
      <c r="E388" s="215"/>
    </row>
    <row r="389">
      <c r="A389" s="214"/>
      <c r="B389" s="214"/>
      <c r="C389" s="214"/>
      <c r="D389" s="214"/>
      <c r="E389" s="215"/>
    </row>
    <row r="390">
      <c r="A390" s="214"/>
      <c r="B390" s="214"/>
      <c r="C390" s="214"/>
      <c r="D390" s="214"/>
      <c r="E390" s="215"/>
    </row>
    <row r="391">
      <c r="A391" s="214"/>
      <c r="B391" s="214"/>
      <c r="C391" s="214"/>
      <c r="D391" s="214"/>
      <c r="E391" s="215"/>
    </row>
    <row r="392">
      <c r="A392" s="214"/>
      <c r="B392" s="214"/>
      <c r="C392" s="214"/>
      <c r="D392" s="214"/>
      <c r="E392" s="215"/>
    </row>
    <row r="393">
      <c r="A393" s="214"/>
      <c r="B393" s="214"/>
      <c r="C393" s="214"/>
      <c r="D393" s="214"/>
      <c r="E393" s="215"/>
    </row>
    <row r="394">
      <c r="A394" s="214"/>
      <c r="B394" s="214"/>
      <c r="C394" s="214"/>
      <c r="D394" s="214"/>
      <c r="E394" s="215"/>
    </row>
    <row r="395">
      <c r="A395" s="214"/>
      <c r="B395" s="214"/>
      <c r="C395" s="214"/>
      <c r="D395" s="214"/>
      <c r="E395" s="215"/>
    </row>
    <row r="396">
      <c r="A396" s="214"/>
      <c r="B396" s="214"/>
      <c r="C396" s="214"/>
      <c r="D396" s="214"/>
      <c r="E396" s="215"/>
    </row>
    <row r="397">
      <c r="A397" s="214"/>
      <c r="B397" s="214"/>
      <c r="C397" s="214"/>
      <c r="D397" s="214"/>
      <c r="E397" s="215"/>
    </row>
    <row r="398">
      <c r="A398" s="214"/>
      <c r="B398" s="214"/>
      <c r="C398" s="214"/>
      <c r="D398" s="214"/>
      <c r="E398" s="215"/>
    </row>
    <row r="399">
      <c r="A399" s="214"/>
      <c r="B399" s="214"/>
      <c r="C399" s="214"/>
      <c r="D399" s="214"/>
      <c r="E399" s="215"/>
    </row>
    <row r="400">
      <c r="A400" s="214"/>
      <c r="B400" s="214"/>
      <c r="C400" s="214"/>
      <c r="D400" s="214"/>
      <c r="E400" s="215"/>
    </row>
    <row r="401">
      <c r="A401" s="214"/>
      <c r="B401" s="214"/>
      <c r="C401" s="214"/>
      <c r="D401" s="214"/>
      <c r="E401" s="215"/>
    </row>
    <row r="402">
      <c r="A402" s="214"/>
      <c r="B402" s="214"/>
      <c r="C402" s="214"/>
      <c r="D402" s="214"/>
      <c r="E402" s="215"/>
    </row>
    <row r="403">
      <c r="A403" s="214"/>
      <c r="B403" s="214"/>
      <c r="C403" s="214"/>
      <c r="D403" s="214"/>
      <c r="E403" s="215"/>
    </row>
    <row r="404">
      <c r="A404" s="214"/>
      <c r="B404" s="214"/>
      <c r="C404" s="214"/>
      <c r="D404" s="214"/>
      <c r="E404" s="215"/>
    </row>
    <row r="405">
      <c r="A405" s="214"/>
      <c r="B405" s="214"/>
      <c r="C405" s="214"/>
      <c r="D405" s="214"/>
      <c r="E405" s="215"/>
    </row>
    <row r="406">
      <c r="A406" s="214"/>
      <c r="B406" s="214"/>
      <c r="C406" s="214"/>
      <c r="D406" s="214"/>
      <c r="E406" s="215"/>
    </row>
    <row r="407">
      <c r="A407" s="214"/>
      <c r="B407" s="214"/>
      <c r="C407" s="214"/>
      <c r="D407" s="214"/>
      <c r="E407" s="215"/>
    </row>
    <row r="408">
      <c r="A408" s="214"/>
      <c r="B408" s="214"/>
      <c r="C408" s="214"/>
      <c r="D408" s="214"/>
      <c r="E408" s="215"/>
    </row>
    <row r="409">
      <c r="A409" s="214"/>
      <c r="B409" s="214"/>
      <c r="C409" s="214"/>
      <c r="D409" s="214"/>
      <c r="E409" s="215"/>
    </row>
    <row r="410">
      <c r="A410" s="214"/>
      <c r="B410" s="214"/>
      <c r="C410" s="214"/>
      <c r="D410" s="214"/>
      <c r="E410" s="215"/>
    </row>
    <row r="411">
      <c r="A411" s="214"/>
      <c r="B411" s="214"/>
      <c r="C411" s="214"/>
      <c r="D411" s="214"/>
      <c r="E411" s="215"/>
    </row>
    <row r="412">
      <c r="A412" s="214"/>
      <c r="B412" s="214"/>
      <c r="C412" s="214"/>
      <c r="D412" s="214"/>
      <c r="E412" s="215"/>
    </row>
    <row r="413">
      <c r="A413" s="214"/>
      <c r="B413" s="214"/>
      <c r="C413" s="214"/>
      <c r="D413" s="214"/>
      <c r="E413" s="215"/>
    </row>
    <row r="414">
      <c r="A414" s="214"/>
      <c r="B414" s="214"/>
      <c r="C414" s="214"/>
      <c r="D414" s="214"/>
      <c r="E414" s="215"/>
    </row>
    <row r="415">
      <c r="A415" s="214"/>
      <c r="B415" s="214"/>
      <c r="C415" s="214"/>
      <c r="D415" s="214"/>
      <c r="E415" s="215"/>
    </row>
    <row r="416">
      <c r="A416" s="214"/>
      <c r="B416" s="214"/>
      <c r="C416" s="214"/>
      <c r="D416" s="214"/>
      <c r="E416" s="215"/>
    </row>
    <row r="417">
      <c r="A417" s="214"/>
      <c r="B417" s="214"/>
      <c r="C417" s="214"/>
      <c r="D417" s="214"/>
      <c r="E417" s="215"/>
    </row>
    <row r="418">
      <c r="A418" s="214"/>
      <c r="B418" s="214"/>
      <c r="C418" s="214"/>
      <c r="D418" s="214"/>
      <c r="E418" s="215"/>
    </row>
    <row r="419">
      <c r="A419" s="214"/>
      <c r="B419" s="214"/>
      <c r="C419" s="214"/>
      <c r="D419" s="214"/>
      <c r="E419" s="215"/>
    </row>
    <row r="420">
      <c r="A420" s="214"/>
      <c r="B420" s="214"/>
      <c r="C420" s="214"/>
      <c r="D420" s="214"/>
      <c r="E420" s="215"/>
    </row>
    <row r="421">
      <c r="A421" s="214"/>
      <c r="B421" s="214"/>
      <c r="C421" s="214"/>
      <c r="D421" s="214"/>
      <c r="E421" s="215"/>
    </row>
    <row r="422">
      <c r="A422" s="214"/>
      <c r="B422" s="214"/>
      <c r="C422" s="214"/>
      <c r="D422" s="214"/>
      <c r="E422" s="215"/>
    </row>
    <row r="423">
      <c r="A423" s="214"/>
      <c r="B423" s="214"/>
      <c r="C423" s="214"/>
      <c r="D423" s="214"/>
      <c r="E423" s="215"/>
    </row>
    <row r="424">
      <c r="A424" s="214"/>
      <c r="B424" s="214"/>
      <c r="C424" s="214"/>
      <c r="D424" s="214"/>
      <c r="E424" s="215"/>
    </row>
    <row r="425">
      <c r="A425" s="214"/>
      <c r="B425" s="214"/>
      <c r="C425" s="214"/>
      <c r="D425" s="214"/>
      <c r="E425" s="215"/>
    </row>
    <row r="426">
      <c r="A426" s="214"/>
      <c r="B426" s="214"/>
      <c r="C426" s="214"/>
      <c r="D426" s="214"/>
      <c r="E426" s="215"/>
    </row>
    <row r="427">
      <c r="A427" s="214"/>
      <c r="B427" s="214"/>
      <c r="C427" s="214"/>
      <c r="D427" s="214"/>
      <c r="E427" s="215"/>
    </row>
    <row r="428">
      <c r="A428" s="214"/>
      <c r="B428" s="214"/>
      <c r="C428" s="214"/>
      <c r="D428" s="214"/>
      <c r="E428" s="215"/>
    </row>
    <row r="429">
      <c r="A429" s="214"/>
      <c r="B429" s="214"/>
      <c r="C429" s="214"/>
      <c r="D429" s="214"/>
      <c r="E429" s="215"/>
    </row>
    <row r="430">
      <c r="A430" s="214"/>
      <c r="B430" s="214"/>
      <c r="C430" s="214"/>
      <c r="D430" s="214"/>
      <c r="E430" s="215"/>
    </row>
    <row r="431">
      <c r="A431" s="214"/>
      <c r="B431" s="214"/>
      <c r="C431" s="214"/>
      <c r="D431" s="214"/>
      <c r="E431" s="215"/>
    </row>
    <row r="432">
      <c r="A432" s="214"/>
      <c r="B432" s="214"/>
      <c r="C432" s="214"/>
      <c r="D432" s="214"/>
      <c r="E432" s="215"/>
    </row>
    <row r="433">
      <c r="A433" s="214"/>
      <c r="B433" s="214"/>
      <c r="C433" s="214"/>
      <c r="D433" s="214"/>
      <c r="E433" s="215"/>
    </row>
    <row r="434">
      <c r="A434" s="214"/>
      <c r="B434" s="214"/>
      <c r="C434" s="214"/>
      <c r="D434" s="214"/>
      <c r="E434" s="215"/>
    </row>
    <row r="435">
      <c r="A435" s="214"/>
      <c r="B435" s="214"/>
      <c r="C435" s="214"/>
      <c r="D435" s="214"/>
      <c r="E435" s="215"/>
    </row>
    <row r="436">
      <c r="A436" s="214"/>
      <c r="B436" s="214"/>
      <c r="C436" s="214"/>
      <c r="D436" s="214"/>
      <c r="E436" s="215"/>
    </row>
    <row r="437">
      <c r="A437" s="214"/>
      <c r="B437" s="214"/>
      <c r="C437" s="214"/>
      <c r="D437" s="214"/>
      <c r="E437" s="215"/>
    </row>
    <row r="438">
      <c r="A438" s="214"/>
      <c r="B438" s="214"/>
      <c r="C438" s="214"/>
      <c r="D438" s="214"/>
      <c r="E438" s="215"/>
    </row>
    <row r="439">
      <c r="A439" s="214"/>
      <c r="B439" s="214"/>
      <c r="C439" s="214"/>
      <c r="D439" s="214"/>
      <c r="E439" s="215"/>
    </row>
    <row r="440">
      <c r="A440" s="214"/>
      <c r="B440" s="214"/>
      <c r="C440" s="214"/>
      <c r="D440" s="214"/>
      <c r="E440" s="215"/>
    </row>
    <row r="441">
      <c r="A441" s="214"/>
      <c r="B441" s="214"/>
      <c r="C441" s="214"/>
      <c r="D441" s="214"/>
      <c r="E441" s="215"/>
    </row>
    <row r="442">
      <c r="A442" s="214"/>
      <c r="B442" s="214"/>
      <c r="C442" s="214"/>
      <c r="D442" s="214"/>
      <c r="E442" s="215"/>
    </row>
    <row r="443">
      <c r="A443" s="214"/>
      <c r="B443" s="214"/>
      <c r="C443" s="214"/>
      <c r="D443" s="214"/>
      <c r="E443" s="215"/>
    </row>
    <row r="444">
      <c r="A444" s="214"/>
      <c r="B444" s="214"/>
      <c r="C444" s="214"/>
      <c r="D444" s="214"/>
      <c r="E444" s="215"/>
    </row>
    <row r="445">
      <c r="A445" s="214"/>
      <c r="B445" s="214"/>
      <c r="C445" s="214"/>
      <c r="D445" s="214"/>
      <c r="E445" s="215"/>
    </row>
    <row r="446">
      <c r="A446" s="214"/>
      <c r="B446" s="214"/>
      <c r="C446" s="214"/>
      <c r="D446" s="214"/>
      <c r="E446" s="215"/>
    </row>
    <row r="447">
      <c r="A447" s="214"/>
      <c r="B447" s="214"/>
      <c r="C447" s="214"/>
      <c r="D447" s="214"/>
      <c r="E447" s="215"/>
    </row>
    <row r="448">
      <c r="A448" s="214"/>
      <c r="B448" s="214"/>
      <c r="C448" s="214"/>
      <c r="D448" s="214"/>
      <c r="E448" s="215"/>
    </row>
    <row r="449">
      <c r="A449" s="214"/>
      <c r="B449" s="214"/>
      <c r="C449" s="214"/>
      <c r="D449" s="214"/>
      <c r="E449" s="215"/>
    </row>
    <row r="450">
      <c r="A450" s="214"/>
      <c r="B450" s="214"/>
      <c r="C450" s="214"/>
      <c r="D450" s="214"/>
      <c r="E450" s="215"/>
    </row>
    <row r="451">
      <c r="A451" s="214"/>
      <c r="B451" s="214"/>
      <c r="C451" s="214"/>
      <c r="D451" s="214"/>
      <c r="E451" s="215"/>
    </row>
    <row r="452">
      <c r="A452" s="214"/>
      <c r="B452" s="214"/>
      <c r="C452" s="214"/>
      <c r="D452" s="214"/>
      <c r="E452" s="215"/>
    </row>
    <row r="453">
      <c r="A453" s="214"/>
      <c r="B453" s="214"/>
      <c r="C453" s="214"/>
      <c r="D453" s="214"/>
      <c r="E453" s="215"/>
    </row>
    <row r="454">
      <c r="A454" s="214"/>
      <c r="B454" s="214"/>
      <c r="C454" s="214"/>
      <c r="D454" s="214"/>
      <c r="E454" s="215"/>
    </row>
    <row r="455">
      <c r="A455" s="214"/>
      <c r="B455" s="214"/>
      <c r="C455" s="214"/>
      <c r="D455" s="214"/>
      <c r="E455" s="215"/>
    </row>
    <row r="456">
      <c r="A456" s="214"/>
      <c r="B456" s="214"/>
      <c r="C456" s="214"/>
      <c r="D456" s="214"/>
      <c r="E456" s="215"/>
    </row>
    <row r="457">
      <c r="A457" s="214"/>
      <c r="B457" s="214"/>
      <c r="C457" s="214"/>
      <c r="D457" s="214"/>
      <c r="E457" s="215"/>
    </row>
    <row r="458">
      <c r="A458" s="214"/>
      <c r="B458" s="214"/>
      <c r="C458" s="214"/>
      <c r="D458" s="214"/>
      <c r="E458" s="215"/>
    </row>
    <row r="459">
      <c r="A459" s="214"/>
      <c r="B459" s="214"/>
      <c r="C459" s="214"/>
      <c r="D459" s="214"/>
      <c r="E459" s="215"/>
    </row>
    <row r="460">
      <c r="A460" s="214"/>
      <c r="B460" s="214"/>
      <c r="C460" s="214"/>
      <c r="D460" s="214"/>
      <c r="E460" s="215"/>
    </row>
    <row r="461">
      <c r="A461" s="214"/>
      <c r="B461" s="214"/>
      <c r="C461" s="214"/>
      <c r="D461" s="214"/>
      <c r="E461" s="215"/>
    </row>
    <row r="462">
      <c r="A462" s="214"/>
      <c r="B462" s="214"/>
      <c r="C462" s="214"/>
      <c r="D462" s="214"/>
      <c r="E462" s="215"/>
    </row>
    <row r="463">
      <c r="A463" s="214"/>
      <c r="B463" s="214"/>
      <c r="C463" s="214"/>
      <c r="D463" s="214"/>
      <c r="E463" s="215"/>
    </row>
    <row r="464">
      <c r="A464" s="214"/>
      <c r="B464" s="214"/>
      <c r="C464" s="214"/>
      <c r="D464" s="214"/>
      <c r="E464" s="215"/>
    </row>
    <row r="465">
      <c r="A465" s="214"/>
      <c r="B465" s="214"/>
      <c r="C465" s="214"/>
      <c r="D465" s="214"/>
      <c r="E465" s="215"/>
    </row>
    <row r="466">
      <c r="A466" s="214"/>
      <c r="B466" s="214"/>
      <c r="C466" s="214"/>
      <c r="D466" s="214"/>
      <c r="E466" s="215"/>
    </row>
    <row r="467">
      <c r="A467" s="214"/>
      <c r="B467" s="214"/>
      <c r="C467" s="214"/>
      <c r="D467" s="214"/>
      <c r="E467" s="215"/>
    </row>
    <row r="468">
      <c r="A468" s="214"/>
      <c r="B468" s="214"/>
      <c r="C468" s="214"/>
      <c r="D468" s="214"/>
      <c r="E468" s="215"/>
    </row>
    <row r="469">
      <c r="A469" s="214"/>
      <c r="B469" s="214"/>
      <c r="C469" s="214"/>
      <c r="D469" s="214"/>
      <c r="E469" s="215"/>
    </row>
    <row r="470">
      <c r="A470" s="214"/>
      <c r="B470" s="214"/>
      <c r="C470" s="214"/>
      <c r="D470" s="214"/>
      <c r="E470" s="215"/>
    </row>
    <row r="471">
      <c r="A471" s="214"/>
      <c r="B471" s="214"/>
      <c r="C471" s="214"/>
      <c r="D471" s="214"/>
      <c r="E471" s="215"/>
    </row>
    <row r="472">
      <c r="A472" s="214"/>
      <c r="B472" s="214"/>
      <c r="C472" s="214"/>
      <c r="D472" s="214"/>
      <c r="E472" s="215"/>
    </row>
    <row r="473">
      <c r="A473" s="214"/>
      <c r="B473" s="214"/>
      <c r="C473" s="214"/>
      <c r="D473" s="214"/>
      <c r="E473" s="215"/>
    </row>
    <row r="474">
      <c r="A474" s="214"/>
      <c r="B474" s="214"/>
      <c r="C474" s="214"/>
      <c r="D474" s="214"/>
      <c r="E474" s="215"/>
    </row>
    <row r="475">
      <c r="A475" s="214"/>
      <c r="B475" s="214"/>
      <c r="C475" s="214"/>
      <c r="D475" s="214"/>
      <c r="E475" s="215"/>
    </row>
    <row r="476">
      <c r="A476" s="214"/>
      <c r="B476" s="214"/>
      <c r="C476" s="214"/>
      <c r="D476" s="214"/>
      <c r="E476" s="215"/>
    </row>
    <row r="477">
      <c r="A477" s="214"/>
      <c r="B477" s="214"/>
      <c r="C477" s="214"/>
      <c r="D477" s="214"/>
      <c r="E477" s="215"/>
    </row>
    <row r="478">
      <c r="A478" s="214"/>
      <c r="B478" s="214"/>
      <c r="C478" s="214"/>
      <c r="D478" s="214"/>
      <c r="E478" s="215"/>
    </row>
    <row r="479">
      <c r="A479" s="214"/>
      <c r="B479" s="214"/>
      <c r="C479" s="214"/>
      <c r="D479" s="214"/>
      <c r="E479" s="215"/>
    </row>
    <row r="480">
      <c r="A480" s="214"/>
      <c r="B480" s="214"/>
      <c r="C480" s="214"/>
      <c r="D480" s="214"/>
      <c r="E480" s="215"/>
    </row>
    <row r="481">
      <c r="A481" s="214"/>
      <c r="B481" s="214"/>
      <c r="C481" s="214"/>
      <c r="D481" s="214"/>
      <c r="E481" s="215"/>
    </row>
    <row r="482">
      <c r="A482" s="214"/>
      <c r="B482" s="214"/>
      <c r="C482" s="214"/>
      <c r="D482" s="214"/>
      <c r="E482" s="215"/>
    </row>
    <row r="483">
      <c r="A483" s="214"/>
      <c r="B483" s="214"/>
      <c r="C483" s="214"/>
      <c r="D483" s="214"/>
      <c r="E483" s="215"/>
    </row>
    <row r="484">
      <c r="A484" s="214"/>
      <c r="B484" s="214"/>
      <c r="C484" s="214"/>
      <c r="D484" s="214"/>
      <c r="E484" s="215"/>
    </row>
    <row r="485">
      <c r="A485" s="214"/>
      <c r="B485" s="214"/>
      <c r="C485" s="214"/>
      <c r="D485" s="214"/>
      <c r="E485" s="215"/>
    </row>
    <row r="486">
      <c r="A486" s="214"/>
      <c r="B486" s="214"/>
      <c r="C486" s="214"/>
      <c r="D486" s="214"/>
      <c r="E486" s="215"/>
    </row>
    <row r="487">
      <c r="A487" s="214"/>
      <c r="B487" s="214"/>
      <c r="C487" s="214"/>
      <c r="D487" s="214"/>
      <c r="E487" s="215"/>
    </row>
    <row r="488">
      <c r="A488" s="214"/>
      <c r="B488" s="214"/>
      <c r="C488" s="214"/>
      <c r="D488" s="214"/>
      <c r="E488" s="215"/>
    </row>
    <row r="489">
      <c r="A489" s="214"/>
      <c r="B489" s="214"/>
      <c r="C489" s="214"/>
      <c r="D489" s="214"/>
      <c r="E489" s="215"/>
    </row>
    <row r="490">
      <c r="A490" s="214"/>
      <c r="B490" s="214"/>
      <c r="C490" s="214"/>
      <c r="D490" s="214"/>
      <c r="E490" s="215"/>
    </row>
    <row r="491">
      <c r="A491" s="214"/>
      <c r="B491" s="214"/>
      <c r="C491" s="214"/>
      <c r="D491" s="214"/>
      <c r="E491" s="215"/>
    </row>
    <row r="492">
      <c r="A492" s="214"/>
      <c r="B492" s="214"/>
      <c r="C492" s="214"/>
      <c r="D492" s="214"/>
      <c r="E492" s="215"/>
    </row>
    <row r="493">
      <c r="A493" s="214"/>
      <c r="B493" s="214"/>
      <c r="C493" s="214"/>
      <c r="D493" s="214"/>
      <c r="E493" s="215"/>
    </row>
    <row r="494">
      <c r="A494" s="214"/>
      <c r="B494" s="214"/>
      <c r="C494" s="214"/>
      <c r="D494" s="214"/>
      <c r="E494" s="215"/>
    </row>
    <row r="495">
      <c r="A495" s="214"/>
      <c r="B495" s="214"/>
      <c r="C495" s="214"/>
      <c r="D495" s="214"/>
      <c r="E495" s="215"/>
    </row>
    <row r="496">
      <c r="A496" s="214"/>
      <c r="B496" s="214"/>
      <c r="C496" s="214"/>
      <c r="D496" s="214"/>
      <c r="E496" s="215"/>
    </row>
    <row r="497">
      <c r="A497" s="214"/>
      <c r="B497" s="214"/>
      <c r="C497" s="214"/>
      <c r="D497" s="214"/>
      <c r="E497" s="215"/>
    </row>
    <row r="498">
      <c r="A498" s="214"/>
      <c r="B498" s="214"/>
      <c r="C498" s="214"/>
      <c r="D498" s="214"/>
      <c r="E498" s="215"/>
    </row>
    <row r="499">
      <c r="A499" s="214"/>
      <c r="B499" s="214"/>
      <c r="C499" s="214"/>
      <c r="D499" s="214"/>
      <c r="E499" s="215"/>
    </row>
    <row r="500">
      <c r="A500" s="214"/>
      <c r="B500" s="214"/>
      <c r="C500" s="214"/>
      <c r="D500" s="214"/>
      <c r="E500" s="215"/>
    </row>
    <row r="501">
      <c r="A501" s="214"/>
      <c r="B501" s="214"/>
      <c r="C501" s="214"/>
      <c r="D501" s="214"/>
      <c r="E501" s="215"/>
    </row>
    <row r="502">
      <c r="A502" s="214"/>
      <c r="B502" s="214"/>
      <c r="C502" s="214"/>
      <c r="D502" s="214"/>
      <c r="E502" s="215"/>
    </row>
    <row r="503">
      <c r="A503" s="214"/>
      <c r="B503" s="214"/>
      <c r="C503" s="214"/>
      <c r="D503" s="214"/>
      <c r="E503" s="215"/>
    </row>
    <row r="504">
      <c r="A504" s="214"/>
      <c r="B504" s="214"/>
      <c r="C504" s="214"/>
      <c r="D504" s="214"/>
      <c r="E504" s="215"/>
    </row>
    <row r="505">
      <c r="A505" s="214"/>
      <c r="B505" s="214"/>
      <c r="C505" s="214"/>
      <c r="D505" s="214"/>
      <c r="E505" s="215"/>
    </row>
    <row r="506">
      <c r="A506" s="214"/>
      <c r="B506" s="214"/>
      <c r="C506" s="214"/>
      <c r="D506" s="214"/>
      <c r="E506" s="215"/>
    </row>
    <row r="507">
      <c r="A507" s="214"/>
      <c r="B507" s="214"/>
      <c r="C507" s="214"/>
      <c r="D507" s="214"/>
      <c r="E507" s="215"/>
    </row>
    <row r="508">
      <c r="A508" s="214"/>
      <c r="B508" s="214"/>
      <c r="C508" s="214"/>
      <c r="D508" s="214"/>
      <c r="E508" s="215"/>
    </row>
    <row r="509">
      <c r="A509" s="214"/>
      <c r="B509" s="214"/>
      <c r="C509" s="214"/>
      <c r="D509" s="214"/>
      <c r="E509" s="215"/>
    </row>
    <row r="510">
      <c r="A510" s="214"/>
      <c r="B510" s="214"/>
      <c r="C510" s="214"/>
      <c r="D510" s="214"/>
      <c r="E510" s="215"/>
    </row>
    <row r="511">
      <c r="A511" s="214"/>
      <c r="B511" s="214"/>
      <c r="C511" s="214"/>
      <c r="D511" s="214"/>
      <c r="E511" s="215"/>
    </row>
    <row r="512">
      <c r="A512" s="214"/>
      <c r="B512" s="214"/>
      <c r="C512" s="214"/>
      <c r="D512" s="214"/>
      <c r="E512" s="215"/>
    </row>
    <row r="513">
      <c r="A513" s="214"/>
      <c r="B513" s="214"/>
      <c r="C513" s="214"/>
      <c r="D513" s="214"/>
      <c r="E513" s="215"/>
    </row>
    <row r="514">
      <c r="A514" s="214"/>
      <c r="B514" s="214"/>
      <c r="C514" s="214"/>
      <c r="D514" s="214"/>
      <c r="E514" s="215"/>
    </row>
    <row r="515">
      <c r="A515" s="214"/>
      <c r="B515" s="214"/>
      <c r="C515" s="214"/>
      <c r="D515" s="214"/>
      <c r="E515" s="215"/>
    </row>
    <row r="516">
      <c r="A516" s="214"/>
      <c r="B516" s="214"/>
      <c r="C516" s="214"/>
      <c r="D516" s="214"/>
      <c r="E516" s="215"/>
    </row>
    <row r="517">
      <c r="A517" s="214"/>
      <c r="B517" s="214"/>
      <c r="C517" s="214"/>
      <c r="D517" s="214"/>
      <c r="E517" s="215"/>
    </row>
    <row r="518">
      <c r="A518" s="214"/>
      <c r="B518" s="214"/>
      <c r="C518" s="214"/>
      <c r="D518" s="214"/>
      <c r="E518" s="215"/>
    </row>
    <row r="519">
      <c r="A519" s="214"/>
      <c r="B519" s="214"/>
      <c r="C519" s="214"/>
      <c r="D519" s="214"/>
      <c r="E519" s="215"/>
    </row>
    <row r="520">
      <c r="A520" s="214"/>
      <c r="B520" s="214"/>
      <c r="C520" s="214"/>
      <c r="D520" s="214"/>
      <c r="E520" s="215"/>
    </row>
    <row r="521">
      <c r="A521" s="214"/>
      <c r="B521" s="214"/>
      <c r="C521" s="214"/>
      <c r="D521" s="214"/>
      <c r="E521" s="215"/>
    </row>
    <row r="522">
      <c r="A522" s="214"/>
      <c r="B522" s="214"/>
      <c r="C522" s="214"/>
      <c r="D522" s="214"/>
      <c r="E522" s="215"/>
    </row>
    <row r="523">
      <c r="A523" s="214"/>
      <c r="B523" s="214"/>
      <c r="C523" s="214"/>
      <c r="D523" s="214"/>
      <c r="E523" s="215"/>
    </row>
    <row r="524">
      <c r="A524" s="214"/>
      <c r="B524" s="214"/>
      <c r="C524" s="214"/>
      <c r="D524" s="214"/>
      <c r="E524" s="215"/>
    </row>
    <row r="525">
      <c r="A525" s="214"/>
      <c r="B525" s="214"/>
      <c r="C525" s="214"/>
      <c r="D525" s="214"/>
      <c r="E525" s="215"/>
    </row>
    <row r="526">
      <c r="A526" s="214"/>
      <c r="B526" s="214"/>
      <c r="C526" s="214"/>
      <c r="D526" s="214"/>
      <c r="E526" s="215"/>
    </row>
    <row r="527">
      <c r="A527" s="214"/>
      <c r="B527" s="214"/>
      <c r="C527" s="214"/>
      <c r="D527" s="214"/>
      <c r="E527" s="215"/>
    </row>
    <row r="528">
      <c r="A528" s="214"/>
      <c r="B528" s="214"/>
      <c r="C528" s="214"/>
      <c r="D528" s="214"/>
      <c r="E528" s="215"/>
    </row>
    <row r="529">
      <c r="A529" s="214"/>
      <c r="B529" s="214"/>
      <c r="C529" s="214"/>
      <c r="D529" s="214"/>
      <c r="E529" s="215"/>
    </row>
    <row r="530">
      <c r="A530" s="214"/>
      <c r="B530" s="214"/>
      <c r="C530" s="214"/>
      <c r="D530" s="214"/>
      <c r="E530" s="215"/>
    </row>
    <row r="531">
      <c r="A531" s="214"/>
      <c r="B531" s="214"/>
      <c r="C531" s="214"/>
      <c r="D531" s="214"/>
      <c r="E531" s="215"/>
    </row>
    <row r="532">
      <c r="A532" s="214"/>
      <c r="B532" s="214"/>
      <c r="C532" s="214"/>
      <c r="D532" s="214"/>
      <c r="E532" s="215"/>
    </row>
    <row r="533">
      <c r="A533" s="214"/>
      <c r="B533" s="214"/>
      <c r="C533" s="214"/>
      <c r="D533" s="214"/>
      <c r="E533" s="215"/>
    </row>
    <row r="534">
      <c r="A534" s="214"/>
      <c r="B534" s="214"/>
      <c r="C534" s="214"/>
      <c r="D534" s="214"/>
      <c r="E534" s="215"/>
    </row>
    <row r="535">
      <c r="A535" s="214"/>
      <c r="B535" s="214"/>
      <c r="C535" s="214"/>
      <c r="D535" s="214"/>
      <c r="E535" s="215"/>
    </row>
    <row r="536">
      <c r="A536" s="214"/>
      <c r="B536" s="214"/>
      <c r="C536" s="214"/>
      <c r="D536" s="214"/>
      <c r="E536" s="215"/>
    </row>
    <row r="537">
      <c r="A537" s="214"/>
      <c r="B537" s="214"/>
      <c r="C537" s="214"/>
      <c r="D537" s="214"/>
      <c r="E537" s="215"/>
    </row>
    <row r="538">
      <c r="A538" s="214"/>
      <c r="B538" s="214"/>
      <c r="C538" s="214"/>
      <c r="D538" s="214"/>
      <c r="E538" s="215"/>
    </row>
    <row r="539">
      <c r="A539" s="214"/>
      <c r="B539" s="214"/>
      <c r="C539" s="214"/>
      <c r="D539" s="214"/>
      <c r="E539" s="215"/>
    </row>
    <row r="540">
      <c r="A540" s="214"/>
      <c r="B540" s="214"/>
      <c r="C540" s="214"/>
      <c r="D540" s="214"/>
      <c r="E540" s="215"/>
    </row>
    <row r="541">
      <c r="A541" s="214"/>
      <c r="B541" s="214"/>
      <c r="C541" s="214"/>
      <c r="D541" s="214"/>
      <c r="E541" s="215"/>
    </row>
    <row r="542">
      <c r="A542" s="214"/>
      <c r="B542" s="214"/>
      <c r="C542" s="214"/>
      <c r="D542" s="214"/>
      <c r="E542" s="215"/>
    </row>
    <row r="543">
      <c r="A543" s="214"/>
      <c r="B543" s="214"/>
      <c r="C543" s="214"/>
      <c r="D543" s="214"/>
      <c r="E543" s="215"/>
    </row>
    <row r="544">
      <c r="A544" s="214"/>
      <c r="B544" s="214"/>
      <c r="C544" s="214"/>
      <c r="D544" s="214"/>
      <c r="E544" s="215"/>
    </row>
    <row r="545">
      <c r="A545" s="214"/>
      <c r="B545" s="214"/>
      <c r="C545" s="214"/>
      <c r="D545" s="214"/>
      <c r="E545" s="215"/>
    </row>
    <row r="546">
      <c r="A546" s="214"/>
      <c r="B546" s="214"/>
      <c r="C546" s="214"/>
      <c r="D546" s="214"/>
      <c r="E546" s="215"/>
    </row>
    <row r="547">
      <c r="A547" s="214"/>
      <c r="B547" s="214"/>
      <c r="C547" s="214"/>
      <c r="D547" s="214"/>
      <c r="E547" s="215"/>
    </row>
    <row r="548">
      <c r="A548" s="214"/>
      <c r="B548" s="214"/>
      <c r="C548" s="214"/>
      <c r="D548" s="214"/>
      <c r="E548" s="215"/>
    </row>
    <row r="549">
      <c r="A549" s="214"/>
      <c r="B549" s="214"/>
      <c r="C549" s="214"/>
      <c r="D549" s="214"/>
      <c r="E549" s="215"/>
    </row>
    <row r="550">
      <c r="A550" s="214"/>
      <c r="B550" s="214"/>
      <c r="C550" s="214"/>
      <c r="D550" s="214"/>
      <c r="E550" s="215"/>
    </row>
    <row r="551">
      <c r="A551" s="214"/>
      <c r="B551" s="214"/>
      <c r="C551" s="214"/>
      <c r="D551" s="214"/>
      <c r="E551" s="215"/>
    </row>
    <row r="552">
      <c r="A552" s="214"/>
      <c r="B552" s="214"/>
      <c r="C552" s="214"/>
      <c r="D552" s="214"/>
      <c r="E552" s="215"/>
    </row>
    <row r="553">
      <c r="A553" s="214"/>
      <c r="B553" s="214"/>
      <c r="C553" s="214"/>
      <c r="D553" s="214"/>
      <c r="E553" s="215"/>
    </row>
    <row r="554">
      <c r="A554" s="214"/>
      <c r="B554" s="214"/>
      <c r="C554" s="214"/>
      <c r="D554" s="214"/>
      <c r="E554" s="215"/>
    </row>
    <row r="555">
      <c r="A555" s="214"/>
      <c r="B555" s="214"/>
      <c r="C555" s="214"/>
      <c r="D555" s="214"/>
      <c r="E555" s="215"/>
    </row>
    <row r="556">
      <c r="A556" s="214"/>
      <c r="B556" s="214"/>
      <c r="C556" s="214"/>
      <c r="D556" s="214"/>
      <c r="E556" s="215"/>
    </row>
    <row r="557">
      <c r="A557" s="214"/>
      <c r="B557" s="214"/>
      <c r="C557" s="214"/>
      <c r="D557" s="214"/>
      <c r="E557" s="215"/>
    </row>
    <row r="558">
      <c r="A558" s="214"/>
      <c r="B558" s="214"/>
      <c r="C558" s="214"/>
      <c r="D558" s="214"/>
      <c r="E558" s="215"/>
    </row>
    <row r="559">
      <c r="A559" s="214"/>
      <c r="B559" s="214"/>
      <c r="C559" s="214"/>
      <c r="D559" s="214"/>
      <c r="E559" s="215"/>
    </row>
    <row r="560">
      <c r="A560" s="214"/>
      <c r="B560" s="214"/>
      <c r="C560" s="214"/>
      <c r="D560" s="214"/>
      <c r="E560" s="215"/>
    </row>
    <row r="561">
      <c r="A561" s="214"/>
      <c r="B561" s="214"/>
      <c r="C561" s="214"/>
      <c r="D561" s="214"/>
      <c r="E561" s="215"/>
    </row>
    <row r="562">
      <c r="A562" s="214"/>
      <c r="B562" s="214"/>
      <c r="C562" s="214"/>
      <c r="D562" s="214"/>
      <c r="E562" s="215"/>
    </row>
    <row r="563">
      <c r="A563" s="214"/>
      <c r="B563" s="214"/>
      <c r="C563" s="214"/>
      <c r="D563" s="214"/>
      <c r="E563" s="215"/>
    </row>
    <row r="564">
      <c r="A564" s="214"/>
      <c r="B564" s="214"/>
      <c r="C564" s="214"/>
      <c r="D564" s="214"/>
      <c r="E564" s="215"/>
    </row>
    <row r="565">
      <c r="A565" s="214"/>
      <c r="B565" s="214"/>
      <c r="C565" s="214"/>
      <c r="D565" s="214"/>
      <c r="E565" s="215"/>
    </row>
    <row r="566">
      <c r="A566" s="214"/>
      <c r="B566" s="214"/>
      <c r="C566" s="214"/>
      <c r="D566" s="214"/>
      <c r="E566" s="215"/>
    </row>
    <row r="567">
      <c r="A567" s="214"/>
      <c r="B567" s="214"/>
      <c r="C567" s="214"/>
      <c r="D567" s="214"/>
      <c r="E567" s="215"/>
    </row>
    <row r="568">
      <c r="A568" s="214"/>
      <c r="B568" s="214"/>
      <c r="C568" s="214"/>
      <c r="D568" s="214"/>
      <c r="E568" s="215"/>
    </row>
    <row r="569">
      <c r="A569" s="214"/>
      <c r="B569" s="214"/>
      <c r="C569" s="214"/>
      <c r="D569" s="214"/>
      <c r="E569" s="215"/>
    </row>
    <row r="570">
      <c r="A570" s="214"/>
      <c r="B570" s="214"/>
      <c r="C570" s="214"/>
      <c r="D570" s="214"/>
      <c r="E570" s="215"/>
    </row>
    <row r="571">
      <c r="A571" s="214"/>
      <c r="B571" s="214"/>
      <c r="C571" s="214"/>
      <c r="D571" s="214"/>
      <c r="E571" s="215"/>
    </row>
    <row r="572">
      <c r="A572" s="214"/>
      <c r="B572" s="214"/>
      <c r="C572" s="214"/>
      <c r="D572" s="214"/>
      <c r="E572" s="215"/>
    </row>
    <row r="573">
      <c r="A573" s="214"/>
      <c r="B573" s="214"/>
      <c r="C573" s="214"/>
      <c r="D573" s="214"/>
      <c r="E573" s="215"/>
    </row>
    <row r="574">
      <c r="A574" s="214"/>
      <c r="B574" s="214"/>
      <c r="C574" s="214"/>
      <c r="D574" s="214"/>
      <c r="E574" s="215"/>
    </row>
    <row r="575">
      <c r="A575" s="214"/>
      <c r="B575" s="214"/>
      <c r="C575" s="214"/>
      <c r="D575" s="214"/>
      <c r="E575" s="215"/>
    </row>
    <row r="576">
      <c r="A576" s="214"/>
      <c r="B576" s="214"/>
      <c r="C576" s="214"/>
      <c r="D576" s="214"/>
      <c r="E576" s="215"/>
    </row>
    <row r="577">
      <c r="A577" s="214"/>
      <c r="B577" s="214"/>
      <c r="C577" s="214"/>
      <c r="D577" s="214"/>
      <c r="E577" s="215"/>
    </row>
    <row r="578">
      <c r="A578" s="214"/>
      <c r="B578" s="214"/>
      <c r="C578" s="214"/>
      <c r="D578" s="214"/>
      <c r="E578" s="215"/>
    </row>
    <row r="579">
      <c r="A579" s="214"/>
      <c r="B579" s="214"/>
      <c r="C579" s="214"/>
      <c r="D579" s="214"/>
      <c r="E579" s="215"/>
    </row>
    <row r="580">
      <c r="A580" s="214"/>
      <c r="B580" s="214"/>
      <c r="C580" s="214"/>
      <c r="D580" s="214"/>
      <c r="E580" s="215"/>
    </row>
    <row r="581">
      <c r="A581" s="214"/>
      <c r="B581" s="214"/>
      <c r="C581" s="214"/>
      <c r="D581" s="214"/>
      <c r="E581" s="215"/>
    </row>
    <row r="582">
      <c r="A582" s="214"/>
      <c r="B582" s="214"/>
      <c r="C582" s="214"/>
      <c r="D582" s="214"/>
      <c r="E582" s="215"/>
    </row>
    <row r="583">
      <c r="A583" s="214"/>
      <c r="B583" s="214"/>
      <c r="C583" s="214"/>
      <c r="D583" s="214"/>
      <c r="E583" s="215"/>
    </row>
    <row r="584">
      <c r="A584" s="214"/>
      <c r="B584" s="214"/>
      <c r="C584" s="214"/>
      <c r="D584" s="214"/>
      <c r="E584" s="215"/>
    </row>
    <row r="585">
      <c r="A585" s="214"/>
      <c r="B585" s="214"/>
      <c r="C585" s="214"/>
      <c r="D585" s="214"/>
      <c r="E585" s="215"/>
    </row>
    <row r="586">
      <c r="A586" s="214"/>
      <c r="B586" s="214"/>
      <c r="C586" s="214"/>
      <c r="D586" s="214"/>
      <c r="E586" s="215"/>
    </row>
    <row r="587">
      <c r="A587" s="214"/>
      <c r="B587" s="214"/>
      <c r="C587" s="214"/>
      <c r="D587" s="214"/>
      <c r="E587" s="215"/>
    </row>
    <row r="588">
      <c r="A588" s="214"/>
      <c r="B588" s="214"/>
      <c r="C588" s="214"/>
      <c r="D588" s="214"/>
      <c r="E588" s="215"/>
    </row>
    <row r="589">
      <c r="A589" s="214"/>
      <c r="B589" s="214"/>
      <c r="C589" s="214"/>
      <c r="D589" s="214"/>
      <c r="E589" s="215"/>
    </row>
    <row r="590">
      <c r="A590" s="214"/>
      <c r="B590" s="214"/>
      <c r="C590" s="214"/>
      <c r="D590" s="214"/>
      <c r="E590" s="215"/>
    </row>
    <row r="591">
      <c r="A591" s="214"/>
      <c r="B591" s="214"/>
      <c r="C591" s="214"/>
      <c r="D591" s="214"/>
      <c r="E591" s="215"/>
    </row>
    <row r="592">
      <c r="A592" s="214"/>
      <c r="B592" s="214"/>
      <c r="C592" s="214"/>
      <c r="D592" s="214"/>
      <c r="E592" s="215"/>
    </row>
    <row r="593">
      <c r="A593" s="214"/>
      <c r="B593" s="214"/>
      <c r="C593" s="214"/>
      <c r="D593" s="214"/>
      <c r="E593" s="215"/>
    </row>
    <row r="594">
      <c r="A594" s="214"/>
      <c r="B594" s="214"/>
      <c r="C594" s="214"/>
      <c r="D594" s="214"/>
      <c r="E594" s="215"/>
    </row>
    <row r="595">
      <c r="A595" s="214"/>
      <c r="B595" s="214"/>
      <c r="C595" s="214"/>
      <c r="D595" s="214"/>
      <c r="E595" s="215"/>
    </row>
    <row r="596">
      <c r="A596" s="214"/>
      <c r="B596" s="214"/>
      <c r="C596" s="214"/>
      <c r="D596" s="214"/>
      <c r="E596" s="215"/>
    </row>
    <row r="597">
      <c r="A597" s="214"/>
      <c r="B597" s="214"/>
      <c r="C597" s="214"/>
      <c r="D597" s="214"/>
      <c r="E597" s="215"/>
    </row>
    <row r="598">
      <c r="A598" s="214"/>
      <c r="B598" s="214"/>
      <c r="C598" s="214"/>
      <c r="D598" s="214"/>
      <c r="E598" s="215"/>
    </row>
    <row r="599">
      <c r="A599" s="214"/>
      <c r="B599" s="214"/>
      <c r="C599" s="214"/>
      <c r="D599" s="214"/>
      <c r="E599" s="215"/>
    </row>
    <row r="600">
      <c r="A600" s="214"/>
      <c r="B600" s="214"/>
      <c r="C600" s="214"/>
      <c r="D600" s="214"/>
      <c r="E600" s="215"/>
    </row>
    <row r="601">
      <c r="A601" s="214"/>
      <c r="B601" s="214"/>
      <c r="C601" s="214"/>
      <c r="D601" s="214"/>
      <c r="E601" s="215"/>
    </row>
    <row r="602">
      <c r="A602" s="214"/>
      <c r="B602" s="214"/>
      <c r="C602" s="214"/>
      <c r="D602" s="214"/>
      <c r="E602" s="215"/>
    </row>
    <row r="603">
      <c r="A603" s="214"/>
      <c r="B603" s="214"/>
      <c r="C603" s="214"/>
      <c r="D603" s="214"/>
      <c r="E603" s="215"/>
    </row>
    <row r="604">
      <c r="A604" s="214"/>
      <c r="B604" s="214"/>
      <c r="C604" s="214"/>
      <c r="D604" s="214"/>
      <c r="E604" s="215"/>
    </row>
    <row r="605">
      <c r="A605" s="214"/>
      <c r="B605" s="214"/>
      <c r="C605" s="214"/>
      <c r="D605" s="214"/>
      <c r="E605" s="215"/>
    </row>
    <row r="606">
      <c r="A606" s="214"/>
      <c r="B606" s="214"/>
      <c r="C606" s="214"/>
      <c r="D606" s="214"/>
      <c r="E606" s="215"/>
    </row>
    <row r="607">
      <c r="A607" s="214"/>
      <c r="B607" s="214"/>
      <c r="C607" s="214"/>
      <c r="D607" s="214"/>
      <c r="E607" s="215"/>
    </row>
    <row r="608">
      <c r="A608" s="214"/>
      <c r="B608" s="214"/>
      <c r="C608" s="214"/>
      <c r="D608" s="214"/>
      <c r="E608" s="215"/>
    </row>
    <row r="609">
      <c r="A609" s="214"/>
      <c r="B609" s="214"/>
      <c r="C609" s="214"/>
      <c r="D609" s="214"/>
      <c r="E609" s="215"/>
    </row>
    <row r="610">
      <c r="A610" s="214"/>
      <c r="B610" s="214"/>
      <c r="C610" s="214"/>
      <c r="D610" s="214"/>
      <c r="E610" s="215"/>
    </row>
    <row r="611">
      <c r="A611" s="214"/>
      <c r="B611" s="214"/>
      <c r="C611" s="214"/>
      <c r="D611" s="214"/>
      <c r="E611" s="215"/>
    </row>
    <row r="612">
      <c r="A612" s="214"/>
      <c r="B612" s="214"/>
      <c r="C612" s="214"/>
      <c r="D612" s="214"/>
      <c r="E612" s="215"/>
    </row>
    <row r="613">
      <c r="A613" s="214"/>
      <c r="B613" s="214"/>
      <c r="C613" s="214"/>
      <c r="D613" s="214"/>
      <c r="E613" s="215"/>
    </row>
    <row r="614">
      <c r="A614" s="214"/>
      <c r="B614" s="214"/>
      <c r="C614" s="214"/>
      <c r="D614" s="214"/>
      <c r="E614" s="215"/>
    </row>
    <row r="615">
      <c r="A615" s="214"/>
      <c r="B615" s="214"/>
      <c r="C615" s="214"/>
      <c r="D615" s="214"/>
      <c r="E615" s="215"/>
    </row>
    <row r="616">
      <c r="A616" s="214"/>
      <c r="B616" s="214"/>
      <c r="C616" s="214"/>
      <c r="D616" s="214"/>
      <c r="E616" s="215"/>
    </row>
    <row r="617">
      <c r="A617" s="214"/>
      <c r="B617" s="214"/>
      <c r="C617" s="214"/>
      <c r="D617" s="214"/>
      <c r="E617" s="215"/>
    </row>
    <row r="618">
      <c r="A618" s="214"/>
      <c r="B618" s="214"/>
      <c r="C618" s="214"/>
      <c r="D618" s="214"/>
      <c r="E618" s="215"/>
    </row>
    <row r="619">
      <c r="A619" s="214"/>
      <c r="B619" s="214"/>
      <c r="C619" s="214"/>
      <c r="D619" s="214"/>
      <c r="E619" s="215"/>
    </row>
    <row r="620">
      <c r="A620" s="214"/>
      <c r="B620" s="214"/>
      <c r="C620" s="214"/>
      <c r="D620" s="214"/>
      <c r="E620" s="215"/>
    </row>
    <row r="621">
      <c r="A621" s="214"/>
      <c r="B621" s="214"/>
      <c r="C621" s="214"/>
      <c r="D621" s="214"/>
      <c r="E621" s="215"/>
    </row>
    <row r="622">
      <c r="A622" s="214"/>
      <c r="B622" s="214"/>
      <c r="C622" s="214"/>
      <c r="D622" s="214"/>
      <c r="E622" s="215"/>
    </row>
    <row r="623">
      <c r="A623" s="214"/>
      <c r="B623" s="214"/>
      <c r="C623" s="214"/>
      <c r="D623" s="214"/>
      <c r="E623" s="215"/>
    </row>
    <row r="624">
      <c r="A624" s="214"/>
      <c r="B624" s="214"/>
      <c r="C624" s="214"/>
      <c r="D624" s="214"/>
      <c r="E624" s="215"/>
    </row>
    <row r="625">
      <c r="A625" s="214"/>
      <c r="B625" s="214"/>
      <c r="C625" s="214"/>
      <c r="D625" s="214"/>
      <c r="E625" s="215"/>
    </row>
    <row r="626">
      <c r="A626" s="214"/>
      <c r="B626" s="214"/>
      <c r="C626" s="214"/>
      <c r="D626" s="214"/>
      <c r="E626" s="215"/>
    </row>
    <row r="627">
      <c r="A627" s="214"/>
      <c r="B627" s="214"/>
      <c r="C627" s="214"/>
      <c r="D627" s="214"/>
      <c r="E627" s="215"/>
    </row>
    <row r="628">
      <c r="A628" s="214"/>
      <c r="B628" s="214"/>
      <c r="C628" s="214"/>
      <c r="D628" s="214"/>
      <c r="E628" s="215"/>
    </row>
    <row r="629">
      <c r="A629" s="214"/>
      <c r="B629" s="214"/>
      <c r="C629" s="214"/>
      <c r="D629" s="214"/>
      <c r="E629" s="215"/>
    </row>
    <row r="630">
      <c r="A630" s="214"/>
      <c r="B630" s="214"/>
      <c r="C630" s="214"/>
      <c r="D630" s="214"/>
      <c r="E630" s="215"/>
    </row>
    <row r="631">
      <c r="A631" s="214"/>
      <c r="B631" s="214"/>
      <c r="C631" s="214"/>
      <c r="D631" s="214"/>
      <c r="E631" s="215"/>
    </row>
    <row r="632">
      <c r="A632" s="214"/>
      <c r="B632" s="214"/>
      <c r="C632" s="214"/>
      <c r="D632" s="214"/>
      <c r="E632" s="215"/>
    </row>
    <row r="633">
      <c r="A633" s="214"/>
      <c r="B633" s="214"/>
      <c r="C633" s="214"/>
      <c r="D633" s="214"/>
      <c r="E633" s="215"/>
    </row>
    <row r="634">
      <c r="A634" s="214"/>
      <c r="B634" s="214"/>
      <c r="C634" s="214"/>
      <c r="D634" s="214"/>
      <c r="E634" s="215"/>
    </row>
    <row r="635">
      <c r="A635" s="214"/>
      <c r="B635" s="214"/>
      <c r="C635" s="214"/>
      <c r="D635" s="214"/>
      <c r="E635" s="215"/>
    </row>
    <row r="636">
      <c r="A636" s="214"/>
      <c r="B636" s="214"/>
      <c r="C636" s="214"/>
      <c r="D636" s="214"/>
      <c r="E636" s="215"/>
    </row>
    <row r="637">
      <c r="A637" s="214"/>
      <c r="B637" s="214"/>
      <c r="C637" s="214"/>
      <c r="D637" s="214"/>
      <c r="E637" s="215"/>
    </row>
    <row r="638">
      <c r="A638" s="214"/>
      <c r="B638" s="214"/>
      <c r="C638" s="214"/>
      <c r="D638" s="214"/>
      <c r="E638" s="215"/>
    </row>
    <row r="639">
      <c r="A639" s="214"/>
      <c r="B639" s="214"/>
      <c r="C639" s="214"/>
      <c r="D639" s="214"/>
      <c r="E639" s="215"/>
    </row>
    <row r="640">
      <c r="A640" s="214"/>
      <c r="B640" s="214"/>
      <c r="C640" s="214"/>
      <c r="D640" s="214"/>
      <c r="E640" s="215"/>
    </row>
    <row r="641">
      <c r="A641" s="214"/>
      <c r="B641" s="214"/>
      <c r="C641" s="214"/>
      <c r="D641" s="214"/>
      <c r="E641" s="215"/>
    </row>
    <row r="642">
      <c r="A642" s="214"/>
      <c r="B642" s="214"/>
      <c r="C642" s="214"/>
      <c r="D642" s="214"/>
      <c r="E642" s="215"/>
    </row>
    <row r="643">
      <c r="A643" s="214"/>
      <c r="B643" s="214"/>
      <c r="C643" s="214"/>
      <c r="D643" s="214"/>
      <c r="E643" s="215"/>
    </row>
    <row r="644">
      <c r="A644" s="214"/>
      <c r="B644" s="214"/>
      <c r="C644" s="214"/>
      <c r="D644" s="214"/>
      <c r="E644" s="215"/>
    </row>
    <row r="645">
      <c r="A645" s="214"/>
      <c r="B645" s="214"/>
      <c r="C645" s="214"/>
      <c r="D645" s="214"/>
      <c r="E645" s="215"/>
    </row>
    <row r="646">
      <c r="A646" s="214"/>
      <c r="B646" s="214"/>
      <c r="C646" s="214"/>
      <c r="D646" s="214"/>
      <c r="E646" s="215"/>
    </row>
    <row r="647">
      <c r="A647" s="214"/>
      <c r="B647" s="214"/>
      <c r="C647" s="214"/>
      <c r="D647" s="214"/>
      <c r="E647" s="215"/>
    </row>
    <row r="648">
      <c r="A648" s="214"/>
      <c r="B648" s="214"/>
      <c r="C648" s="214"/>
      <c r="D648" s="214"/>
      <c r="E648" s="215"/>
    </row>
    <row r="649">
      <c r="A649" s="214"/>
      <c r="B649" s="214"/>
      <c r="C649" s="214"/>
      <c r="D649" s="214"/>
      <c r="E649" s="215"/>
    </row>
    <row r="650">
      <c r="A650" s="214"/>
      <c r="B650" s="214"/>
      <c r="C650" s="214"/>
      <c r="D650" s="214"/>
      <c r="E650" s="215"/>
    </row>
    <row r="651">
      <c r="A651" s="214"/>
      <c r="B651" s="214"/>
      <c r="C651" s="214"/>
      <c r="D651" s="214"/>
      <c r="E651" s="215"/>
    </row>
    <row r="652">
      <c r="A652" s="214"/>
      <c r="B652" s="214"/>
      <c r="C652" s="214"/>
      <c r="D652" s="214"/>
      <c r="E652" s="215"/>
    </row>
    <row r="653">
      <c r="A653" s="214"/>
      <c r="B653" s="214"/>
      <c r="C653" s="214"/>
      <c r="D653" s="214"/>
      <c r="E653" s="215"/>
    </row>
    <row r="654">
      <c r="A654" s="214"/>
      <c r="B654" s="214"/>
      <c r="C654" s="214"/>
      <c r="D654" s="214"/>
      <c r="E654" s="215"/>
    </row>
    <row r="655">
      <c r="A655" s="214"/>
      <c r="B655" s="214"/>
      <c r="C655" s="214"/>
      <c r="D655" s="214"/>
      <c r="E655" s="215"/>
    </row>
    <row r="656">
      <c r="A656" s="214"/>
      <c r="B656" s="214"/>
      <c r="C656" s="214"/>
      <c r="D656" s="214"/>
      <c r="E656" s="215"/>
    </row>
    <row r="657">
      <c r="A657" s="214"/>
      <c r="B657" s="214"/>
      <c r="C657" s="214"/>
      <c r="D657" s="214"/>
      <c r="E657" s="215"/>
    </row>
    <row r="658">
      <c r="A658" s="214"/>
      <c r="B658" s="214"/>
      <c r="C658" s="214"/>
      <c r="D658" s="214"/>
      <c r="E658" s="215"/>
    </row>
    <row r="659">
      <c r="A659" s="214"/>
      <c r="B659" s="214"/>
      <c r="C659" s="214"/>
      <c r="D659" s="214"/>
      <c r="E659" s="215"/>
    </row>
    <row r="660">
      <c r="A660" s="214"/>
      <c r="B660" s="214"/>
      <c r="C660" s="214"/>
      <c r="D660" s="214"/>
      <c r="E660" s="215"/>
    </row>
    <row r="661">
      <c r="A661" s="214"/>
      <c r="B661" s="214"/>
      <c r="C661" s="214"/>
      <c r="D661" s="214"/>
      <c r="E661" s="215"/>
    </row>
    <row r="662">
      <c r="A662" s="214"/>
      <c r="B662" s="214"/>
      <c r="C662" s="214"/>
      <c r="D662" s="214"/>
      <c r="E662" s="215"/>
    </row>
    <row r="663">
      <c r="A663" s="214"/>
      <c r="B663" s="214"/>
      <c r="C663" s="214"/>
      <c r="D663" s="214"/>
      <c r="E663" s="215"/>
    </row>
    <row r="664">
      <c r="A664" s="214"/>
      <c r="B664" s="214"/>
      <c r="C664" s="214"/>
      <c r="D664" s="214"/>
      <c r="E664" s="215"/>
    </row>
    <row r="665">
      <c r="A665" s="214"/>
      <c r="B665" s="214"/>
      <c r="C665" s="214"/>
      <c r="D665" s="214"/>
      <c r="E665" s="215"/>
    </row>
    <row r="666">
      <c r="A666" s="214"/>
      <c r="B666" s="214"/>
      <c r="C666" s="214"/>
      <c r="D666" s="214"/>
      <c r="E666" s="215"/>
    </row>
    <row r="667">
      <c r="A667" s="214"/>
      <c r="B667" s="214"/>
      <c r="C667" s="214"/>
      <c r="D667" s="214"/>
      <c r="E667" s="215"/>
    </row>
    <row r="668">
      <c r="A668" s="214"/>
      <c r="B668" s="214"/>
      <c r="C668" s="214"/>
      <c r="D668" s="214"/>
      <c r="E668" s="215"/>
    </row>
    <row r="669">
      <c r="A669" s="214"/>
      <c r="B669" s="214"/>
      <c r="C669" s="214"/>
      <c r="D669" s="214"/>
      <c r="E669" s="215"/>
    </row>
    <row r="670">
      <c r="A670" s="214"/>
      <c r="B670" s="214"/>
      <c r="C670" s="214"/>
      <c r="D670" s="214"/>
      <c r="E670" s="215"/>
    </row>
    <row r="671">
      <c r="A671" s="214"/>
      <c r="B671" s="214"/>
      <c r="C671" s="214"/>
      <c r="D671" s="214"/>
      <c r="E671" s="215"/>
    </row>
    <row r="672">
      <c r="A672" s="214"/>
      <c r="B672" s="214"/>
      <c r="C672" s="214"/>
      <c r="D672" s="214"/>
      <c r="E672" s="215"/>
    </row>
    <row r="673">
      <c r="A673" s="214"/>
      <c r="B673" s="214"/>
      <c r="C673" s="214"/>
      <c r="D673" s="214"/>
      <c r="E673" s="215"/>
    </row>
    <row r="674">
      <c r="A674" s="214"/>
      <c r="B674" s="214"/>
      <c r="C674" s="214"/>
      <c r="D674" s="214"/>
      <c r="E674" s="215"/>
    </row>
    <row r="675">
      <c r="A675" s="214"/>
      <c r="B675" s="214"/>
      <c r="C675" s="214"/>
      <c r="D675" s="214"/>
      <c r="E675" s="215"/>
    </row>
    <row r="676">
      <c r="A676" s="214"/>
      <c r="B676" s="214"/>
      <c r="C676" s="214"/>
      <c r="D676" s="214"/>
      <c r="E676" s="215"/>
    </row>
    <row r="677">
      <c r="A677" s="214"/>
      <c r="B677" s="214"/>
      <c r="C677" s="214"/>
      <c r="D677" s="214"/>
      <c r="E677" s="215"/>
    </row>
    <row r="678">
      <c r="A678" s="214"/>
      <c r="B678" s="214"/>
      <c r="C678" s="214"/>
      <c r="D678" s="214"/>
      <c r="E678" s="215"/>
    </row>
    <row r="679">
      <c r="A679" s="214"/>
      <c r="B679" s="214"/>
      <c r="C679" s="214"/>
      <c r="D679" s="214"/>
      <c r="E679" s="215"/>
    </row>
    <row r="680">
      <c r="A680" s="214"/>
      <c r="B680" s="214"/>
      <c r="C680" s="214"/>
      <c r="D680" s="214"/>
      <c r="E680" s="215"/>
    </row>
    <row r="681">
      <c r="A681" s="214"/>
      <c r="B681" s="214"/>
      <c r="C681" s="214"/>
      <c r="D681" s="214"/>
      <c r="E681" s="215"/>
    </row>
    <row r="682">
      <c r="A682" s="214"/>
      <c r="B682" s="214"/>
      <c r="C682" s="214"/>
      <c r="D682" s="214"/>
      <c r="E682" s="215"/>
    </row>
    <row r="683">
      <c r="A683" s="214"/>
      <c r="B683" s="214"/>
      <c r="C683" s="214"/>
      <c r="D683" s="214"/>
      <c r="E683" s="215"/>
    </row>
    <row r="684">
      <c r="A684" s="214"/>
      <c r="B684" s="214"/>
      <c r="C684" s="214"/>
      <c r="D684" s="214"/>
      <c r="E684" s="215"/>
    </row>
    <row r="685">
      <c r="A685" s="214"/>
      <c r="B685" s="214"/>
      <c r="C685" s="214"/>
      <c r="D685" s="214"/>
      <c r="E685" s="215"/>
    </row>
    <row r="686">
      <c r="A686" s="214"/>
      <c r="B686" s="214"/>
      <c r="C686" s="214"/>
      <c r="D686" s="214"/>
      <c r="E686" s="215"/>
    </row>
    <row r="687">
      <c r="A687" s="214"/>
      <c r="B687" s="214"/>
      <c r="C687" s="214"/>
      <c r="D687" s="214"/>
      <c r="E687" s="215"/>
    </row>
    <row r="688">
      <c r="A688" s="214"/>
      <c r="B688" s="214"/>
      <c r="C688" s="214"/>
      <c r="D688" s="214"/>
      <c r="E688" s="215"/>
    </row>
    <row r="689">
      <c r="A689" s="214"/>
      <c r="B689" s="214"/>
      <c r="C689" s="214"/>
      <c r="D689" s="214"/>
      <c r="E689" s="215"/>
    </row>
    <row r="690">
      <c r="A690" s="214"/>
      <c r="B690" s="214"/>
      <c r="C690" s="214"/>
      <c r="D690" s="214"/>
      <c r="E690" s="215"/>
    </row>
    <row r="691">
      <c r="A691" s="214"/>
      <c r="B691" s="214"/>
      <c r="C691" s="214"/>
      <c r="D691" s="214"/>
      <c r="E691" s="215"/>
    </row>
    <row r="692">
      <c r="A692" s="214"/>
      <c r="B692" s="214"/>
      <c r="C692" s="214"/>
      <c r="D692" s="214"/>
      <c r="E692" s="215"/>
    </row>
    <row r="693">
      <c r="A693" s="214"/>
      <c r="B693" s="214"/>
      <c r="C693" s="214"/>
      <c r="D693" s="214"/>
      <c r="E693" s="215"/>
    </row>
    <row r="694">
      <c r="A694" s="214"/>
      <c r="B694" s="214"/>
      <c r="C694" s="214"/>
      <c r="D694" s="214"/>
      <c r="E694" s="215"/>
    </row>
    <row r="695">
      <c r="A695" s="214"/>
      <c r="B695" s="214"/>
      <c r="C695" s="214"/>
      <c r="D695" s="214"/>
      <c r="E695" s="215"/>
    </row>
    <row r="696">
      <c r="A696" s="214"/>
      <c r="B696" s="214"/>
      <c r="C696" s="214"/>
      <c r="D696" s="214"/>
      <c r="E696" s="215"/>
    </row>
    <row r="697">
      <c r="A697" s="214"/>
      <c r="B697" s="214"/>
      <c r="C697" s="214"/>
      <c r="D697" s="214"/>
      <c r="E697" s="215"/>
    </row>
    <row r="698">
      <c r="A698" s="214"/>
      <c r="B698" s="214"/>
      <c r="C698" s="214"/>
      <c r="D698" s="214"/>
      <c r="E698" s="215"/>
    </row>
    <row r="699">
      <c r="A699" s="214"/>
      <c r="B699" s="214"/>
      <c r="C699" s="214"/>
      <c r="D699" s="214"/>
      <c r="E699" s="215"/>
    </row>
    <row r="700">
      <c r="A700" s="214"/>
      <c r="B700" s="214"/>
      <c r="C700" s="214"/>
      <c r="D700" s="214"/>
      <c r="E700" s="215"/>
    </row>
    <row r="701">
      <c r="A701" s="214"/>
      <c r="B701" s="214"/>
      <c r="C701" s="214"/>
      <c r="D701" s="214"/>
      <c r="E701" s="215"/>
    </row>
    <row r="702">
      <c r="A702" s="214"/>
      <c r="B702" s="214"/>
      <c r="C702" s="214"/>
      <c r="D702" s="214"/>
      <c r="E702" s="215"/>
    </row>
    <row r="703">
      <c r="A703" s="214"/>
      <c r="B703" s="214"/>
      <c r="C703" s="214"/>
      <c r="D703" s="214"/>
      <c r="E703" s="215"/>
    </row>
    <row r="704">
      <c r="A704" s="214"/>
      <c r="B704" s="214"/>
      <c r="C704" s="214"/>
      <c r="D704" s="214"/>
      <c r="E704" s="215"/>
    </row>
    <row r="705">
      <c r="A705" s="214"/>
      <c r="B705" s="214"/>
      <c r="C705" s="214"/>
      <c r="D705" s="214"/>
      <c r="E705" s="215"/>
    </row>
    <row r="706">
      <c r="A706" s="214"/>
      <c r="B706" s="214"/>
      <c r="C706" s="214"/>
      <c r="D706" s="214"/>
      <c r="E706" s="215"/>
    </row>
    <row r="707">
      <c r="A707" s="214"/>
      <c r="B707" s="214"/>
      <c r="C707" s="214"/>
      <c r="D707" s="214"/>
      <c r="E707" s="215"/>
    </row>
    <row r="708">
      <c r="A708" s="214"/>
      <c r="B708" s="214"/>
      <c r="C708" s="214"/>
      <c r="D708" s="214"/>
      <c r="E708" s="215"/>
    </row>
    <row r="709">
      <c r="A709" s="214"/>
      <c r="B709" s="214"/>
      <c r="C709" s="214"/>
      <c r="D709" s="214"/>
      <c r="E709" s="215"/>
    </row>
    <row r="710">
      <c r="A710" s="214"/>
      <c r="B710" s="214"/>
      <c r="C710" s="214"/>
      <c r="D710" s="214"/>
      <c r="E710" s="215"/>
    </row>
    <row r="711">
      <c r="A711" s="214"/>
      <c r="B711" s="214"/>
      <c r="C711" s="214"/>
      <c r="D711" s="214"/>
      <c r="E711" s="215"/>
    </row>
    <row r="712">
      <c r="A712" s="214"/>
      <c r="B712" s="214"/>
      <c r="C712" s="214"/>
      <c r="D712" s="214"/>
      <c r="E712" s="215"/>
    </row>
    <row r="713">
      <c r="A713" s="214"/>
      <c r="B713" s="214"/>
      <c r="C713" s="214"/>
      <c r="D713" s="214"/>
      <c r="E713" s="215"/>
    </row>
    <row r="714">
      <c r="A714" s="214"/>
      <c r="B714" s="214"/>
      <c r="C714" s="214"/>
      <c r="D714" s="214"/>
      <c r="E714" s="215"/>
    </row>
    <row r="715">
      <c r="A715" s="214"/>
      <c r="B715" s="214"/>
      <c r="C715" s="214"/>
      <c r="D715" s="214"/>
      <c r="E715" s="215"/>
    </row>
    <row r="716">
      <c r="A716" s="214"/>
      <c r="B716" s="214"/>
      <c r="C716" s="214"/>
      <c r="D716" s="214"/>
      <c r="E716" s="215"/>
    </row>
    <row r="717">
      <c r="A717" s="214"/>
      <c r="B717" s="214"/>
      <c r="C717" s="214"/>
      <c r="D717" s="214"/>
      <c r="E717" s="215"/>
    </row>
    <row r="718">
      <c r="A718" s="214"/>
      <c r="B718" s="214"/>
      <c r="C718" s="214"/>
      <c r="D718" s="214"/>
      <c r="E718" s="215"/>
    </row>
    <row r="719">
      <c r="A719" s="214"/>
      <c r="B719" s="214"/>
      <c r="C719" s="214"/>
      <c r="D719" s="214"/>
      <c r="E719" s="215"/>
    </row>
    <row r="720">
      <c r="A720" s="214"/>
      <c r="B720" s="214"/>
      <c r="C720" s="214"/>
      <c r="D720" s="214"/>
      <c r="E720" s="215"/>
    </row>
    <row r="721">
      <c r="A721" s="214"/>
      <c r="B721" s="214"/>
      <c r="C721" s="214"/>
      <c r="D721" s="214"/>
      <c r="E721" s="215"/>
    </row>
    <row r="722">
      <c r="A722" s="214"/>
      <c r="B722" s="214"/>
      <c r="C722" s="214"/>
      <c r="D722" s="214"/>
      <c r="E722" s="215"/>
    </row>
    <row r="723">
      <c r="A723" s="214"/>
      <c r="B723" s="214"/>
      <c r="C723" s="214"/>
      <c r="D723" s="214"/>
      <c r="E723" s="215"/>
    </row>
    <row r="724">
      <c r="A724" s="214"/>
      <c r="B724" s="214"/>
      <c r="C724" s="214"/>
      <c r="D724" s="214"/>
      <c r="E724" s="215"/>
    </row>
    <row r="725">
      <c r="A725" s="214"/>
      <c r="B725" s="214"/>
      <c r="C725" s="214"/>
      <c r="D725" s="214"/>
      <c r="E725" s="215"/>
    </row>
    <row r="726">
      <c r="A726" s="214"/>
      <c r="B726" s="214"/>
      <c r="C726" s="214"/>
      <c r="D726" s="214"/>
      <c r="E726" s="215"/>
    </row>
    <row r="727">
      <c r="A727" s="214"/>
      <c r="B727" s="214"/>
      <c r="C727" s="214"/>
      <c r="D727" s="214"/>
      <c r="E727" s="215"/>
    </row>
    <row r="728">
      <c r="A728" s="214"/>
      <c r="B728" s="214"/>
      <c r="C728" s="214"/>
      <c r="D728" s="214"/>
      <c r="E728" s="215"/>
    </row>
    <row r="729">
      <c r="A729" s="214"/>
      <c r="B729" s="214"/>
      <c r="C729" s="214"/>
      <c r="D729" s="214"/>
      <c r="E729" s="215"/>
    </row>
    <row r="730">
      <c r="A730" s="214"/>
      <c r="B730" s="214"/>
      <c r="C730" s="214"/>
      <c r="D730" s="214"/>
      <c r="E730" s="215"/>
    </row>
    <row r="731">
      <c r="A731" s="214"/>
      <c r="B731" s="214"/>
      <c r="C731" s="214"/>
      <c r="D731" s="214"/>
      <c r="E731" s="215"/>
    </row>
    <row r="732">
      <c r="A732" s="214"/>
      <c r="B732" s="214"/>
      <c r="C732" s="214"/>
      <c r="D732" s="214"/>
      <c r="E732" s="215"/>
    </row>
    <row r="733">
      <c r="A733" s="214"/>
      <c r="B733" s="214"/>
      <c r="C733" s="214"/>
      <c r="D733" s="214"/>
      <c r="E733" s="215"/>
    </row>
    <row r="734">
      <c r="A734" s="214"/>
      <c r="B734" s="214"/>
      <c r="C734" s="214"/>
      <c r="D734" s="214"/>
      <c r="E734" s="215"/>
    </row>
    <row r="735">
      <c r="A735" s="214"/>
      <c r="B735" s="214"/>
      <c r="C735" s="214"/>
      <c r="D735" s="214"/>
      <c r="E735" s="215"/>
    </row>
    <row r="736">
      <c r="A736" s="214"/>
      <c r="B736" s="214"/>
      <c r="C736" s="214"/>
      <c r="D736" s="214"/>
      <c r="E736" s="215"/>
    </row>
    <row r="737">
      <c r="A737" s="214"/>
      <c r="B737" s="214"/>
      <c r="C737" s="214"/>
      <c r="D737" s="214"/>
      <c r="E737" s="215"/>
    </row>
    <row r="738">
      <c r="A738" s="214"/>
      <c r="B738" s="214"/>
      <c r="C738" s="214"/>
      <c r="D738" s="214"/>
      <c r="E738" s="215"/>
    </row>
    <row r="739">
      <c r="A739" s="214"/>
      <c r="B739" s="214"/>
      <c r="C739" s="214"/>
      <c r="D739" s="214"/>
      <c r="E739" s="215"/>
    </row>
    <row r="740">
      <c r="A740" s="214"/>
      <c r="B740" s="214"/>
      <c r="C740" s="214"/>
      <c r="D740" s="214"/>
      <c r="E740" s="215"/>
    </row>
    <row r="741">
      <c r="A741" s="214"/>
      <c r="B741" s="214"/>
      <c r="C741" s="214"/>
      <c r="D741" s="214"/>
      <c r="E741" s="215"/>
    </row>
    <row r="742">
      <c r="A742" s="214"/>
      <c r="B742" s="214"/>
      <c r="C742" s="214"/>
      <c r="D742" s="214"/>
      <c r="E742" s="215"/>
    </row>
    <row r="743">
      <c r="A743" s="214"/>
      <c r="B743" s="214"/>
      <c r="C743" s="214"/>
      <c r="D743" s="214"/>
      <c r="E743" s="215"/>
    </row>
    <row r="744">
      <c r="A744" s="214"/>
      <c r="B744" s="214"/>
      <c r="C744" s="214"/>
      <c r="D744" s="214"/>
      <c r="E744" s="215"/>
    </row>
    <row r="745">
      <c r="A745" s="214"/>
      <c r="B745" s="214"/>
      <c r="C745" s="214"/>
      <c r="D745" s="214"/>
      <c r="E745" s="215"/>
    </row>
    <row r="746">
      <c r="A746" s="214"/>
      <c r="B746" s="214"/>
      <c r="C746" s="214"/>
      <c r="D746" s="214"/>
      <c r="E746" s="215"/>
    </row>
    <row r="747">
      <c r="A747" s="214"/>
      <c r="B747" s="214"/>
      <c r="C747" s="214"/>
      <c r="D747" s="214"/>
      <c r="E747" s="215"/>
    </row>
    <row r="748">
      <c r="A748" s="214"/>
      <c r="B748" s="214"/>
      <c r="C748" s="214"/>
      <c r="D748" s="214"/>
      <c r="E748" s="215"/>
    </row>
    <row r="749">
      <c r="A749" s="214"/>
      <c r="B749" s="214"/>
      <c r="C749" s="214"/>
      <c r="D749" s="214"/>
      <c r="E749" s="215"/>
    </row>
    <row r="750">
      <c r="A750" s="214"/>
      <c r="B750" s="214"/>
      <c r="C750" s="214"/>
      <c r="D750" s="214"/>
      <c r="E750" s="215"/>
    </row>
    <row r="751">
      <c r="A751" s="214"/>
      <c r="B751" s="214"/>
      <c r="C751" s="214"/>
      <c r="D751" s="214"/>
      <c r="E751" s="215"/>
    </row>
    <row r="752">
      <c r="A752" s="214"/>
      <c r="B752" s="214"/>
      <c r="C752" s="214"/>
      <c r="D752" s="214"/>
      <c r="E752" s="215"/>
    </row>
    <row r="753">
      <c r="A753" s="214"/>
      <c r="B753" s="214"/>
      <c r="C753" s="214"/>
      <c r="D753" s="214"/>
      <c r="E753" s="215"/>
    </row>
    <row r="754">
      <c r="A754" s="214"/>
      <c r="B754" s="214"/>
      <c r="C754" s="214"/>
      <c r="D754" s="214"/>
      <c r="E754" s="215"/>
    </row>
    <row r="755">
      <c r="A755" s="214"/>
      <c r="B755" s="214"/>
      <c r="C755" s="214"/>
      <c r="D755" s="214"/>
      <c r="E755" s="215"/>
    </row>
    <row r="756">
      <c r="A756" s="214"/>
      <c r="B756" s="214"/>
      <c r="C756" s="214"/>
      <c r="D756" s="214"/>
      <c r="E756" s="215"/>
    </row>
    <row r="757">
      <c r="A757" s="214"/>
      <c r="B757" s="214"/>
      <c r="C757" s="214"/>
      <c r="D757" s="214"/>
      <c r="E757" s="215"/>
    </row>
    <row r="758">
      <c r="A758" s="214"/>
      <c r="B758" s="214"/>
      <c r="C758" s="214"/>
      <c r="D758" s="214"/>
      <c r="E758" s="215"/>
    </row>
    <row r="759">
      <c r="A759" s="214"/>
      <c r="B759" s="214"/>
      <c r="C759" s="214"/>
      <c r="D759" s="214"/>
      <c r="E759" s="215"/>
    </row>
    <row r="760">
      <c r="A760" s="214"/>
      <c r="B760" s="214"/>
      <c r="C760" s="214"/>
      <c r="D760" s="214"/>
      <c r="E760" s="215"/>
    </row>
    <row r="761">
      <c r="A761" s="214"/>
      <c r="B761" s="214"/>
      <c r="C761" s="214"/>
      <c r="D761" s="214"/>
      <c r="E761" s="215"/>
    </row>
    <row r="762">
      <c r="A762" s="214"/>
      <c r="B762" s="214"/>
      <c r="C762" s="214"/>
      <c r="D762" s="214"/>
      <c r="E762" s="215"/>
    </row>
    <row r="763">
      <c r="A763" s="214"/>
      <c r="B763" s="214"/>
      <c r="C763" s="214"/>
      <c r="D763" s="214"/>
      <c r="E763" s="215"/>
    </row>
    <row r="764">
      <c r="A764" s="214"/>
      <c r="B764" s="214"/>
      <c r="C764" s="214"/>
      <c r="D764" s="214"/>
      <c r="E764" s="215"/>
    </row>
    <row r="765">
      <c r="A765" s="214"/>
      <c r="B765" s="214"/>
      <c r="C765" s="214"/>
      <c r="D765" s="214"/>
      <c r="E765" s="215"/>
    </row>
    <row r="766">
      <c r="A766" s="214"/>
      <c r="B766" s="214"/>
      <c r="C766" s="214"/>
      <c r="D766" s="214"/>
      <c r="E766" s="215"/>
    </row>
    <row r="767">
      <c r="A767" s="214"/>
      <c r="B767" s="214"/>
      <c r="C767" s="214"/>
      <c r="D767" s="214"/>
      <c r="E767" s="215"/>
    </row>
    <row r="768">
      <c r="A768" s="214"/>
      <c r="B768" s="214"/>
      <c r="C768" s="214"/>
      <c r="D768" s="214"/>
      <c r="E768" s="215"/>
    </row>
    <row r="769">
      <c r="A769" s="214"/>
      <c r="B769" s="214"/>
      <c r="C769" s="214"/>
      <c r="D769" s="214"/>
      <c r="E769" s="215"/>
    </row>
    <row r="770">
      <c r="A770" s="214"/>
      <c r="B770" s="214"/>
      <c r="C770" s="214"/>
      <c r="D770" s="214"/>
      <c r="E770" s="215"/>
    </row>
    <row r="771">
      <c r="A771" s="214"/>
      <c r="B771" s="214"/>
      <c r="C771" s="214"/>
      <c r="D771" s="214"/>
      <c r="E771" s="215"/>
    </row>
    <row r="772">
      <c r="A772" s="214"/>
      <c r="B772" s="214"/>
      <c r="C772" s="214"/>
      <c r="D772" s="214"/>
      <c r="E772" s="215"/>
    </row>
    <row r="773">
      <c r="A773" s="214"/>
      <c r="B773" s="214"/>
      <c r="C773" s="214"/>
      <c r="D773" s="214"/>
      <c r="E773" s="215"/>
    </row>
    <row r="774">
      <c r="A774" s="214"/>
      <c r="B774" s="214"/>
      <c r="C774" s="214"/>
      <c r="D774" s="214"/>
      <c r="E774" s="215"/>
    </row>
    <row r="775">
      <c r="A775" s="214"/>
      <c r="B775" s="214"/>
      <c r="C775" s="214"/>
      <c r="D775" s="214"/>
      <c r="E775" s="215"/>
    </row>
    <row r="776">
      <c r="A776" s="214"/>
      <c r="B776" s="214"/>
      <c r="C776" s="214"/>
      <c r="D776" s="214"/>
      <c r="E776" s="215"/>
    </row>
    <row r="777">
      <c r="A777" s="214"/>
      <c r="B777" s="214"/>
      <c r="C777" s="214"/>
      <c r="D777" s="214"/>
      <c r="E777" s="215"/>
    </row>
    <row r="778">
      <c r="A778" s="214"/>
      <c r="B778" s="214"/>
      <c r="C778" s="214"/>
      <c r="D778" s="214"/>
      <c r="E778" s="215"/>
    </row>
    <row r="779">
      <c r="A779" s="214"/>
      <c r="B779" s="214"/>
      <c r="C779" s="214"/>
      <c r="D779" s="214"/>
      <c r="E779" s="215"/>
    </row>
    <row r="780">
      <c r="A780" s="214"/>
      <c r="B780" s="214"/>
      <c r="C780" s="214"/>
      <c r="D780" s="214"/>
      <c r="E780" s="215"/>
    </row>
    <row r="781">
      <c r="A781" s="214"/>
      <c r="B781" s="214"/>
      <c r="C781" s="214"/>
      <c r="D781" s="214"/>
      <c r="E781" s="215"/>
    </row>
    <row r="782">
      <c r="A782" s="214"/>
      <c r="B782" s="214"/>
      <c r="C782" s="214"/>
      <c r="D782" s="214"/>
      <c r="E782" s="215"/>
    </row>
    <row r="783">
      <c r="A783" s="214"/>
      <c r="B783" s="214"/>
      <c r="C783" s="214"/>
      <c r="D783" s="214"/>
      <c r="E783" s="215"/>
    </row>
    <row r="784">
      <c r="A784" s="214"/>
      <c r="B784" s="214"/>
      <c r="C784" s="214"/>
      <c r="D784" s="214"/>
      <c r="E784" s="215"/>
    </row>
    <row r="785">
      <c r="A785" s="214"/>
      <c r="B785" s="214"/>
      <c r="C785" s="214"/>
      <c r="D785" s="214"/>
      <c r="E785" s="215"/>
    </row>
    <row r="786">
      <c r="A786" s="214"/>
      <c r="B786" s="214"/>
      <c r="C786" s="214"/>
      <c r="D786" s="214"/>
      <c r="E786" s="215"/>
    </row>
    <row r="787">
      <c r="A787" s="214"/>
      <c r="B787" s="214"/>
      <c r="C787" s="214"/>
      <c r="D787" s="214"/>
      <c r="E787" s="215"/>
    </row>
    <row r="788">
      <c r="A788" s="214"/>
      <c r="B788" s="214"/>
      <c r="C788" s="214"/>
      <c r="D788" s="214"/>
      <c r="E788" s="215"/>
    </row>
    <row r="789">
      <c r="A789" s="214"/>
      <c r="B789" s="214"/>
      <c r="C789" s="214"/>
      <c r="D789" s="214"/>
      <c r="E789" s="215"/>
    </row>
    <row r="790">
      <c r="A790" s="214"/>
      <c r="B790" s="214"/>
      <c r="C790" s="214"/>
      <c r="D790" s="214"/>
      <c r="E790" s="215"/>
    </row>
    <row r="791">
      <c r="A791" s="214"/>
      <c r="B791" s="214"/>
      <c r="C791" s="214"/>
      <c r="D791" s="214"/>
      <c r="E791" s="215"/>
    </row>
    <row r="792">
      <c r="A792" s="214"/>
      <c r="B792" s="214"/>
      <c r="C792" s="214"/>
      <c r="D792" s="214"/>
      <c r="E792" s="215"/>
    </row>
    <row r="793">
      <c r="A793" s="214"/>
      <c r="B793" s="214"/>
      <c r="C793" s="214"/>
      <c r="D793" s="214"/>
      <c r="E793" s="215"/>
    </row>
    <row r="794">
      <c r="A794" s="214"/>
      <c r="B794" s="214"/>
      <c r="C794" s="214"/>
      <c r="D794" s="214"/>
      <c r="E794" s="215"/>
    </row>
    <row r="795">
      <c r="A795" s="214"/>
      <c r="B795" s="214"/>
      <c r="C795" s="214"/>
      <c r="D795" s="214"/>
      <c r="E795" s="215"/>
    </row>
    <row r="796">
      <c r="A796" s="214"/>
      <c r="B796" s="214"/>
      <c r="C796" s="214"/>
      <c r="D796" s="214"/>
      <c r="E796" s="215"/>
    </row>
    <row r="797">
      <c r="A797" s="214"/>
      <c r="B797" s="214"/>
      <c r="C797" s="214"/>
      <c r="D797" s="214"/>
      <c r="E797" s="215"/>
    </row>
    <row r="798">
      <c r="A798" s="214"/>
      <c r="B798" s="214"/>
      <c r="C798" s="214"/>
      <c r="D798" s="214"/>
      <c r="E798" s="215"/>
    </row>
    <row r="799">
      <c r="A799" s="214"/>
      <c r="B799" s="214"/>
      <c r="C799" s="214"/>
      <c r="D799" s="214"/>
      <c r="E799" s="215"/>
    </row>
    <row r="800">
      <c r="A800" s="214"/>
      <c r="B800" s="214"/>
      <c r="C800" s="214"/>
      <c r="D800" s="214"/>
      <c r="E800" s="215"/>
    </row>
    <row r="801">
      <c r="A801" s="214"/>
      <c r="B801" s="214"/>
      <c r="C801" s="214"/>
      <c r="D801" s="214"/>
      <c r="E801" s="215"/>
    </row>
    <row r="802">
      <c r="A802" s="214"/>
      <c r="B802" s="214"/>
      <c r="C802" s="214"/>
      <c r="D802" s="214"/>
      <c r="E802" s="215"/>
    </row>
    <row r="803">
      <c r="A803" s="214"/>
      <c r="B803" s="214"/>
      <c r="C803" s="214"/>
      <c r="D803" s="214"/>
      <c r="E803" s="215"/>
    </row>
    <row r="804">
      <c r="A804" s="214"/>
      <c r="B804" s="214"/>
      <c r="C804" s="214"/>
      <c r="D804" s="214"/>
      <c r="E804" s="215"/>
    </row>
    <row r="805">
      <c r="A805" s="214"/>
      <c r="B805" s="214"/>
      <c r="C805" s="214"/>
      <c r="D805" s="214"/>
      <c r="E805" s="215"/>
    </row>
    <row r="806">
      <c r="A806" s="214"/>
      <c r="B806" s="214"/>
      <c r="C806" s="214"/>
      <c r="D806" s="214"/>
      <c r="E806" s="215"/>
    </row>
    <row r="807">
      <c r="A807" s="214"/>
      <c r="B807" s="214"/>
      <c r="C807" s="214"/>
      <c r="D807" s="214"/>
      <c r="E807" s="215"/>
    </row>
    <row r="808">
      <c r="A808" s="214"/>
      <c r="B808" s="214"/>
      <c r="C808" s="214"/>
      <c r="D808" s="214"/>
      <c r="E808" s="215"/>
    </row>
    <row r="809">
      <c r="A809" s="214"/>
      <c r="B809" s="214"/>
      <c r="C809" s="214"/>
      <c r="D809" s="214"/>
      <c r="E809" s="215"/>
    </row>
    <row r="810">
      <c r="A810" s="214"/>
      <c r="B810" s="214"/>
      <c r="C810" s="214"/>
      <c r="D810" s="214"/>
      <c r="E810" s="215"/>
    </row>
    <row r="811">
      <c r="A811" s="214"/>
      <c r="B811" s="214"/>
      <c r="C811" s="214"/>
      <c r="D811" s="214"/>
      <c r="E811" s="215"/>
    </row>
    <row r="812">
      <c r="A812" s="214"/>
      <c r="B812" s="214"/>
      <c r="C812" s="214"/>
      <c r="D812" s="214"/>
      <c r="E812" s="215"/>
    </row>
    <row r="813">
      <c r="A813" s="214"/>
      <c r="B813" s="214"/>
      <c r="C813" s="214"/>
      <c r="D813" s="214"/>
      <c r="E813" s="215"/>
    </row>
    <row r="814">
      <c r="A814" s="214"/>
      <c r="B814" s="214"/>
      <c r="C814" s="214"/>
      <c r="D814" s="214"/>
      <c r="E814" s="215"/>
    </row>
    <row r="815">
      <c r="A815" s="214"/>
      <c r="B815" s="214"/>
      <c r="C815" s="214"/>
      <c r="D815" s="214"/>
      <c r="E815" s="215"/>
    </row>
    <row r="816">
      <c r="A816" s="214"/>
      <c r="B816" s="214"/>
      <c r="C816" s="214"/>
      <c r="D816" s="214"/>
      <c r="E816" s="215"/>
    </row>
    <row r="817">
      <c r="A817" s="214"/>
      <c r="B817" s="214"/>
      <c r="C817" s="214"/>
      <c r="D817" s="214"/>
      <c r="E817" s="215"/>
    </row>
    <row r="818">
      <c r="A818" s="214"/>
      <c r="B818" s="214"/>
      <c r="C818" s="214"/>
      <c r="D818" s="214"/>
      <c r="E818" s="215"/>
    </row>
    <row r="819">
      <c r="A819" s="214"/>
      <c r="B819" s="214"/>
      <c r="C819" s="214"/>
      <c r="D819" s="214"/>
      <c r="E819" s="215"/>
    </row>
    <row r="820">
      <c r="A820" s="214"/>
      <c r="B820" s="214"/>
      <c r="C820" s="214"/>
      <c r="D820" s="214"/>
      <c r="E820" s="215"/>
    </row>
    <row r="821">
      <c r="A821" s="214"/>
      <c r="B821" s="214"/>
      <c r="C821" s="214"/>
      <c r="D821" s="214"/>
      <c r="E821" s="215"/>
    </row>
    <row r="822">
      <c r="A822" s="214"/>
      <c r="B822" s="214"/>
      <c r="C822" s="214"/>
      <c r="D822" s="214"/>
      <c r="E822" s="215"/>
    </row>
    <row r="823">
      <c r="A823" s="214"/>
      <c r="B823" s="214"/>
      <c r="C823" s="214"/>
      <c r="D823" s="214"/>
      <c r="E823" s="215"/>
    </row>
    <row r="824">
      <c r="A824" s="214"/>
      <c r="B824" s="214"/>
      <c r="C824" s="214"/>
      <c r="D824" s="214"/>
      <c r="E824" s="215"/>
    </row>
    <row r="825">
      <c r="A825" s="214"/>
      <c r="B825" s="214"/>
      <c r="C825" s="214"/>
      <c r="D825" s="214"/>
      <c r="E825" s="215"/>
    </row>
    <row r="826">
      <c r="A826" s="214"/>
      <c r="B826" s="214"/>
      <c r="C826" s="214"/>
      <c r="D826" s="214"/>
      <c r="E826" s="215"/>
    </row>
    <row r="827">
      <c r="A827" s="214"/>
      <c r="B827" s="214"/>
      <c r="C827" s="214"/>
      <c r="D827" s="214"/>
      <c r="E827" s="215"/>
    </row>
    <row r="828">
      <c r="A828" s="214"/>
      <c r="B828" s="214"/>
      <c r="C828" s="214"/>
      <c r="D828" s="214"/>
      <c r="E828" s="215"/>
    </row>
    <row r="829">
      <c r="A829" s="214"/>
      <c r="B829" s="214"/>
      <c r="C829" s="214"/>
      <c r="D829" s="214"/>
      <c r="E829" s="215"/>
    </row>
    <row r="830">
      <c r="A830" s="214"/>
      <c r="B830" s="214"/>
      <c r="C830" s="214"/>
      <c r="D830" s="214"/>
      <c r="E830" s="215"/>
    </row>
    <row r="831">
      <c r="A831" s="214"/>
      <c r="B831" s="214"/>
      <c r="C831" s="214"/>
      <c r="D831" s="214"/>
      <c r="E831" s="215"/>
    </row>
    <row r="832">
      <c r="A832" s="214"/>
      <c r="B832" s="214"/>
      <c r="C832" s="214"/>
      <c r="D832" s="214"/>
      <c r="E832" s="215"/>
    </row>
    <row r="833">
      <c r="A833" s="214"/>
      <c r="B833" s="214"/>
      <c r="C833" s="214"/>
      <c r="D833" s="214"/>
      <c r="E833" s="215"/>
    </row>
    <row r="834">
      <c r="A834" s="214"/>
      <c r="B834" s="214"/>
      <c r="C834" s="214"/>
      <c r="D834" s="214"/>
      <c r="E834" s="215"/>
    </row>
    <row r="835">
      <c r="A835" s="214"/>
      <c r="B835" s="214"/>
      <c r="C835" s="214"/>
      <c r="D835" s="214"/>
      <c r="E835" s="215"/>
    </row>
    <row r="836">
      <c r="A836" s="214"/>
      <c r="B836" s="214"/>
      <c r="C836" s="214"/>
      <c r="D836" s="214"/>
      <c r="E836" s="215"/>
    </row>
    <row r="837">
      <c r="A837" s="214"/>
      <c r="B837" s="214"/>
      <c r="C837" s="214"/>
      <c r="D837" s="214"/>
      <c r="E837" s="215"/>
    </row>
    <row r="838">
      <c r="A838" s="214"/>
      <c r="B838" s="214"/>
      <c r="C838" s="214"/>
      <c r="D838" s="214"/>
      <c r="E838" s="215"/>
    </row>
    <row r="839">
      <c r="A839" s="214"/>
      <c r="B839" s="214"/>
      <c r="C839" s="214"/>
      <c r="D839" s="214"/>
      <c r="E839" s="215"/>
    </row>
    <row r="840">
      <c r="A840" s="214"/>
      <c r="B840" s="214"/>
      <c r="C840" s="214"/>
      <c r="D840" s="214"/>
      <c r="E840" s="215"/>
    </row>
    <row r="841">
      <c r="A841" s="214"/>
      <c r="B841" s="214"/>
      <c r="C841" s="214"/>
      <c r="D841" s="214"/>
      <c r="E841" s="215"/>
    </row>
    <row r="842">
      <c r="A842" s="214"/>
      <c r="B842" s="214"/>
      <c r="C842" s="214"/>
      <c r="D842" s="214"/>
      <c r="E842" s="215"/>
    </row>
    <row r="843">
      <c r="A843" s="214"/>
      <c r="B843" s="214"/>
      <c r="C843" s="214"/>
      <c r="D843" s="214"/>
      <c r="E843" s="215"/>
    </row>
    <row r="844">
      <c r="A844" s="214"/>
      <c r="B844" s="214"/>
      <c r="C844" s="214"/>
      <c r="D844" s="214"/>
      <c r="E844" s="215"/>
    </row>
    <row r="845">
      <c r="A845" s="214"/>
      <c r="B845" s="214"/>
      <c r="C845" s="214"/>
      <c r="D845" s="214"/>
      <c r="E845" s="215"/>
    </row>
    <row r="846">
      <c r="A846" s="214"/>
      <c r="B846" s="214"/>
      <c r="C846" s="214"/>
      <c r="D846" s="214"/>
      <c r="E846" s="215"/>
    </row>
    <row r="847">
      <c r="A847" s="214"/>
      <c r="B847" s="214"/>
      <c r="C847" s="214"/>
      <c r="D847" s="214"/>
      <c r="E847" s="215"/>
    </row>
    <row r="848">
      <c r="A848" s="214"/>
      <c r="B848" s="214"/>
      <c r="C848" s="214"/>
      <c r="D848" s="214"/>
      <c r="E848" s="215"/>
    </row>
    <row r="849">
      <c r="A849" s="214"/>
      <c r="B849" s="214"/>
      <c r="C849" s="214"/>
      <c r="D849" s="214"/>
      <c r="E849" s="215"/>
    </row>
    <row r="850">
      <c r="A850" s="214"/>
      <c r="B850" s="214"/>
      <c r="C850" s="214"/>
      <c r="D850" s="214"/>
      <c r="E850" s="215"/>
    </row>
    <row r="851">
      <c r="A851" s="214"/>
      <c r="B851" s="214"/>
      <c r="C851" s="214"/>
      <c r="D851" s="214"/>
      <c r="E851" s="215"/>
    </row>
    <row r="852">
      <c r="A852" s="214"/>
      <c r="B852" s="214"/>
      <c r="C852" s="214"/>
      <c r="D852" s="214"/>
      <c r="E852" s="215"/>
    </row>
    <row r="853">
      <c r="A853" s="214"/>
      <c r="B853" s="214"/>
      <c r="C853" s="214"/>
      <c r="D853" s="214"/>
      <c r="E853" s="215"/>
    </row>
    <row r="854">
      <c r="A854" s="214"/>
      <c r="B854" s="214"/>
      <c r="C854" s="214"/>
      <c r="D854" s="214"/>
      <c r="E854" s="215"/>
    </row>
    <row r="855">
      <c r="A855" s="214"/>
      <c r="B855" s="214"/>
      <c r="C855" s="214"/>
      <c r="D855" s="214"/>
      <c r="E855" s="215"/>
    </row>
    <row r="856">
      <c r="A856" s="214"/>
      <c r="B856" s="214"/>
      <c r="C856" s="214"/>
      <c r="D856" s="214"/>
      <c r="E856" s="215"/>
    </row>
    <row r="857">
      <c r="A857" s="214"/>
      <c r="B857" s="214"/>
      <c r="C857" s="214"/>
      <c r="D857" s="214"/>
      <c r="E857" s="215"/>
    </row>
    <row r="858">
      <c r="A858" s="214"/>
      <c r="B858" s="214"/>
      <c r="C858" s="214"/>
      <c r="D858" s="214"/>
      <c r="E858" s="215"/>
    </row>
    <row r="859">
      <c r="A859" s="214"/>
      <c r="B859" s="214"/>
      <c r="C859" s="214"/>
      <c r="D859" s="214"/>
      <c r="E859" s="215"/>
    </row>
    <row r="860">
      <c r="A860" s="214"/>
      <c r="B860" s="214"/>
      <c r="C860" s="214"/>
      <c r="D860" s="214"/>
      <c r="E860" s="215"/>
    </row>
    <row r="861">
      <c r="A861" s="214"/>
      <c r="B861" s="214"/>
      <c r="C861" s="214"/>
      <c r="D861" s="214"/>
      <c r="E861" s="215"/>
    </row>
    <row r="862">
      <c r="A862" s="214"/>
      <c r="B862" s="214"/>
      <c r="C862" s="214"/>
      <c r="D862" s="214"/>
      <c r="E862" s="215"/>
    </row>
    <row r="863">
      <c r="A863" s="214"/>
      <c r="B863" s="214"/>
      <c r="C863" s="214"/>
      <c r="D863" s="214"/>
      <c r="E863" s="215"/>
    </row>
    <row r="864">
      <c r="A864" s="214"/>
      <c r="B864" s="214"/>
      <c r="C864" s="214"/>
      <c r="D864" s="214"/>
      <c r="E864" s="215"/>
    </row>
    <row r="865">
      <c r="A865" s="214"/>
      <c r="B865" s="214"/>
      <c r="C865" s="214"/>
      <c r="D865" s="214"/>
      <c r="E865" s="215"/>
    </row>
    <row r="866">
      <c r="A866" s="214"/>
      <c r="B866" s="214"/>
      <c r="C866" s="214"/>
      <c r="D866" s="214"/>
      <c r="E866" s="215"/>
    </row>
    <row r="867">
      <c r="A867" s="214"/>
      <c r="B867" s="214"/>
      <c r="C867" s="214"/>
      <c r="D867" s="214"/>
      <c r="E867" s="215"/>
    </row>
    <row r="868">
      <c r="A868" s="214"/>
      <c r="B868" s="214"/>
      <c r="C868" s="214"/>
      <c r="D868" s="214"/>
      <c r="E868" s="215"/>
    </row>
    <row r="869">
      <c r="A869" s="214"/>
      <c r="B869" s="214"/>
      <c r="C869" s="214"/>
      <c r="D869" s="214"/>
      <c r="E869" s="215"/>
    </row>
    <row r="870">
      <c r="A870" s="214"/>
      <c r="B870" s="214"/>
      <c r="C870" s="214"/>
      <c r="D870" s="214"/>
      <c r="E870" s="215"/>
    </row>
    <row r="871">
      <c r="A871" s="214"/>
      <c r="B871" s="214"/>
      <c r="C871" s="214"/>
      <c r="D871" s="214"/>
      <c r="E871" s="215"/>
    </row>
    <row r="872">
      <c r="A872" s="214"/>
      <c r="B872" s="214"/>
      <c r="C872" s="214"/>
      <c r="D872" s="214"/>
      <c r="E872" s="215"/>
    </row>
    <row r="873">
      <c r="A873" s="214"/>
      <c r="B873" s="214"/>
      <c r="C873" s="214"/>
      <c r="D873" s="214"/>
      <c r="E873" s="215"/>
    </row>
    <row r="874">
      <c r="A874" s="214"/>
      <c r="B874" s="214"/>
      <c r="C874" s="214"/>
      <c r="D874" s="214"/>
      <c r="E874" s="215"/>
    </row>
    <row r="875">
      <c r="A875" s="214"/>
      <c r="B875" s="214"/>
      <c r="C875" s="214"/>
      <c r="D875" s="214"/>
      <c r="E875" s="215"/>
    </row>
    <row r="876">
      <c r="A876" s="214"/>
      <c r="B876" s="214"/>
      <c r="C876" s="214"/>
      <c r="D876" s="214"/>
      <c r="E876" s="215"/>
    </row>
    <row r="877">
      <c r="A877" s="214"/>
      <c r="B877" s="214"/>
      <c r="C877" s="214"/>
      <c r="D877" s="214"/>
      <c r="E877" s="215"/>
    </row>
    <row r="878">
      <c r="A878" s="214"/>
      <c r="B878" s="214"/>
      <c r="C878" s="214"/>
      <c r="D878" s="214"/>
      <c r="E878" s="215"/>
    </row>
    <row r="879">
      <c r="A879" s="214"/>
      <c r="B879" s="214"/>
      <c r="C879" s="214"/>
      <c r="D879" s="214"/>
      <c r="E879" s="215"/>
    </row>
    <row r="880">
      <c r="A880" s="214"/>
      <c r="B880" s="214"/>
      <c r="C880" s="214"/>
      <c r="D880" s="214"/>
      <c r="E880" s="215"/>
    </row>
    <row r="881">
      <c r="A881" s="214"/>
      <c r="B881" s="214"/>
      <c r="C881" s="214"/>
      <c r="D881" s="214"/>
      <c r="E881" s="215"/>
    </row>
    <row r="882">
      <c r="A882" s="214"/>
      <c r="B882" s="214"/>
      <c r="C882" s="214"/>
      <c r="D882" s="214"/>
      <c r="E882" s="215"/>
    </row>
    <row r="883">
      <c r="A883" s="214"/>
      <c r="B883" s="214"/>
      <c r="C883" s="214"/>
      <c r="D883" s="214"/>
      <c r="E883" s="215"/>
    </row>
    <row r="884">
      <c r="A884" s="214"/>
      <c r="B884" s="214"/>
      <c r="C884" s="214"/>
      <c r="D884" s="214"/>
      <c r="E884" s="215"/>
    </row>
    <row r="885">
      <c r="A885" s="214"/>
      <c r="B885" s="214"/>
      <c r="C885" s="214"/>
      <c r="D885" s="214"/>
      <c r="E885" s="215"/>
    </row>
    <row r="886">
      <c r="A886" s="214"/>
      <c r="B886" s="214"/>
      <c r="C886" s="214"/>
      <c r="D886" s="214"/>
      <c r="E886" s="215"/>
    </row>
    <row r="887">
      <c r="A887" s="214"/>
      <c r="B887" s="214"/>
      <c r="C887" s="214"/>
      <c r="D887" s="214"/>
      <c r="E887" s="215"/>
    </row>
    <row r="888">
      <c r="A888" s="214"/>
      <c r="B888" s="214"/>
      <c r="C888" s="214"/>
      <c r="D888" s="214"/>
      <c r="E888" s="215"/>
    </row>
    <row r="889">
      <c r="A889" s="214"/>
      <c r="B889" s="214"/>
      <c r="C889" s="214"/>
      <c r="D889" s="214"/>
      <c r="E889" s="215"/>
    </row>
    <row r="890">
      <c r="A890" s="214"/>
      <c r="B890" s="214"/>
      <c r="C890" s="214"/>
      <c r="D890" s="214"/>
      <c r="E890" s="215"/>
    </row>
    <row r="891">
      <c r="A891" s="214"/>
      <c r="B891" s="214"/>
      <c r="C891" s="214"/>
      <c r="D891" s="214"/>
      <c r="E891" s="215"/>
    </row>
    <row r="892">
      <c r="A892" s="214"/>
      <c r="B892" s="214"/>
      <c r="C892" s="214"/>
      <c r="D892" s="214"/>
      <c r="E892" s="215"/>
    </row>
    <row r="893">
      <c r="A893" s="214"/>
      <c r="B893" s="214"/>
      <c r="C893" s="214"/>
      <c r="D893" s="214"/>
      <c r="E893" s="215"/>
    </row>
    <row r="894">
      <c r="A894" s="214"/>
      <c r="B894" s="214"/>
      <c r="C894" s="214"/>
      <c r="D894" s="214"/>
      <c r="E894" s="215"/>
    </row>
    <row r="895">
      <c r="A895" s="214"/>
      <c r="B895" s="214"/>
      <c r="C895" s="214"/>
      <c r="D895" s="214"/>
      <c r="E895" s="215"/>
    </row>
    <row r="896">
      <c r="A896" s="214"/>
      <c r="B896" s="214"/>
      <c r="C896" s="214"/>
      <c r="D896" s="214"/>
      <c r="E896" s="215"/>
    </row>
    <row r="897">
      <c r="A897" s="214"/>
      <c r="B897" s="214"/>
      <c r="C897" s="214"/>
      <c r="D897" s="214"/>
      <c r="E897" s="215"/>
    </row>
    <row r="898">
      <c r="A898" s="214"/>
      <c r="B898" s="214"/>
      <c r="C898" s="214"/>
      <c r="D898" s="214"/>
      <c r="E898" s="215"/>
    </row>
    <row r="899">
      <c r="A899" s="214"/>
      <c r="B899" s="214"/>
      <c r="C899" s="214"/>
      <c r="D899" s="214"/>
      <c r="E899" s="215"/>
    </row>
    <row r="900">
      <c r="A900" s="214"/>
      <c r="B900" s="214"/>
      <c r="C900" s="214"/>
      <c r="D900" s="214"/>
      <c r="E900" s="215"/>
    </row>
    <row r="901">
      <c r="A901" s="214"/>
      <c r="B901" s="214"/>
      <c r="C901" s="214"/>
      <c r="D901" s="214"/>
      <c r="E901" s="215"/>
    </row>
    <row r="902">
      <c r="A902" s="214"/>
      <c r="B902" s="214"/>
      <c r="C902" s="214"/>
      <c r="D902" s="214"/>
      <c r="E902" s="215"/>
    </row>
    <row r="903">
      <c r="A903" s="214"/>
      <c r="B903" s="214"/>
      <c r="C903" s="214"/>
      <c r="D903" s="214"/>
      <c r="E903" s="215"/>
    </row>
    <row r="904">
      <c r="A904" s="214"/>
      <c r="B904" s="214"/>
      <c r="C904" s="214"/>
      <c r="D904" s="214"/>
      <c r="E904" s="215"/>
    </row>
    <row r="905">
      <c r="A905" s="214"/>
      <c r="B905" s="214"/>
      <c r="C905" s="214"/>
      <c r="D905" s="214"/>
      <c r="E905" s="215"/>
    </row>
    <row r="906">
      <c r="A906" s="214"/>
      <c r="B906" s="214"/>
      <c r="C906" s="214"/>
      <c r="D906" s="214"/>
      <c r="E906" s="215"/>
    </row>
    <row r="907">
      <c r="A907" s="214"/>
      <c r="B907" s="214"/>
      <c r="C907" s="214"/>
      <c r="D907" s="214"/>
      <c r="E907" s="215"/>
    </row>
    <row r="908">
      <c r="A908" s="214"/>
      <c r="B908" s="214"/>
      <c r="C908" s="214"/>
      <c r="D908" s="214"/>
      <c r="E908" s="215"/>
    </row>
    <row r="909">
      <c r="A909" s="214"/>
      <c r="B909" s="214"/>
      <c r="C909" s="214"/>
      <c r="D909" s="214"/>
      <c r="E909" s="215"/>
    </row>
    <row r="910">
      <c r="A910" s="214"/>
      <c r="B910" s="214"/>
      <c r="C910" s="214"/>
      <c r="D910" s="214"/>
      <c r="E910" s="215"/>
    </row>
    <row r="911">
      <c r="A911" s="214"/>
      <c r="B911" s="214"/>
      <c r="C911" s="214"/>
      <c r="D911" s="214"/>
      <c r="E911" s="215"/>
    </row>
    <row r="912">
      <c r="A912" s="214"/>
      <c r="B912" s="214"/>
      <c r="C912" s="214"/>
      <c r="D912" s="214"/>
      <c r="E912" s="215"/>
    </row>
    <row r="913">
      <c r="A913" s="214"/>
      <c r="B913" s="214"/>
      <c r="C913" s="214"/>
      <c r="D913" s="214"/>
      <c r="E913" s="215"/>
    </row>
    <row r="914">
      <c r="A914" s="214"/>
      <c r="B914" s="214"/>
      <c r="C914" s="214"/>
      <c r="D914" s="214"/>
      <c r="E914" s="215"/>
    </row>
    <row r="915">
      <c r="A915" s="214"/>
      <c r="B915" s="214"/>
      <c r="C915" s="214"/>
      <c r="D915" s="214"/>
      <c r="E915" s="215"/>
    </row>
    <row r="916">
      <c r="A916" s="214"/>
      <c r="B916" s="214"/>
      <c r="C916" s="214"/>
      <c r="D916" s="214"/>
      <c r="E916" s="215"/>
    </row>
    <row r="917">
      <c r="A917" s="214"/>
      <c r="B917" s="214"/>
      <c r="C917" s="214"/>
      <c r="D917" s="214"/>
      <c r="E917" s="215"/>
    </row>
    <row r="918">
      <c r="A918" s="214"/>
      <c r="B918" s="214"/>
      <c r="C918" s="214"/>
      <c r="D918" s="214"/>
      <c r="E918" s="215"/>
    </row>
    <row r="919">
      <c r="A919" s="214"/>
      <c r="B919" s="214"/>
      <c r="C919" s="214"/>
      <c r="D919" s="214"/>
      <c r="E919" s="215"/>
    </row>
    <row r="920">
      <c r="A920" s="214"/>
      <c r="B920" s="214"/>
      <c r="C920" s="214"/>
      <c r="D920" s="214"/>
      <c r="E920" s="215"/>
    </row>
    <row r="921">
      <c r="A921" s="214"/>
      <c r="B921" s="214"/>
      <c r="C921" s="214"/>
      <c r="D921" s="214"/>
      <c r="E921" s="215"/>
    </row>
    <row r="922">
      <c r="A922" s="214"/>
      <c r="B922" s="214"/>
      <c r="C922" s="214"/>
      <c r="D922" s="214"/>
      <c r="E922" s="215"/>
    </row>
    <row r="923">
      <c r="A923" s="214"/>
      <c r="B923" s="214"/>
      <c r="C923" s="214"/>
      <c r="D923" s="214"/>
      <c r="E923" s="215"/>
    </row>
    <row r="924">
      <c r="A924" s="214"/>
      <c r="B924" s="214"/>
      <c r="C924" s="214"/>
      <c r="D924" s="214"/>
      <c r="E924" s="215"/>
    </row>
    <row r="925">
      <c r="A925" s="214"/>
      <c r="B925" s="214"/>
      <c r="C925" s="214"/>
      <c r="D925" s="214"/>
      <c r="E925" s="215"/>
    </row>
    <row r="926">
      <c r="A926" s="214"/>
      <c r="B926" s="214"/>
      <c r="C926" s="214"/>
      <c r="D926" s="214"/>
      <c r="E926" s="215"/>
    </row>
    <row r="927">
      <c r="A927" s="214"/>
      <c r="B927" s="214"/>
      <c r="C927" s="214"/>
      <c r="D927" s="214"/>
      <c r="E927" s="215"/>
    </row>
    <row r="928">
      <c r="A928" s="214"/>
      <c r="B928" s="214"/>
      <c r="C928" s="214"/>
      <c r="D928" s="214"/>
      <c r="E928" s="215"/>
    </row>
    <row r="929">
      <c r="A929" s="214"/>
      <c r="B929" s="214"/>
      <c r="C929" s="214"/>
      <c r="D929" s="214"/>
      <c r="E929" s="215"/>
    </row>
    <row r="930">
      <c r="A930" s="214"/>
      <c r="B930" s="214"/>
      <c r="C930" s="214"/>
      <c r="D930" s="214"/>
      <c r="E930" s="215"/>
    </row>
    <row r="931">
      <c r="A931" s="214"/>
      <c r="B931" s="214"/>
      <c r="C931" s="214"/>
      <c r="D931" s="214"/>
      <c r="E931" s="215"/>
    </row>
    <row r="932">
      <c r="A932" s="214"/>
      <c r="B932" s="214"/>
      <c r="C932" s="214"/>
      <c r="D932" s="214"/>
      <c r="E932" s="215"/>
    </row>
    <row r="933">
      <c r="A933" s="214"/>
      <c r="B933" s="214"/>
      <c r="C933" s="214"/>
      <c r="D933" s="214"/>
      <c r="E933" s="215"/>
    </row>
    <row r="934">
      <c r="A934" s="214"/>
      <c r="B934" s="214"/>
      <c r="C934" s="214"/>
      <c r="D934" s="214"/>
      <c r="E934" s="215"/>
    </row>
    <row r="935">
      <c r="A935" s="214"/>
      <c r="B935" s="214"/>
      <c r="C935" s="214"/>
      <c r="D935" s="214"/>
      <c r="E935" s="215"/>
    </row>
    <row r="936">
      <c r="A936" s="214"/>
      <c r="B936" s="214"/>
      <c r="C936" s="214"/>
      <c r="D936" s="214"/>
      <c r="E936" s="215"/>
    </row>
    <row r="937">
      <c r="A937" s="214"/>
      <c r="B937" s="214"/>
      <c r="C937" s="214"/>
      <c r="D937" s="214"/>
      <c r="E937" s="215"/>
    </row>
    <row r="938">
      <c r="A938" s="214"/>
      <c r="B938" s="214"/>
      <c r="C938" s="214"/>
      <c r="D938" s="214"/>
      <c r="E938" s="215"/>
    </row>
    <row r="939">
      <c r="A939" s="214"/>
      <c r="B939" s="214"/>
      <c r="C939" s="214"/>
      <c r="D939" s="214"/>
      <c r="E939" s="215"/>
    </row>
    <row r="940">
      <c r="A940" s="214"/>
      <c r="B940" s="214"/>
      <c r="C940" s="214"/>
      <c r="D940" s="214"/>
      <c r="E940" s="215"/>
    </row>
    <row r="941">
      <c r="A941" s="214"/>
      <c r="B941" s="214"/>
      <c r="C941" s="214"/>
      <c r="D941" s="214"/>
      <c r="E941" s="215"/>
    </row>
    <row r="942">
      <c r="A942" s="214"/>
      <c r="B942" s="214"/>
      <c r="C942" s="214"/>
      <c r="D942" s="214"/>
      <c r="E942" s="215"/>
    </row>
    <row r="943">
      <c r="A943" s="214"/>
      <c r="B943" s="214"/>
      <c r="C943" s="214"/>
      <c r="D943" s="214"/>
      <c r="E943" s="215"/>
    </row>
    <row r="944">
      <c r="A944" s="214"/>
      <c r="B944" s="214"/>
      <c r="C944" s="214"/>
      <c r="D944" s="214"/>
      <c r="E944" s="215"/>
    </row>
    <row r="945">
      <c r="A945" s="214"/>
      <c r="B945" s="214"/>
      <c r="C945" s="214"/>
      <c r="D945" s="214"/>
      <c r="E945" s="215"/>
    </row>
    <row r="946">
      <c r="A946" s="214"/>
      <c r="B946" s="214"/>
      <c r="C946" s="214"/>
      <c r="D946" s="214"/>
      <c r="E946" s="215"/>
    </row>
    <row r="947">
      <c r="A947" s="214"/>
      <c r="B947" s="214"/>
      <c r="C947" s="214"/>
      <c r="D947" s="214"/>
      <c r="E947" s="215"/>
    </row>
    <row r="948">
      <c r="A948" s="214"/>
      <c r="B948" s="214"/>
      <c r="C948" s="214"/>
      <c r="D948" s="214"/>
      <c r="E948" s="215"/>
    </row>
    <row r="949">
      <c r="A949" s="214"/>
      <c r="B949" s="214"/>
      <c r="C949" s="214"/>
      <c r="D949" s="214"/>
      <c r="E949" s="215"/>
    </row>
    <row r="950">
      <c r="A950" s="214"/>
      <c r="B950" s="214"/>
      <c r="C950" s="214"/>
      <c r="D950" s="214"/>
      <c r="E950" s="215"/>
    </row>
    <row r="951">
      <c r="A951" s="214"/>
      <c r="B951" s="214"/>
      <c r="C951" s="214"/>
      <c r="D951" s="214"/>
      <c r="E951" s="215"/>
    </row>
    <row r="952">
      <c r="A952" s="214"/>
      <c r="B952" s="214"/>
      <c r="C952" s="214"/>
      <c r="D952" s="214"/>
      <c r="E952" s="215"/>
    </row>
    <row r="953">
      <c r="A953" s="214"/>
      <c r="B953" s="214"/>
      <c r="C953" s="214"/>
      <c r="D953" s="214"/>
      <c r="E953" s="215"/>
    </row>
    <row r="954">
      <c r="A954" s="214"/>
      <c r="B954" s="214"/>
      <c r="C954" s="214"/>
      <c r="D954" s="214"/>
      <c r="E954" s="215"/>
    </row>
    <row r="955">
      <c r="A955" s="214"/>
      <c r="B955" s="214"/>
      <c r="C955" s="214"/>
      <c r="D955" s="214"/>
      <c r="E955" s="215"/>
    </row>
    <row r="956">
      <c r="A956" s="214"/>
      <c r="B956" s="214"/>
      <c r="C956" s="214"/>
      <c r="D956" s="214"/>
      <c r="E956" s="215"/>
    </row>
    <row r="957">
      <c r="A957" s="214"/>
      <c r="B957" s="214"/>
      <c r="C957" s="214"/>
      <c r="D957" s="214"/>
      <c r="E957" s="215"/>
    </row>
    <row r="958">
      <c r="A958" s="214"/>
      <c r="B958" s="214"/>
      <c r="C958" s="214"/>
      <c r="D958" s="214"/>
      <c r="E958" s="215"/>
    </row>
    <row r="959">
      <c r="A959" s="214"/>
      <c r="B959" s="214"/>
      <c r="C959" s="214"/>
      <c r="D959" s="214"/>
      <c r="E959" s="215"/>
    </row>
    <row r="960">
      <c r="A960" s="214"/>
      <c r="B960" s="214"/>
      <c r="C960" s="214"/>
      <c r="D960" s="214"/>
      <c r="E960" s="215"/>
    </row>
    <row r="961">
      <c r="A961" s="214"/>
      <c r="B961" s="214"/>
      <c r="C961" s="214"/>
      <c r="D961" s="214"/>
      <c r="E961" s="215"/>
    </row>
    <row r="962">
      <c r="A962" s="214"/>
      <c r="B962" s="214"/>
      <c r="C962" s="214"/>
      <c r="D962" s="214"/>
      <c r="E962" s="215"/>
    </row>
    <row r="963">
      <c r="A963" s="214"/>
      <c r="B963" s="214"/>
      <c r="C963" s="214"/>
      <c r="D963" s="214"/>
      <c r="E963" s="215"/>
    </row>
    <row r="964">
      <c r="A964" s="214"/>
      <c r="B964" s="214"/>
      <c r="C964" s="214"/>
      <c r="D964" s="214"/>
      <c r="E964" s="215"/>
    </row>
    <row r="965">
      <c r="A965" s="214"/>
      <c r="B965" s="214"/>
      <c r="C965" s="214"/>
      <c r="D965" s="214"/>
      <c r="E965" s="215"/>
    </row>
    <row r="966">
      <c r="A966" s="214"/>
      <c r="B966" s="214"/>
      <c r="C966" s="214"/>
      <c r="D966" s="214"/>
      <c r="E966" s="215"/>
    </row>
    <row r="967">
      <c r="A967" s="214"/>
      <c r="B967" s="214"/>
      <c r="C967" s="214"/>
      <c r="D967" s="214"/>
      <c r="E967" s="215"/>
    </row>
    <row r="968">
      <c r="A968" s="214"/>
      <c r="B968" s="214"/>
      <c r="C968" s="214"/>
      <c r="D968" s="214"/>
      <c r="E968" s="215"/>
    </row>
    <row r="969">
      <c r="A969" s="214"/>
      <c r="B969" s="214"/>
      <c r="C969" s="214"/>
      <c r="D969" s="214"/>
      <c r="E969" s="215"/>
    </row>
    <row r="970">
      <c r="A970" s="214"/>
      <c r="B970" s="214"/>
      <c r="C970" s="214"/>
      <c r="D970" s="214"/>
      <c r="E970" s="215"/>
    </row>
    <row r="971">
      <c r="A971" s="214"/>
      <c r="B971" s="214"/>
      <c r="C971" s="214"/>
      <c r="D971" s="214"/>
      <c r="E971" s="215"/>
    </row>
    <row r="972">
      <c r="A972" s="214"/>
      <c r="B972" s="214"/>
      <c r="C972" s="214"/>
      <c r="D972" s="214"/>
      <c r="E972" s="215"/>
    </row>
    <row r="973">
      <c r="A973" s="214"/>
      <c r="B973" s="214"/>
      <c r="C973" s="214"/>
      <c r="D973" s="214"/>
      <c r="E973" s="215"/>
    </row>
    <row r="974">
      <c r="A974" s="214"/>
      <c r="B974" s="214"/>
      <c r="C974" s="214"/>
      <c r="D974" s="214"/>
      <c r="E974" s="215"/>
    </row>
    <row r="975">
      <c r="A975" s="214"/>
      <c r="B975" s="214"/>
      <c r="C975" s="214"/>
      <c r="D975" s="214"/>
      <c r="E975" s="215"/>
    </row>
    <row r="976">
      <c r="A976" s="214"/>
      <c r="B976" s="214"/>
      <c r="C976" s="214"/>
      <c r="D976" s="214"/>
      <c r="E976" s="215"/>
    </row>
    <row r="977">
      <c r="A977" s="214"/>
      <c r="B977" s="214"/>
      <c r="C977" s="214"/>
      <c r="D977" s="214"/>
      <c r="E977" s="215"/>
    </row>
    <row r="978">
      <c r="A978" s="214"/>
      <c r="B978" s="214"/>
      <c r="C978" s="214"/>
      <c r="D978" s="214"/>
      <c r="E978" s="215"/>
    </row>
    <row r="979">
      <c r="A979" s="214"/>
      <c r="B979" s="214"/>
      <c r="C979" s="214"/>
      <c r="D979" s="214"/>
      <c r="E979" s="215"/>
    </row>
    <row r="980">
      <c r="A980" s="214"/>
      <c r="B980" s="214"/>
      <c r="C980" s="214"/>
      <c r="D980" s="214"/>
      <c r="E980" s="215"/>
    </row>
    <row r="981">
      <c r="A981" s="214"/>
      <c r="B981" s="214"/>
      <c r="C981" s="214"/>
      <c r="D981" s="214"/>
      <c r="E981" s="215"/>
    </row>
    <row r="982">
      <c r="A982" s="214"/>
      <c r="B982" s="214"/>
      <c r="C982" s="214"/>
      <c r="D982" s="214"/>
      <c r="E982" s="215"/>
    </row>
    <row r="983">
      <c r="A983" s="214"/>
      <c r="B983" s="214"/>
      <c r="C983" s="214"/>
      <c r="D983" s="214"/>
      <c r="E983" s="215"/>
    </row>
    <row r="984">
      <c r="A984" s="214"/>
      <c r="B984" s="214"/>
      <c r="C984" s="214"/>
      <c r="D984" s="214"/>
      <c r="E984" s="215"/>
    </row>
    <row r="985">
      <c r="A985" s="214"/>
      <c r="B985" s="214"/>
      <c r="C985" s="214"/>
      <c r="D985" s="214"/>
      <c r="E985" s="215"/>
    </row>
    <row r="986">
      <c r="A986" s="214"/>
      <c r="B986" s="214"/>
      <c r="C986" s="214"/>
      <c r="D986" s="214"/>
      <c r="E986" s="215"/>
    </row>
    <row r="987">
      <c r="A987" s="214"/>
      <c r="B987" s="214"/>
      <c r="C987" s="214"/>
      <c r="D987" s="214"/>
      <c r="E987" s="215"/>
    </row>
    <row r="988">
      <c r="A988" s="214"/>
      <c r="B988" s="214"/>
      <c r="C988" s="214"/>
      <c r="D988" s="214"/>
      <c r="E988" s="215"/>
    </row>
    <row r="989">
      <c r="A989" s="214"/>
      <c r="B989" s="214"/>
      <c r="C989" s="214"/>
      <c r="D989" s="214"/>
      <c r="E989" s="215"/>
    </row>
    <row r="990">
      <c r="A990" s="214"/>
      <c r="B990" s="214"/>
      <c r="C990" s="214"/>
      <c r="D990" s="214"/>
      <c r="E990" s="215"/>
    </row>
    <row r="991">
      <c r="A991" s="214"/>
      <c r="B991" s="214"/>
      <c r="C991" s="214"/>
      <c r="D991" s="214"/>
      <c r="E991" s="215"/>
    </row>
    <row r="992">
      <c r="A992" s="214"/>
      <c r="B992" s="214"/>
      <c r="C992" s="214"/>
      <c r="D992" s="214"/>
      <c r="E992" s="215"/>
    </row>
    <row r="993">
      <c r="A993" s="214"/>
      <c r="B993" s="214"/>
      <c r="C993" s="214"/>
      <c r="D993" s="214"/>
      <c r="E993" s="215"/>
    </row>
    <row r="994">
      <c r="A994" s="214"/>
      <c r="B994" s="214"/>
      <c r="C994" s="214"/>
      <c r="D994" s="214"/>
      <c r="E994" s="215"/>
    </row>
    <row r="995">
      <c r="A995" s="214"/>
      <c r="B995" s="214"/>
      <c r="C995" s="214"/>
      <c r="D995" s="214"/>
      <c r="E995" s="215"/>
    </row>
    <row r="996">
      <c r="A996" s="214"/>
      <c r="B996" s="214"/>
      <c r="C996" s="214"/>
      <c r="D996" s="214"/>
      <c r="E996" s="215"/>
    </row>
    <row r="997">
      <c r="A997" s="214"/>
      <c r="B997" s="214"/>
      <c r="C997" s="214"/>
      <c r="D997" s="214"/>
      <c r="E997" s="215"/>
    </row>
    <row r="998">
      <c r="A998" s="214"/>
      <c r="B998" s="214"/>
      <c r="C998" s="214"/>
      <c r="D998" s="214"/>
      <c r="E998" s="215"/>
    </row>
    <row r="999">
      <c r="A999" s="214"/>
      <c r="B999" s="214"/>
      <c r="C999" s="214"/>
      <c r="D999" s="214"/>
      <c r="E999" s="215"/>
    </row>
    <row r="1000">
      <c r="A1000" s="214"/>
      <c r="B1000" s="214"/>
      <c r="C1000" s="214"/>
      <c r="D1000" s="214"/>
      <c r="E1000" s="215"/>
    </row>
    <row r="1001">
      <c r="A1001" s="214"/>
      <c r="B1001" s="214"/>
      <c r="C1001" s="214"/>
      <c r="D1001" s="214"/>
      <c r="E1001" s="215"/>
    </row>
  </sheetData>
  <mergeCells count="1">
    <mergeCell ref="A1:E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9.0"/>
    <col customWidth="1" min="3" max="3" width="3.5"/>
    <col customWidth="1" min="4" max="4" width="24.25"/>
    <col customWidth="1" min="5" max="5" width="19.0"/>
    <col customWidth="1" min="6" max="6" width="3.25"/>
    <col customWidth="1" min="7" max="7" width="24.25"/>
    <col customWidth="1" min="8" max="8" width="19.0"/>
    <col customWidth="1" min="9" max="9" width="3.25"/>
    <col customWidth="1" min="10" max="10" width="24.25"/>
    <col customWidth="1" min="11" max="11" width="19.0"/>
    <col customWidth="1" min="12" max="12" width="2.13"/>
    <col customWidth="1" min="13" max="13" width="24.25"/>
    <col customWidth="1" min="14" max="14" width="6.13"/>
  </cols>
  <sheetData>
    <row r="1">
      <c r="A1" s="216" t="s">
        <v>46</v>
      </c>
      <c r="C1" s="217"/>
      <c r="D1" s="216" t="s">
        <v>108</v>
      </c>
      <c r="F1" s="217"/>
      <c r="G1" s="216" t="s">
        <v>48</v>
      </c>
      <c r="I1" s="217"/>
      <c r="J1" s="216" t="s">
        <v>107</v>
      </c>
      <c r="L1" s="218"/>
      <c r="M1" s="219" t="s">
        <v>113</v>
      </c>
      <c r="N1" s="203"/>
    </row>
    <row r="2">
      <c r="C2" s="217"/>
      <c r="F2" s="217"/>
      <c r="I2" s="217"/>
      <c r="L2" s="220"/>
      <c r="M2" s="184" t="s">
        <v>37</v>
      </c>
      <c r="N2" s="221" t="s">
        <v>114</v>
      </c>
    </row>
    <row r="3">
      <c r="C3" s="217"/>
      <c r="F3" s="222"/>
      <c r="I3" s="217"/>
      <c r="L3" s="223"/>
      <c r="M3" s="190" t="s">
        <v>26</v>
      </c>
      <c r="N3" s="224">
        <f t="shared" ref="N3:N33" si="1">Sum(B3,E3,H3,K3)</f>
        <v>1064</v>
      </c>
    </row>
    <row r="4">
      <c r="C4" s="217"/>
      <c r="F4" s="222"/>
      <c r="I4" s="217"/>
      <c r="L4" s="223"/>
      <c r="M4" s="190" t="s">
        <v>12</v>
      </c>
      <c r="N4" s="224">
        <f t="shared" si="1"/>
        <v>946</v>
      </c>
    </row>
    <row r="5">
      <c r="C5" s="217"/>
      <c r="F5" s="217"/>
      <c r="I5" s="217"/>
      <c r="L5" s="223"/>
      <c r="M5" s="190" t="s">
        <v>22</v>
      </c>
      <c r="N5" s="224">
        <f t="shared" si="1"/>
        <v>24</v>
      </c>
    </row>
    <row r="6">
      <c r="C6" s="217"/>
      <c r="F6" s="217"/>
      <c r="I6" s="217"/>
      <c r="L6" s="223"/>
      <c r="M6" s="190" t="s">
        <v>6</v>
      </c>
      <c r="N6" s="224">
        <f t="shared" si="1"/>
        <v>41</v>
      </c>
    </row>
    <row r="7">
      <c r="C7" s="217"/>
      <c r="F7" s="217"/>
      <c r="I7" s="217"/>
      <c r="L7" s="223"/>
      <c r="M7" s="190" t="s">
        <v>17</v>
      </c>
      <c r="N7" s="224">
        <f t="shared" si="1"/>
        <v>49</v>
      </c>
    </row>
    <row r="8">
      <c r="C8" s="217"/>
      <c r="F8" s="217"/>
      <c r="I8" s="217"/>
      <c r="L8" s="223"/>
      <c r="M8" s="190" t="s">
        <v>18</v>
      </c>
      <c r="N8" s="224">
        <f t="shared" si="1"/>
        <v>145</v>
      </c>
    </row>
    <row r="9">
      <c r="C9" s="217"/>
      <c r="F9" s="217"/>
      <c r="I9" s="217"/>
      <c r="L9" s="223"/>
      <c r="M9" s="190" t="s">
        <v>16</v>
      </c>
      <c r="N9" s="224">
        <f t="shared" si="1"/>
        <v>58</v>
      </c>
    </row>
    <row r="10">
      <c r="C10" s="217"/>
      <c r="F10" s="217"/>
      <c r="I10" s="217"/>
      <c r="L10" s="223"/>
      <c r="M10" s="190" t="s">
        <v>20</v>
      </c>
      <c r="N10" s="224">
        <f t="shared" si="1"/>
        <v>11</v>
      </c>
    </row>
    <row r="11">
      <c r="C11" s="217"/>
      <c r="F11" s="217"/>
      <c r="I11" s="217"/>
      <c r="L11" s="223"/>
      <c r="M11" s="190" t="s">
        <v>28</v>
      </c>
      <c r="N11" s="224">
        <f t="shared" si="1"/>
        <v>22</v>
      </c>
    </row>
    <row r="12">
      <c r="C12" s="217"/>
      <c r="F12" s="217"/>
      <c r="I12" s="217"/>
      <c r="L12" s="223"/>
      <c r="M12" s="190" t="s">
        <v>29</v>
      </c>
      <c r="N12" s="224">
        <f t="shared" si="1"/>
        <v>2</v>
      </c>
    </row>
    <row r="13">
      <c r="C13" s="217"/>
      <c r="F13" s="217"/>
      <c r="I13" s="217"/>
      <c r="L13" s="223"/>
      <c r="M13" s="190" t="s">
        <v>9</v>
      </c>
      <c r="N13" s="224">
        <f t="shared" si="1"/>
        <v>170</v>
      </c>
    </row>
    <row r="14">
      <c r="C14" s="217"/>
      <c r="F14" s="217"/>
      <c r="I14" s="217"/>
      <c r="L14" s="223"/>
      <c r="M14" s="190" t="s">
        <v>13</v>
      </c>
      <c r="N14" s="224">
        <f t="shared" si="1"/>
        <v>27</v>
      </c>
    </row>
    <row r="15">
      <c r="C15" s="217"/>
      <c r="F15" s="217"/>
      <c r="I15" s="217"/>
      <c r="L15" s="223"/>
      <c r="M15" s="190" t="s">
        <v>34</v>
      </c>
      <c r="N15" s="224">
        <f t="shared" si="1"/>
        <v>51</v>
      </c>
    </row>
    <row r="16">
      <c r="C16" s="217"/>
      <c r="F16" s="217"/>
      <c r="I16" s="217"/>
      <c r="L16" s="223"/>
      <c r="M16" s="190" t="s">
        <v>5</v>
      </c>
      <c r="N16" s="224">
        <f t="shared" si="1"/>
        <v>4</v>
      </c>
    </row>
    <row r="17">
      <c r="C17" s="217"/>
      <c r="F17" s="217"/>
      <c r="I17" s="217"/>
      <c r="L17" s="223"/>
      <c r="M17" s="190" t="s">
        <v>15</v>
      </c>
      <c r="N17" s="224">
        <f t="shared" si="1"/>
        <v>45</v>
      </c>
    </row>
    <row r="18">
      <c r="C18" s="217"/>
      <c r="F18" s="217"/>
      <c r="I18" s="217"/>
      <c r="L18" s="223"/>
      <c r="M18" s="190" t="s">
        <v>11</v>
      </c>
      <c r="N18" s="224">
        <f t="shared" si="1"/>
        <v>139</v>
      </c>
    </row>
    <row r="19">
      <c r="C19" s="217"/>
      <c r="F19" s="217"/>
      <c r="I19" s="217"/>
      <c r="L19" s="223"/>
      <c r="M19" s="190" t="s">
        <v>8</v>
      </c>
      <c r="N19" s="224">
        <f t="shared" si="1"/>
        <v>493</v>
      </c>
    </row>
    <row r="20">
      <c r="C20" s="217"/>
      <c r="F20" s="217"/>
      <c r="I20" s="217"/>
      <c r="L20" s="223"/>
      <c r="M20" s="190" t="s">
        <v>31</v>
      </c>
      <c r="N20" s="224">
        <f t="shared" si="1"/>
        <v>30</v>
      </c>
    </row>
    <row r="21">
      <c r="C21" s="217"/>
      <c r="F21" s="217"/>
      <c r="I21" s="217"/>
      <c r="L21" s="223"/>
      <c r="M21" s="190" t="s">
        <v>30</v>
      </c>
      <c r="N21" s="224">
        <f t="shared" si="1"/>
        <v>103</v>
      </c>
    </row>
    <row r="22">
      <c r="C22" s="217"/>
      <c r="F22" s="217"/>
      <c r="I22" s="217"/>
      <c r="L22" s="223"/>
      <c r="M22" s="190" t="s">
        <v>33</v>
      </c>
      <c r="N22" s="224">
        <f t="shared" si="1"/>
        <v>21</v>
      </c>
    </row>
    <row r="23">
      <c r="C23" s="217"/>
      <c r="F23" s="217"/>
      <c r="I23" s="217"/>
      <c r="L23" s="223"/>
      <c r="M23" s="190" t="s">
        <v>14</v>
      </c>
      <c r="N23" s="224">
        <f t="shared" si="1"/>
        <v>57</v>
      </c>
    </row>
    <row r="24">
      <c r="C24" s="217"/>
      <c r="F24" s="217"/>
      <c r="I24" s="217"/>
      <c r="L24" s="223"/>
      <c r="M24" s="190" t="s">
        <v>10</v>
      </c>
      <c r="N24" s="224">
        <f t="shared" si="1"/>
        <v>280</v>
      </c>
    </row>
    <row r="25">
      <c r="C25" s="217"/>
      <c r="F25" s="217"/>
      <c r="I25" s="217"/>
      <c r="L25" s="223"/>
      <c r="M25" s="190" t="s">
        <v>32</v>
      </c>
      <c r="N25" s="224">
        <f t="shared" si="1"/>
        <v>128</v>
      </c>
    </row>
    <row r="26">
      <c r="C26" s="217"/>
      <c r="F26" s="217"/>
      <c r="I26" s="217"/>
      <c r="L26" s="223"/>
      <c r="M26" s="190" t="s">
        <v>4</v>
      </c>
      <c r="N26" s="224">
        <f t="shared" si="1"/>
        <v>25</v>
      </c>
    </row>
    <row r="27">
      <c r="C27" s="217"/>
      <c r="F27" s="217"/>
      <c r="I27" s="217"/>
      <c r="L27" s="223"/>
      <c r="M27" s="190" t="s">
        <v>7</v>
      </c>
      <c r="N27" s="224">
        <f t="shared" si="1"/>
        <v>70</v>
      </c>
    </row>
    <row r="28">
      <c r="C28" s="217"/>
      <c r="F28" s="217"/>
      <c r="I28" s="217"/>
      <c r="L28" s="223"/>
      <c r="M28" s="190" t="s">
        <v>19</v>
      </c>
      <c r="N28" s="224">
        <f t="shared" si="1"/>
        <v>235</v>
      </c>
    </row>
    <row r="29">
      <c r="C29" s="217"/>
      <c r="F29" s="217"/>
      <c r="I29" s="217"/>
      <c r="L29" s="223"/>
      <c r="M29" s="190" t="s">
        <v>23</v>
      </c>
      <c r="N29" s="224">
        <f t="shared" si="1"/>
        <v>23</v>
      </c>
    </row>
    <row r="30">
      <c r="C30" s="217"/>
      <c r="F30" s="217"/>
      <c r="I30" s="217"/>
      <c r="L30" s="223"/>
      <c r="M30" s="190" t="s">
        <v>25</v>
      </c>
      <c r="N30" s="224">
        <f t="shared" si="1"/>
        <v>972</v>
      </c>
    </row>
    <row r="31">
      <c r="C31" s="217"/>
      <c r="F31" s="217"/>
      <c r="I31" s="217"/>
      <c r="L31" s="223"/>
      <c r="M31" s="190" t="s">
        <v>24</v>
      </c>
      <c r="N31" s="224">
        <f t="shared" si="1"/>
        <v>793</v>
      </c>
    </row>
    <row r="32">
      <c r="C32" s="217"/>
      <c r="F32" s="217"/>
      <c r="I32" s="217"/>
      <c r="L32" s="223"/>
      <c r="M32" s="190" t="s">
        <v>27</v>
      </c>
      <c r="N32" s="224">
        <f t="shared" si="1"/>
        <v>1759</v>
      </c>
    </row>
    <row r="33">
      <c r="C33" s="217"/>
      <c r="F33" s="217"/>
      <c r="I33" s="217"/>
      <c r="L33" s="223"/>
      <c r="M33" s="225" t="s">
        <v>21</v>
      </c>
      <c r="N33" s="227">
        <f t="shared" si="1"/>
        <v>55</v>
      </c>
    </row>
    <row r="34">
      <c r="A34" s="228"/>
      <c r="B34" s="229"/>
      <c r="C34" s="230"/>
      <c r="D34" s="228"/>
      <c r="E34" s="229"/>
      <c r="F34" s="230"/>
      <c r="G34" s="228"/>
      <c r="H34" s="229"/>
      <c r="I34" s="230"/>
      <c r="J34" s="228"/>
      <c r="K34" s="229"/>
      <c r="L34" s="231"/>
      <c r="M34" s="228"/>
      <c r="N34" s="232"/>
    </row>
    <row r="35">
      <c r="A35" s="233"/>
      <c r="B35" s="234"/>
      <c r="C35" s="217"/>
      <c r="D35" s="233"/>
      <c r="E35" s="234"/>
      <c r="F35" s="217"/>
      <c r="G35" s="233"/>
      <c r="H35" s="234"/>
      <c r="I35" s="217"/>
      <c r="J35" s="233"/>
      <c r="K35" s="234"/>
      <c r="L35" s="223"/>
      <c r="M35" s="233"/>
      <c r="N35" s="235"/>
    </row>
    <row r="36">
      <c r="A36" s="233"/>
      <c r="B36" s="234"/>
      <c r="C36" s="217"/>
      <c r="D36" s="233"/>
      <c r="E36" s="234"/>
      <c r="F36" s="217"/>
      <c r="G36" s="233"/>
      <c r="H36" s="234"/>
      <c r="I36" s="217"/>
      <c r="J36" s="233"/>
      <c r="K36" s="234"/>
      <c r="L36" s="223"/>
      <c r="M36" s="233"/>
      <c r="N36" s="235"/>
    </row>
    <row r="37">
      <c r="A37" s="233"/>
      <c r="B37" s="234"/>
      <c r="C37" s="217"/>
      <c r="D37" s="233"/>
      <c r="E37" s="234"/>
      <c r="F37" s="217"/>
      <c r="G37" s="233"/>
      <c r="H37" s="234"/>
      <c r="I37" s="217"/>
      <c r="J37" s="233"/>
      <c r="K37" s="234"/>
      <c r="L37" s="223"/>
      <c r="M37" s="233"/>
      <c r="N37" s="235"/>
    </row>
    <row r="38">
      <c r="A38" s="233"/>
      <c r="B38" s="234"/>
      <c r="C38" s="217"/>
      <c r="D38" s="233"/>
      <c r="E38" s="234"/>
      <c r="F38" s="217"/>
      <c r="G38" s="233"/>
      <c r="H38" s="234"/>
      <c r="I38" s="217"/>
      <c r="J38" s="233"/>
      <c r="K38" s="234"/>
      <c r="L38" s="223"/>
      <c r="M38" s="233"/>
      <c r="N38" s="235"/>
    </row>
    <row r="39">
      <c r="A39" s="233"/>
      <c r="B39" s="234"/>
      <c r="C39" s="217"/>
      <c r="D39" s="233"/>
      <c r="E39" s="234"/>
      <c r="F39" s="217"/>
      <c r="G39" s="233"/>
      <c r="H39" s="234"/>
      <c r="I39" s="217"/>
      <c r="J39" s="233"/>
      <c r="K39" s="234"/>
      <c r="L39" s="223"/>
      <c r="M39" s="233"/>
      <c r="N39" s="235"/>
    </row>
    <row r="40">
      <c r="A40" s="233"/>
      <c r="B40" s="234"/>
      <c r="C40" s="217"/>
      <c r="D40" s="233"/>
      <c r="E40" s="234"/>
      <c r="F40" s="217"/>
      <c r="G40" s="233"/>
      <c r="H40" s="234"/>
      <c r="I40" s="217"/>
      <c r="J40" s="233"/>
      <c r="K40" s="234"/>
      <c r="L40" s="223"/>
      <c r="M40" s="233"/>
      <c r="N40" s="235"/>
    </row>
    <row r="41">
      <c r="A41" s="233"/>
      <c r="B41" s="234"/>
      <c r="C41" s="217"/>
      <c r="D41" s="233"/>
      <c r="E41" s="234"/>
      <c r="F41" s="217"/>
      <c r="G41" s="233"/>
      <c r="H41" s="234"/>
      <c r="I41" s="217"/>
      <c r="J41" s="233"/>
      <c r="K41" s="234"/>
      <c r="L41" s="223"/>
      <c r="M41" s="233"/>
      <c r="N41" s="235"/>
    </row>
    <row r="42">
      <c r="A42" s="233"/>
      <c r="B42" s="234"/>
      <c r="C42" s="217"/>
      <c r="D42" s="233"/>
      <c r="E42" s="234"/>
      <c r="F42" s="217"/>
      <c r="G42" s="233"/>
      <c r="H42" s="234"/>
      <c r="I42" s="217"/>
      <c r="J42" s="233"/>
      <c r="K42" s="234"/>
      <c r="L42" s="223"/>
      <c r="M42" s="233"/>
      <c r="N42" s="235"/>
    </row>
    <row r="43">
      <c r="A43" s="233"/>
      <c r="B43" s="234"/>
      <c r="C43" s="217"/>
      <c r="D43" s="233"/>
      <c r="E43" s="234"/>
      <c r="F43" s="217"/>
      <c r="G43" s="233"/>
      <c r="H43" s="234"/>
      <c r="I43" s="217"/>
      <c r="J43" s="233"/>
      <c r="K43" s="234"/>
      <c r="L43" s="223"/>
      <c r="M43" s="233"/>
      <c r="N43" s="235"/>
    </row>
    <row r="44">
      <c r="A44" s="233"/>
      <c r="B44" s="234"/>
      <c r="C44" s="217"/>
      <c r="D44" s="233"/>
      <c r="E44" s="234"/>
      <c r="F44" s="217"/>
      <c r="G44" s="233"/>
      <c r="H44" s="234"/>
      <c r="I44" s="217"/>
      <c r="J44" s="233"/>
      <c r="K44" s="234"/>
      <c r="L44" s="223"/>
      <c r="M44" s="233"/>
      <c r="N44" s="235"/>
    </row>
    <row r="45">
      <c r="A45" s="233"/>
      <c r="B45" s="234"/>
      <c r="C45" s="217"/>
      <c r="D45" s="233"/>
      <c r="E45" s="234"/>
      <c r="F45" s="217"/>
      <c r="G45" s="233"/>
      <c r="H45" s="234"/>
      <c r="I45" s="217"/>
      <c r="J45" s="233"/>
      <c r="K45" s="234"/>
      <c r="L45" s="223"/>
      <c r="M45" s="233"/>
      <c r="N45" s="235"/>
    </row>
    <row r="46">
      <c r="A46" s="233"/>
      <c r="B46" s="234"/>
      <c r="C46" s="217"/>
      <c r="D46" s="233"/>
      <c r="E46" s="234"/>
      <c r="F46" s="217"/>
      <c r="G46" s="233"/>
      <c r="H46" s="234"/>
      <c r="I46" s="217"/>
      <c r="J46" s="233"/>
      <c r="K46" s="234"/>
      <c r="L46" s="223"/>
      <c r="M46" s="233"/>
      <c r="N46" s="235"/>
    </row>
    <row r="47">
      <c r="A47" s="233"/>
      <c r="B47" s="234"/>
      <c r="C47" s="217"/>
      <c r="D47" s="233"/>
      <c r="E47" s="234"/>
      <c r="F47" s="217"/>
      <c r="G47" s="233"/>
      <c r="H47" s="234"/>
      <c r="I47" s="217"/>
      <c r="J47" s="233"/>
      <c r="K47" s="234"/>
      <c r="L47" s="223"/>
      <c r="M47" s="233"/>
      <c r="N47" s="235"/>
    </row>
    <row r="48">
      <c r="A48" s="233"/>
      <c r="B48" s="234"/>
      <c r="C48" s="217"/>
      <c r="D48" s="233"/>
      <c r="E48" s="234"/>
      <c r="F48" s="217"/>
      <c r="G48" s="233"/>
      <c r="H48" s="234"/>
      <c r="I48" s="217"/>
      <c r="J48" s="233"/>
      <c r="K48" s="234"/>
      <c r="L48" s="223"/>
      <c r="M48" s="233"/>
      <c r="N48" s="235"/>
    </row>
    <row r="49">
      <c r="A49" s="233"/>
      <c r="B49" s="234"/>
      <c r="C49" s="217"/>
      <c r="D49" s="233"/>
      <c r="E49" s="234"/>
      <c r="F49" s="217"/>
      <c r="G49" s="233"/>
      <c r="H49" s="234"/>
      <c r="I49" s="217"/>
      <c r="J49" s="233"/>
      <c r="K49" s="234"/>
      <c r="L49" s="223"/>
      <c r="M49" s="233"/>
      <c r="N49" s="235"/>
    </row>
    <row r="50">
      <c r="A50" s="233"/>
      <c r="B50" s="234"/>
      <c r="C50" s="217"/>
      <c r="D50" s="233"/>
      <c r="E50" s="234"/>
      <c r="F50" s="217"/>
      <c r="G50" s="233"/>
      <c r="H50" s="234"/>
      <c r="I50" s="217"/>
      <c r="J50" s="233"/>
      <c r="K50" s="234"/>
      <c r="L50" s="223"/>
      <c r="M50" s="233"/>
      <c r="N50" s="235"/>
    </row>
    <row r="51">
      <c r="A51" s="233"/>
      <c r="B51" s="234"/>
      <c r="C51" s="217"/>
      <c r="D51" s="233"/>
      <c r="E51" s="234"/>
      <c r="F51" s="217"/>
      <c r="G51" s="233"/>
      <c r="H51" s="234"/>
      <c r="I51" s="217"/>
      <c r="J51" s="233"/>
      <c r="K51" s="234"/>
      <c r="L51" s="223"/>
      <c r="M51" s="233"/>
      <c r="N51" s="235"/>
    </row>
    <row r="52">
      <c r="A52" s="233"/>
      <c r="B52" s="234"/>
      <c r="C52" s="217"/>
      <c r="D52" s="233"/>
      <c r="E52" s="234"/>
      <c r="F52" s="217"/>
      <c r="G52" s="233"/>
      <c r="H52" s="234"/>
      <c r="I52" s="217"/>
      <c r="J52" s="233"/>
      <c r="K52" s="234"/>
      <c r="L52" s="223"/>
      <c r="M52" s="233"/>
      <c r="N52" s="235"/>
    </row>
    <row r="53">
      <c r="A53" s="233"/>
      <c r="B53" s="234"/>
      <c r="C53" s="217"/>
      <c r="D53" s="233"/>
      <c r="E53" s="234"/>
      <c r="F53" s="217"/>
      <c r="G53" s="233"/>
      <c r="H53" s="234"/>
      <c r="I53" s="217"/>
      <c r="J53" s="233"/>
      <c r="K53" s="234"/>
      <c r="L53" s="223"/>
      <c r="M53" s="233"/>
      <c r="N53" s="235"/>
    </row>
    <row r="54">
      <c r="A54" s="233"/>
      <c r="B54" s="234"/>
      <c r="C54" s="217"/>
      <c r="D54" s="233"/>
      <c r="E54" s="234"/>
      <c r="F54" s="217"/>
      <c r="G54" s="233"/>
      <c r="H54" s="234"/>
      <c r="I54" s="217"/>
      <c r="J54" s="233"/>
      <c r="K54" s="234"/>
      <c r="L54" s="223"/>
      <c r="M54" s="233"/>
      <c r="N54" s="235"/>
    </row>
    <row r="55">
      <c r="A55" s="233"/>
      <c r="B55" s="234"/>
      <c r="C55" s="217"/>
      <c r="D55" s="233"/>
      <c r="E55" s="234"/>
      <c r="F55" s="217"/>
      <c r="G55" s="233"/>
      <c r="H55" s="234"/>
      <c r="I55" s="217"/>
      <c r="J55" s="233"/>
      <c r="K55" s="234"/>
      <c r="L55" s="223"/>
      <c r="M55" s="233"/>
      <c r="N55" s="235"/>
    </row>
    <row r="56">
      <c r="A56" s="233"/>
      <c r="B56" s="234"/>
      <c r="C56" s="217"/>
      <c r="D56" s="233"/>
      <c r="E56" s="234"/>
      <c r="F56" s="217"/>
      <c r="G56" s="233"/>
      <c r="H56" s="234"/>
      <c r="I56" s="217"/>
      <c r="J56" s="233"/>
      <c r="K56" s="234"/>
      <c r="L56" s="223"/>
      <c r="M56" s="233"/>
      <c r="N56" s="235"/>
    </row>
    <row r="57">
      <c r="A57" s="233"/>
      <c r="B57" s="234"/>
      <c r="C57" s="217"/>
      <c r="D57" s="233"/>
      <c r="E57" s="234"/>
      <c r="F57" s="217"/>
      <c r="G57" s="233"/>
      <c r="H57" s="234"/>
      <c r="I57" s="217"/>
      <c r="J57" s="233"/>
      <c r="K57" s="234"/>
      <c r="L57" s="223"/>
      <c r="M57" s="233"/>
      <c r="N57" s="235"/>
    </row>
    <row r="58">
      <c r="A58" s="233"/>
      <c r="B58" s="234"/>
      <c r="C58" s="217"/>
      <c r="D58" s="233"/>
      <c r="E58" s="234"/>
      <c r="F58" s="217"/>
      <c r="G58" s="233"/>
      <c r="H58" s="234"/>
      <c r="I58" s="217"/>
      <c r="J58" s="233"/>
      <c r="K58" s="234"/>
      <c r="L58" s="223"/>
      <c r="M58" s="233"/>
      <c r="N58" s="235"/>
    </row>
    <row r="59">
      <c r="A59" s="233"/>
      <c r="B59" s="234"/>
      <c r="C59" s="217"/>
      <c r="D59" s="233"/>
      <c r="E59" s="234"/>
      <c r="F59" s="217"/>
      <c r="G59" s="233"/>
      <c r="H59" s="234"/>
      <c r="I59" s="217"/>
      <c r="J59" s="233"/>
      <c r="K59" s="234"/>
      <c r="L59" s="223"/>
      <c r="M59" s="233"/>
      <c r="N59" s="235"/>
    </row>
    <row r="60">
      <c r="A60" s="233"/>
      <c r="B60" s="234"/>
      <c r="C60" s="217"/>
      <c r="D60" s="233"/>
      <c r="E60" s="234"/>
      <c r="F60" s="217"/>
      <c r="G60" s="233"/>
      <c r="H60" s="234"/>
      <c r="I60" s="217"/>
      <c r="J60" s="233"/>
      <c r="K60" s="234"/>
      <c r="L60" s="223"/>
      <c r="M60" s="233"/>
      <c r="N60" s="235"/>
    </row>
    <row r="61">
      <c r="A61" s="233"/>
      <c r="B61" s="234"/>
      <c r="C61" s="217"/>
      <c r="D61" s="233"/>
      <c r="E61" s="234"/>
      <c r="F61" s="217"/>
      <c r="G61" s="233"/>
      <c r="H61" s="234"/>
      <c r="I61" s="217"/>
      <c r="J61" s="233"/>
      <c r="K61" s="234"/>
      <c r="L61" s="223"/>
      <c r="M61" s="233"/>
      <c r="N61" s="235"/>
    </row>
    <row r="62">
      <c r="A62" s="233"/>
      <c r="B62" s="234"/>
      <c r="C62" s="217"/>
      <c r="D62" s="233"/>
      <c r="E62" s="234"/>
      <c r="F62" s="217"/>
      <c r="G62" s="233"/>
      <c r="H62" s="234"/>
      <c r="I62" s="217"/>
      <c r="J62" s="233"/>
      <c r="K62" s="234"/>
      <c r="L62" s="223"/>
      <c r="M62" s="233"/>
      <c r="N62" s="235"/>
    </row>
    <row r="63">
      <c r="A63" s="233"/>
      <c r="B63" s="234"/>
      <c r="C63" s="217"/>
      <c r="D63" s="233"/>
      <c r="E63" s="234"/>
      <c r="F63" s="217"/>
      <c r="G63" s="233"/>
      <c r="H63" s="234"/>
      <c r="I63" s="217"/>
      <c r="J63" s="233"/>
      <c r="K63" s="234"/>
      <c r="L63" s="223"/>
      <c r="M63" s="233"/>
      <c r="N63" s="235"/>
    </row>
    <row r="64">
      <c r="A64" s="233"/>
      <c r="B64" s="234"/>
      <c r="C64" s="217"/>
      <c r="D64" s="233"/>
      <c r="E64" s="234"/>
      <c r="F64" s="217"/>
      <c r="G64" s="233"/>
      <c r="H64" s="234"/>
      <c r="I64" s="217"/>
      <c r="J64" s="233"/>
      <c r="K64" s="234"/>
      <c r="L64" s="223"/>
      <c r="M64" s="233"/>
      <c r="N64" s="235"/>
    </row>
    <row r="65">
      <c r="A65" s="233"/>
      <c r="B65" s="234"/>
      <c r="C65" s="217"/>
      <c r="D65" s="233"/>
      <c r="E65" s="234"/>
      <c r="F65" s="217"/>
      <c r="G65" s="233"/>
      <c r="H65" s="234"/>
      <c r="I65" s="217"/>
      <c r="J65" s="233"/>
      <c r="K65" s="234"/>
      <c r="L65" s="223"/>
      <c r="M65" s="233"/>
      <c r="N65" s="235"/>
    </row>
    <row r="66">
      <c r="A66" s="233"/>
      <c r="B66" s="234"/>
      <c r="C66" s="217"/>
      <c r="D66" s="233"/>
      <c r="E66" s="234"/>
      <c r="F66" s="217"/>
      <c r="G66" s="233"/>
      <c r="H66" s="234"/>
      <c r="I66" s="217"/>
      <c r="J66" s="233"/>
      <c r="K66" s="234"/>
      <c r="L66" s="223"/>
      <c r="M66" s="233"/>
      <c r="N66" s="235"/>
    </row>
    <row r="67">
      <c r="A67" s="233"/>
      <c r="B67" s="234"/>
      <c r="C67" s="217"/>
      <c r="D67" s="233"/>
      <c r="E67" s="234"/>
      <c r="F67" s="217"/>
      <c r="G67" s="233"/>
      <c r="H67" s="234"/>
      <c r="I67" s="217"/>
      <c r="J67" s="233"/>
      <c r="K67" s="234"/>
      <c r="L67" s="223"/>
      <c r="M67" s="233"/>
      <c r="N67" s="235"/>
    </row>
    <row r="68">
      <c r="A68" s="233"/>
      <c r="B68" s="234"/>
      <c r="C68" s="217"/>
      <c r="D68" s="233"/>
      <c r="E68" s="234"/>
      <c r="F68" s="217"/>
      <c r="G68" s="233"/>
      <c r="H68" s="234"/>
      <c r="I68" s="217"/>
      <c r="J68" s="233"/>
      <c r="K68" s="234"/>
      <c r="L68" s="223"/>
      <c r="M68" s="233"/>
      <c r="N68" s="235"/>
    </row>
    <row r="69">
      <c r="A69" s="233"/>
      <c r="B69" s="234"/>
      <c r="C69" s="217"/>
      <c r="D69" s="233"/>
      <c r="E69" s="234"/>
      <c r="F69" s="217"/>
      <c r="G69" s="233"/>
      <c r="H69" s="234"/>
      <c r="I69" s="217"/>
      <c r="J69" s="233"/>
      <c r="K69" s="234"/>
      <c r="L69" s="223"/>
      <c r="M69" s="233"/>
      <c r="N69" s="235"/>
    </row>
    <row r="70">
      <c r="A70" s="233"/>
      <c r="B70" s="234"/>
      <c r="C70" s="217"/>
      <c r="D70" s="233"/>
      <c r="E70" s="234"/>
      <c r="F70" s="217"/>
      <c r="G70" s="233"/>
      <c r="H70" s="234"/>
      <c r="I70" s="217"/>
      <c r="J70" s="233"/>
      <c r="K70" s="234"/>
      <c r="L70" s="223"/>
      <c r="M70" s="233"/>
      <c r="N70" s="235"/>
    </row>
    <row r="71">
      <c r="A71" s="233"/>
      <c r="B71" s="234"/>
      <c r="C71" s="217"/>
      <c r="D71" s="233"/>
      <c r="E71" s="234"/>
      <c r="F71" s="217"/>
      <c r="G71" s="233"/>
      <c r="H71" s="234"/>
      <c r="I71" s="217"/>
      <c r="J71" s="233"/>
      <c r="K71" s="234"/>
      <c r="L71" s="223"/>
      <c r="M71" s="233"/>
      <c r="N71" s="235"/>
    </row>
    <row r="72">
      <c r="A72" s="233"/>
      <c r="B72" s="234"/>
      <c r="C72" s="217"/>
      <c r="D72" s="233"/>
      <c r="E72" s="234"/>
      <c r="F72" s="217"/>
      <c r="G72" s="233"/>
      <c r="H72" s="234"/>
      <c r="I72" s="217"/>
      <c r="J72" s="233"/>
      <c r="K72" s="234"/>
      <c r="L72" s="223"/>
      <c r="M72" s="233"/>
      <c r="N72" s="235"/>
    </row>
    <row r="73">
      <c r="A73" s="233"/>
      <c r="B73" s="234"/>
      <c r="C73" s="217"/>
      <c r="D73" s="233"/>
      <c r="E73" s="234"/>
      <c r="F73" s="217"/>
      <c r="G73" s="233"/>
      <c r="H73" s="234"/>
      <c r="I73" s="217"/>
      <c r="J73" s="233"/>
      <c r="K73" s="234"/>
      <c r="L73" s="223"/>
      <c r="M73" s="233"/>
      <c r="N73" s="235"/>
    </row>
    <row r="74">
      <c r="A74" s="233"/>
      <c r="B74" s="234"/>
      <c r="C74" s="217"/>
      <c r="D74" s="233"/>
      <c r="E74" s="234"/>
      <c r="F74" s="217"/>
      <c r="G74" s="233"/>
      <c r="H74" s="234"/>
      <c r="I74" s="217"/>
      <c r="J74" s="233"/>
      <c r="K74" s="234"/>
      <c r="L74" s="223"/>
      <c r="M74" s="233"/>
      <c r="N74" s="235"/>
    </row>
    <row r="75">
      <c r="A75" s="233"/>
      <c r="B75" s="234"/>
      <c r="C75" s="217"/>
      <c r="D75" s="233"/>
      <c r="E75" s="234"/>
      <c r="F75" s="217"/>
      <c r="G75" s="233"/>
      <c r="H75" s="234"/>
      <c r="I75" s="217"/>
      <c r="J75" s="233"/>
      <c r="K75" s="234"/>
      <c r="L75" s="223"/>
      <c r="M75" s="233"/>
      <c r="N75" s="235"/>
    </row>
    <row r="76">
      <c r="A76" s="233"/>
      <c r="B76" s="234"/>
      <c r="C76" s="217"/>
      <c r="D76" s="233"/>
      <c r="E76" s="234"/>
      <c r="F76" s="217"/>
      <c r="G76" s="233"/>
      <c r="H76" s="234"/>
      <c r="I76" s="217"/>
      <c r="J76" s="233"/>
      <c r="K76" s="234"/>
      <c r="L76" s="223"/>
      <c r="M76" s="233"/>
      <c r="N76" s="235"/>
    </row>
    <row r="77">
      <c r="A77" s="233"/>
      <c r="B77" s="234"/>
      <c r="C77" s="217"/>
      <c r="D77" s="233"/>
      <c r="E77" s="234"/>
      <c r="F77" s="217"/>
      <c r="G77" s="233"/>
      <c r="H77" s="234"/>
      <c r="I77" s="217"/>
      <c r="J77" s="233"/>
      <c r="K77" s="234"/>
      <c r="L77" s="223"/>
      <c r="M77" s="233"/>
      <c r="N77" s="235"/>
    </row>
    <row r="78">
      <c r="A78" s="233"/>
      <c r="B78" s="234"/>
      <c r="C78" s="217"/>
      <c r="D78" s="233"/>
      <c r="E78" s="234"/>
      <c r="F78" s="217"/>
      <c r="G78" s="233"/>
      <c r="H78" s="234"/>
      <c r="I78" s="217"/>
      <c r="J78" s="233"/>
      <c r="K78" s="234"/>
      <c r="L78" s="223"/>
      <c r="M78" s="233"/>
      <c r="N78" s="235"/>
    </row>
    <row r="79">
      <c r="A79" s="233"/>
      <c r="B79" s="234"/>
      <c r="C79" s="217"/>
      <c r="D79" s="233"/>
      <c r="E79" s="234"/>
      <c r="F79" s="217"/>
      <c r="G79" s="233"/>
      <c r="H79" s="234"/>
      <c r="I79" s="217"/>
      <c r="J79" s="233"/>
      <c r="K79" s="234"/>
      <c r="L79" s="223"/>
      <c r="M79" s="233"/>
      <c r="N79" s="235"/>
    </row>
    <row r="80">
      <c r="A80" s="233"/>
      <c r="B80" s="234"/>
      <c r="C80" s="217"/>
      <c r="D80" s="233"/>
      <c r="E80" s="234"/>
      <c r="F80" s="217"/>
      <c r="G80" s="233"/>
      <c r="H80" s="234"/>
      <c r="I80" s="217"/>
      <c r="J80" s="233"/>
      <c r="K80" s="234"/>
      <c r="L80" s="223"/>
      <c r="M80" s="233"/>
      <c r="N80" s="235"/>
    </row>
    <row r="81">
      <c r="A81" s="233"/>
      <c r="B81" s="234"/>
      <c r="C81" s="217"/>
      <c r="D81" s="233"/>
      <c r="E81" s="234"/>
      <c r="F81" s="217"/>
      <c r="G81" s="233"/>
      <c r="H81" s="234"/>
      <c r="I81" s="217"/>
      <c r="J81" s="233"/>
      <c r="K81" s="234"/>
      <c r="L81" s="223"/>
      <c r="M81" s="233"/>
      <c r="N81" s="235"/>
    </row>
    <row r="82">
      <c r="A82" s="233"/>
      <c r="B82" s="234"/>
      <c r="C82" s="217"/>
      <c r="D82" s="233"/>
      <c r="E82" s="234"/>
      <c r="F82" s="217"/>
      <c r="G82" s="233"/>
      <c r="H82" s="234"/>
      <c r="I82" s="217"/>
      <c r="J82" s="233"/>
      <c r="K82" s="234"/>
      <c r="L82" s="223"/>
      <c r="M82" s="233"/>
      <c r="N82" s="235"/>
    </row>
    <row r="83">
      <c r="A83" s="233"/>
      <c r="B83" s="234"/>
      <c r="C83" s="217"/>
      <c r="D83" s="233"/>
      <c r="E83" s="234"/>
      <c r="F83" s="217"/>
      <c r="G83" s="233"/>
      <c r="H83" s="234"/>
      <c r="I83" s="217"/>
      <c r="J83" s="233"/>
      <c r="K83" s="234"/>
      <c r="L83" s="223"/>
      <c r="M83" s="233"/>
      <c r="N83" s="235"/>
    </row>
    <row r="84">
      <c r="A84" s="233"/>
      <c r="B84" s="234"/>
      <c r="C84" s="217"/>
      <c r="D84" s="233"/>
      <c r="E84" s="234"/>
      <c r="F84" s="217"/>
      <c r="G84" s="233"/>
      <c r="H84" s="234"/>
      <c r="I84" s="217"/>
      <c r="J84" s="233"/>
      <c r="K84" s="234"/>
      <c r="L84" s="223"/>
      <c r="M84" s="233"/>
      <c r="N84" s="235"/>
    </row>
    <row r="85">
      <c r="A85" s="233"/>
      <c r="B85" s="234"/>
      <c r="C85" s="217"/>
      <c r="D85" s="233"/>
      <c r="E85" s="234"/>
      <c r="F85" s="217"/>
      <c r="G85" s="233"/>
      <c r="H85" s="234"/>
      <c r="I85" s="217"/>
      <c r="J85" s="233"/>
      <c r="K85" s="234"/>
      <c r="L85" s="223"/>
      <c r="M85" s="233"/>
      <c r="N85" s="235"/>
    </row>
    <row r="86">
      <c r="A86" s="233"/>
      <c r="B86" s="234"/>
      <c r="C86" s="217"/>
      <c r="D86" s="233"/>
      <c r="E86" s="234"/>
      <c r="F86" s="217"/>
      <c r="G86" s="233"/>
      <c r="H86" s="234"/>
      <c r="I86" s="217"/>
      <c r="J86" s="233"/>
      <c r="K86" s="234"/>
      <c r="L86" s="223"/>
      <c r="M86" s="233"/>
      <c r="N86" s="235"/>
    </row>
    <row r="87">
      <c r="A87" s="233"/>
      <c r="B87" s="234"/>
      <c r="C87" s="217"/>
      <c r="D87" s="233"/>
      <c r="E87" s="234"/>
      <c r="F87" s="217"/>
      <c r="G87" s="233"/>
      <c r="H87" s="234"/>
      <c r="I87" s="217"/>
      <c r="J87" s="233"/>
      <c r="K87" s="234"/>
      <c r="L87" s="223"/>
      <c r="M87" s="233"/>
      <c r="N87" s="235"/>
    </row>
    <row r="88">
      <c r="A88" s="233"/>
      <c r="B88" s="234"/>
      <c r="C88" s="217"/>
      <c r="D88" s="233"/>
      <c r="E88" s="234"/>
      <c r="F88" s="217"/>
      <c r="G88" s="233"/>
      <c r="H88" s="234"/>
      <c r="I88" s="217"/>
      <c r="J88" s="233"/>
      <c r="K88" s="234"/>
      <c r="L88" s="223"/>
      <c r="M88" s="233"/>
      <c r="N88" s="235"/>
    </row>
    <row r="89">
      <c r="A89" s="233"/>
      <c r="B89" s="234"/>
      <c r="C89" s="217"/>
      <c r="D89" s="233"/>
      <c r="E89" s="234"/>
      <c r="F89" s="217"/>
      <c r="G89" s="233"/>
      <c r="H89" s="234"/>
      <c r="I89" s="217"/>
      <c r="J89" s="233"/>
      <c r="K89" s="234"/>
      <c r="L89" s="223"/>
      <c r="M89" s="233"/>
      <c r="N89" s="235"/>
    </row>
    <row r="90">
      <c r="A90" s="233"/>
      <c r="B90" s="234"/>
      <c r="C90" s="217"/>
      <c r="D90" s="233"/>
      <c r="E90" s="234"/>
      <c r="F90" s="217"/>
      <c r="G90" s="233"/>
      <c r="H90" s="234"/>
      <c r="I90" s="217"/>
      <c r="J90" s="233"/>
      <c r="K90" s="234"/>
      <c r="L90" s="223"/>
      <c r="M90" s="233"/>
      <c r="N90" s="235"/>
    </row>
    <row r="91">
      <c r="A91" s="233"/>
      <c r="B91" s="234"/>
      <c r="C91" s="217"/>
      <c r="D91" s="233"/>
      <c r="E91" s="234"/>
      <c r="F91" s="217"/>
      <c r="G91" s="233"/>
      <c r="H91" s="234"/>
      <c r="I91" s="217"/>
      <c r="J91" s="233"/>
      <c r="K91" s="234"/>
      <c r="L91" s="223"/>
      <c r="M91" s="233"/>
      <c r="N91" s="235"/>
    </row>
    <row r="92">
      <c r="A92" s="233"/>
      <c r="B92" s="234"/>
      <c r="C92" s="217"/>
      <c r="D92" s="233"/>
      <c r="E92" s="234"/>
      <c r="F92" s="217"/>
      <c r="G92" s="233"/>
      <c r="H92" s="234"/>
      <c r="I92" s="217"/>
      <c r="J92" s="233"/>
      <c r="K92" s="234"/>
      <c r="L92" s="223"/>
      <c r="M92" s="233"/>
      <c r="N92" s="235"/>
    </row>
    <row r="93">
      <c r="A93" s="233"/>
      <c r="B93" s="234"/>
      <c r="C93" s="217"/>
      <c r="D93" s="233"/>
      <c r="E93" s="234"/>
      <c r="F93" s="217"/>
      <c r="G93" s="233"/>
      <c r="H93" s="234"/>
      <c r="I93" s="217"/>
      <c r="J93" s="233"/>
      <c r="K93" s="234"/>
      <c r="L93" s="223"/>
      <c r="M93" s="233"/>
      <c r="N93" s="235"/>
    </row>
    <row r="94">
      <c r="A94" s="233"/>
      <c r="B94" s="234"/>
      <c r="C94" s="217"/>
      <c r="D94" s="233"/>
      <c r="E94" s="234"/>
      <c r="F94" s="217"/>
      <c r="G94" s="233"/>
      <c r="H94" s="234"/>
      <c r="I94" s="217"/>
      <c r="J94" s="233"/>
      <c r="K94" s="234"/>
      <c r="L94" s="223"/>
      <c r="M94" s="233"/>
      <c r="N94" s="235"/>
    </row>
    <row r="95">
      <c r="A95" s="233"/>
      <c r="B95" s="234"/>
      <c r="C95" s="217"/>
      <c r="D95" s="233"/>
      <c r="E95" s="234"/>
      <c r="F95" s="217"/>
      <c r="G95" s="233"/>
      <c r="H95" s="234"/>
      <c r="I95" s="217"/>
      <c r="J95" s="233"/>
      <c r="K95" s="234"/>
      <c r="L95" s="223"/>
      <c r="M95" s="233"/>
      <c r="N95" s="235"/>
    </row>
    <row r="96">
      <c r="A96" s="233"/>
      <c r="B96" s="234"/>
      <c r="C96" s="217"/>
      <c r="D96" s="233"/>
      <c r="E96" s="234"/>
      <c r="F96" s="217"/>
      <c r="G96" s="233"/>
      <c r="H96" s="234"/>
      <c r="I96" s="217"/>
      <c r="J96" s="233"/>
      <c r="K96" s="234"/>
      <c r="L96" s="223"/>
      <c r="M96" s="233"/>
      <c r="N96" s="235"/>
    </row>
    <row r="97">
      <c r="A97" s="233"/>
      <c r="B97" s="234"/>
      <c r="C97" s="217"/>
      <c r="D97" s="233"/>
      <c r="E97" s="234"/>
      <c r="F97" s="217"/>
      <c r="G97" s="233"/>
      <c r="H97" s="234"/>
      <c r="I97" s="217"/>
      <c r="J97" s="233"/>
      <c r="K97" s="234"/>
      <c r="L97" s="223"/>
      <c r="M97" s="233"/>
      <c r="N97" s="235"/>
    </row>
    <row r="98">
      <c r="A98" s="233"/>
      <c r="B98" s="234"/>
      <c r="C98" s="217"/>
      <c r="D98" s="233"/>
      <c r="E98" s="234"/>
      <c r="F98" s="217"/>
      <c r="G98" s="233"/>
      <c r="H98" s="234"/>
      <c r="I98" s="217"/>
      <c r="J98" s="233"/>
      <c r="K98" s="234"/>
      <c r="L98" s="223"/>
      <c r="M98" s="233"/>
      <c r="N98" s="235"/>
    </row>
    <row r="99">
      <c r="A99" s="233"/>
      <c r="B99" s="234"/>
      <c r="C99" s="217"/>
      <c r="D99" s="233"/>
      <c r="E99" s="234"/>
      <c r="F99" s="217"/>
      <c r="G99" s="233"/>
      <c r="H99" s="234"/>
      <c r="I99" s="217"/>
      <c r="J99" s="233"/>
      <c r="K99" s="234"/>
      <c r="L99" s="223"/>
      <c r="M99" s="233"/>
      <c r="N99" s="235"/>
    </row>
    <row r="100">
      <c r="A100" s="233"/>
      <c r="B100" s="234"/>
      <c r="C100" s="217"/>
      <c r="D100" s="233"/>
      <c r="E100" s="234"/>
      <c r="F100" s="217"/>
      <c r="G100" s="233"/>
      <c r="H100" s="234"/>
      <c r="I100" s="217"/>
      <c r="J100" s="233"/>
      <c r="K100" s="234"/>
      <c r="L100" s="223"/>
      <c r="M100" s="233"/>
      <c r="N100" s="235"/>
    </row>
    <row r="101">
      <c r="A101" s="233"/>
      <c r="B101" s="234"/>
      <c r="C101" s="217"/>
      <c r="D101" s="233"/>
      <c r="E101" s="234"/>
      <c r="F101" s="217"/>
      <c r="G101" s="233"/>
      <c r="H101" s="234"/>
      <c r="I101" s="217"/>
      <c r="J101" s="233"/>
      <c r="K101" s="234"/>
      <c r="L101" s="223"/>
      <c r="M101" s="233"/>
      <c r="N101" s="235"/>
    </row>
    <row r="102">
      <c r="A102" s="233"/>
      <c r="B102" s="234"/>
      <c r="C102" s="217"/>
      <c r="D102" s="233"/>
      <c r="E102" s="234"/>
      <c r="F102" s="217"/>
      <c r="G102" s="233"/>
      <c r="H102" s="234"/>
      <c r="I102" s="217"/>
      <c r="J102" s="233"/>
      <c r="K102" s="234"/>
      <c r="L102" s="223"/>
      <c r="M102" s="233"/>
      <c r="N102" s="235"/>
    </row>
    <row r="103">
      <c r="A103" s="233"/>
      <c r="B103" s="234"/>
      <c r="C103" s="217"/>
      <c r="D103" s="233"/>
      <c r="E103" s="234"/>
      <c r="F103" s="217"/>
      <c r="G103" s="233"/>
      <c r="H103" s="234"/>
      <c r="I103" s="217"/>
      <c r="J103" s="233"/>
      <c r="K103" s="234"/>
      <c r="L103" s="223"/>
      <c r="M103" s="233"/>
      <c r="N103" s="235"/>
    </row>
    <row r="104">
      <c r="A104" s="233"/>
      <c r="B104" s="234"/>
      <c r="C104" s="217"/>
      <c r="D104" s="233"/>
      <c r="E104" s="234"/>
      <c r="F104" s="217"/>
      <c r="G104" s="233"/>
      <c r="H104" s="234"/>
      <c r="I104" s="217"/>
      <c r="J104" s="233"/>
      <c r="K104" s="234"/>
      <c r="L104" s="223"/>
      <c r="M104" s="233"/>
      <c r="N104" s="235"/>
    </row>
    <row r="105">
      <c r="A105" s="233"/>
      <c r="B105" s="234"/>
      <c r="C105" s="217"/>
      <c r="D105" s="233"/>
      <c r="E105" s="234"/>
      <c r="F105" s="217"/>
      <c r="G105" s="233"/>
      <c r="H105" s="234"/>
      <c r="I105" s="217"/>
      <c r="J105" s="233"/>
      <c r="K105" s="234"/>
      <c r="L105" s="223"/>
      <c r="M105" s="233"/>
      <c r="N105" s="235"/>
    </row>
    <row r="106">
      <c r="A106" s="233"/>
      <c r="B106" s="234"/>
      <c r="C106" s="217"/>
      <c r="D106" s="233"/>
      <c r="E106" s="234"/>
      <c r="F106" s="217"/>
      <c r="G106" s="233"/>
      <c r="H106" s="234"/>
      <c r="I106" s="217"/>
      <c r="J106" s="233"/>
      <c r="K106" s="234"/>
      <c r="L106" s="223"/>
      <c r="M106" s="233"/>
      <c r="N106" s="235"/>
    </row>
    <row r="107">
      <c r="A107" s="233"/>
      <c r="B107" s="234"/>
      <c r="C107" s="217"/>
      <c r="D107" s="233"/>
      <c r="E107" s="234"/>
      <c r="F107" s="217"/>
      <c r="G107" s="233"/>
      <c r="H107" s="234"/>
      <c r="I107" s="217"/>
      <c r="J107" s="233"/>
      <c r="K107" s="234"/>
      <c r="L107" s="223"/>
      <c r="M107" s="233"/>
      <c r="N107" s="235"/>
    </row>
    <row r="108">
      <c r="A108" s="233"/>
      <c r="B108" s="234"/>
      <c r="C108" s="217"/>
      <c r="D108" s="233"/>
      <c r="E108" s="234"/>
      <c r="F108" s="217"/>
      <c r="G108" s="233"/>
      <c r="H108" s="234"/>
      <c r="I108" s="217"/>
      <c r="J108" s="233"/>
      <c r="K108" s="234"/>
      <c r="L108" s="223"/>
      <c r="M108" s="233"/>
      <c r="N108" s="235"/>
    </row>
    <row r="109">
      <c r="A109" s="233"/>
      <c r="B109" s="234"/>
      <c r="C109" s="217"/>
      <c r="D109" s="233"/>
      <c r="E109" s="234"/>
      <c r="F109" s="217"/>
      <c r="G109" s="233"/>
      <c r="H109" s="234"/>
      <c r="I109" s="217"/>
      <c r="J109" s="233"/>
      <c r="K109" s="234"/>
      <c r="L109" s="223"/>
      <c r="M109" s="233"/>
      <c r="N109" s="235"/>
    </row>
    <row r="110">
      <c r="A110" s="233"/>
      <c r="B110" s="234"/>
      <c r="C110" s="217"/>
      <c r="D110" s="233"/>
      <c r="E110" s="234"/>
      <c r="F110" s="217"/>
      <c r="G110" s="233"/>
      <c r="H110" s="234"/>
      <c r="I110" s="217"/>
      <c r="J110" s="233"/>
      <c r="K110" s="234"/>
      <c r="L110" s="223"/>
      <c r="M110" s="233"/>
      <c r="N110" s="235"/>
    </row>
    <row r="111">
      <c r="A111" s="233"/>
      <c r="B111" s="234"/>
      <c r="C111" s="217"/>
      <c r="D111" s="233"/>
      <c r="E111" s="234"/>
      <c r="F111" s="217"/>
      <c r="G111" s="233"/>
      <c r="H111" s="234"/>
      <c r="I111" s="217"/>
      <c r="J111" s="233"/>
      <c r="K111" s="234"/>
      <c r="L111" s="223"/>
      <c r="M111" s="233"/>
      <c r="N111" s="235"/>
    </row>
    <row r="112">
      <c r="A112" s="233"/>
      <c r="B112" s="234"/>
      <c r="C112" s="217"/>
      <c r="D112" s="233"/>
      <c r="E112" s="234"/>
      <c r="F112" s="217"/>
      <c r="G112" s="233"/>
      <c r="H112" s="234"/>
      <c r="I112" s="217"/>
      <c r="J112" s="233"/>
      <c r="K112" s="234"/>
      <c r="L112" s="223"/>
      <c r="M112" s="233"/>
      <c r="N112" s="235"/>
    </row>
    <row r="113">
      <c r="A113" s="233"/>
      <c r="B113" s="234"/>
      <c r="C113" s="217"/>
      <c r="D113" s="233"/>
      <c r="E113" s="234"/>
      <c r="F113" s="217"/>
      <c r="G113" s="233"/>
      <c r="H113" s="234"/>
      <c r="I113" s="217"/>
      <c r="J113" s="233"/>
      <c r="K113" s="234"/>
      <c r="L113" s="223"/>
      <c r="M113" s="233"/>
      <c r="N113" s="235"/>
    </row>
    <row r="114">
      <c r="A114" s="233"/>
      <c r="B114" s="234"/>
      <c r="C114" s="217"/>
      <c r="D114" s="233"/>
      <c r="E114" s="234"/>
      <c r="F114" s="217"/>
      <c r="G114" s="233"/>
      <c r="H114" s="234"/>
      <c r="I114" s="217"/>
      <c r="J114" s="233"/>
      <c r="K114" s="234"/>
      <c r="L114" s="223"/>
      <c r="M114" s="233"/>
      <c r="N114" s="235"/>
    </row>
    <row r="115">
      <c r="A115" s="233"/>
      <c r="B115" s="234"/>
      <c r="C115" s="217"/>
      <c r="D115" s="233"/>
      <c r="E115" s="234"/>
      <c r="F115" s="217"/>
      <c r="G115" s="233"/>
      <c r="H115" s="234"/>
      <c r="I115" s="217"/>
      <c r="J115" s="233"/>
      <c r="K115" s="234"/>
      <c r="L115" s="223"/>
      <c r="M115" s="233"/>
      <c r="N115" s="235"/>
    </row>
    <row r="116">
      <c r="A116" s="233"/>
      <c r="B116" s="234"/>
      <c r="C116" s="217"/>
      <c r="D116" s="233"/>
      <c r="E116" s="234"/>
      <c r="F116" s="217"/>
      <c r="G116" s="233"/>
      <c r="H116" s="234"/>
      <c r="I116" s="217"/>
      <c r="J116" s="233"/>
      <c r="K116" s="234"/>
      <c r="L116" s="223"/>
      <c r="M116" s="233"/>
      <c r="N116" s="235"/>
    </row>
    <row r="117">
      <c r="A117" s="233"/>
      <c r="B117" s="234"/>
      <c r="C117" s="217"/>
      <c r="D117" s="233"/>
      <c r="E117" s="234"/>
      <c r="F117" s="217"/>
      <c r="G117" s="233"/>
      <c r="H117" s="234"/>
      <c r="I117" s="217"/>
      <c r="J117" s="233"/>
      <c r="K117" s="234"/>
      <c r="L117" s="223"/>
      <c r="M117" s="233"/>
      <c r="N117" s="235"/>
    </row>
    <row r="118">
      <c r="A118" s="233"/>
      <c r="B118" s="234"/>
      <c r="C118" s="217"/>
      <c r="D118" s="233"/>
      <c r="E118" s="234"/>
      <c r="F118" s="217"/>
      <c r="G118" s="233"/>
      <c r="H118" s="234"/>
      <c r="I118" s="217"/>
      <c r="J118" s="233"/>
      <c r="K118" s="234"/>
      <c r="L118" s="223"/>
      <c r="M118" s="233"/>
      <c r="N118" s="235"/>
    </row>
    <row r="119">
      <c r="A119" s="233"/>
      <c r="B119" s="234"/>
      <c r="C119" s="217"/>
      <c r="D119" s="233"/>
      <c r="E119" s="234"/>
      <c r="F119" s="217"/>
      <c r="G119" s="233"/>
      <c r="H119" s="234"/>
      <c r="I119" s="217"/>
      <c r="J119" s="233"/>
      <c r="K119" s="234"/>
      <c r="L119" s="223"/>
      <c r="M119" s="233"/>
      <c r="N119" s="235"/>
    </row>
    <row r="120">
      <c r="A120" s="233"/>
      <c r="B120" s="234"/>
      <c r="C120" s="217"/>
      <c r="D120" s="233"/>
      <c r="E120" s="234"/>
      <c r="F120" s="217"/>
      <c r="G120" s="233"/>
      <c r="H120" s="234"/>
      <c r="I120" s="217"/>
      <c r="J120" s="233"/>
      <c r="K120" s="234"/>
      <c r="L120" s="223"/>
      <c r="M120" s="233"/>
      <c r="N120" s="235"/>
    </row>
    <row r="121">
      <c r="A121" s="233"/>
      <c r="B121" s="234"/>
      <c r="C121" s="217"/>
      <c r="D121" s="233"/>
      <c r="E121" s="234"/>
      <c r="F121" s="217"/>
      <c r="G121" s="233"/>
      <c r="H121" s="234"/>
      <c r="I121" s="217"/>
      <c r="J121" s="233"/>
      <c r="K121" s="234"/>
      <c r="L121" s="223"/>
      <c r="M121" s="233"/>
      <c r="N121" s="235"/>
    </row>
    <row r="122">
      <c r="A122" s="233"/>
      <c r="B122" s="234"/>
      <c r="C122" s="217"/>
      <c r="D122" s="233"/>
      <c r="E122" s="234"/>
      <c r="F122" s="217"/>
      <c r="G122" s="233"/>
      <c r="H122" s="234"/>
      <c r="I122" s="217"/>
      <c r="J122" s="233"/>
      <c r="K122" s="234"/>
      <c r="L122" s="223"/>
      <c r="M122" s="233"/>
      <c r="N122" s="235"/>
    </row>
    <row r="123">
      <c r="A123" s="233"/>
      <c r="B123" s="234"/>
      <c r="C123" s="217"/>
      <c r="D123" s="233"/>
      <c r="E123" s="234"/>
      <c r="F123" s="217"/>
      <c r="G123" s="233"/>
      <c r="H123" s="234"/>
      <c r="I123" s="217"/>
      <c r="J123" s="233"/>
      <c r="K123" s="234"/>
      <c r="L123" s="223"/>
      <c r="M123" s="233"/>
      <c r="N123" s="235"/>
    </row>
    <row r="124">
      <c r="A124" s="233"/>
      <c r="B124" s="234"/>
      <c r="C124" s="217"/>
      <c r="D124" s="233"/>
      <c r="E124" s="234"/>
      <c r="F124" s="217"/>
      <c r="G124" s="233"/>
      <c r="H124" s="234"/>
      <c r="I124" s="217"/>
      <c r="J124" s="233"/>
      <c r="K124" s="234"/>
      <c r="L124" s="223"/>
      <c r="M124" s="233"/>
      <c r="N124" s="235"/>
    </row>
    <row r="125">
      <c r="A125" s="233"/>
      <c r="B125" s="234"/>
      <c r="C125" s="217"/>
      <c r="D125" s="233"/>
      <c r="E125" s="234"/>
      <c r="F125" s="217"/>
      <c r="G125" s="233"/>
      <c r="H125" s="234"/>
      <c r="I125" s="217"/>
      <c r="J125" s="233"/>
      <c r="K125" s="234"/>
      <c r="L125" s="223"/>
      <c r="M125" s="233"/>
      <c r="N125" s="235"/>
    </row>
    <row r="126">
      <c r="A126" s="233"/>
      <c r="B126" s="234"/>
      <c r="C126" s="217"/>
      <c r="D126" s="233"/>
      <c r="E126" s="234"/>
      <c r="F126" s="217"/>
      <c r="G126" s="233"/>
      <c r="H126" s="234"/>
      <c r="I126" s="217"/>
      <c r="J126" s="233"/>
      <c r="K126" s="234"/>
      <c r="L126" s="223"/>
      <c r="M126" s="233"/>
      <c r="N126" s="235"/>
    </row>
    <row r="127">
      <c r="A127" s="233"/>
      <c r="B127" s="234"/>
      <c r="C127" s="217"/>
      <c r="D127" s="233"/>
      <c r="E127" s="234"/>
      <c r="F127" s="217"/>
      <c r="G127" s="233"/>
      <c r="H127" s="234"/>
      <c r="I127" s="217"/>
      <c r="J127" s="233"/>
      <c r="K127" s="234"/>
      <c r="L127" s="223"/>
      <c r="M127" s="233"/>
      <c r="N127" s="235"/>
    </row>
    <row r="128">
      <c r="A128" s="233"/>
      <c r="B128" s="234"/>
      <c r="C128" s="217"/>
      <c r="D128" s="233"/>
      <c r="E128" s="234"/>
      <c r="F128" s="217"/>
      <c r="G128" s="233"/>
      <c r="H128" s="234"/>
      <c r="I128" s="217"/>
      <c r="J128" s="233"/>
      <c r="K128" s="234"/>
      <c r="L128" s="223"/>
      <c r="M128" s="233"/>
      <c r="N128" s="235"/>
    </row>
    <row r="129">
      <c r="A129" s="233"/>
      <c r="B129" s="234"/>
      <c r="C129" s="217"/>
      <c r="D129" s="233"/>
      <c r="E129" s="234"/>
      <c r="F129" s="217"/>
      <c r="G129" s="233"/>
      <c r="H129" s="234"/>
      <c r="I129" s="217"/>
      <c r="J129" s="233"/>
      <c r="K129" s="234"/>
      <c r="L129" s="223"/>
      <c r="M129" s="233"/>
      <c r="N129" s="235"/>
    </row>
    <row r="130">
      <c r="A130" s="233"/>
      <c r="B130" s="234"/>
      <c r="C130" s="217"/>
      <c r="D130" s="233"/>
      <c r="E130" s="234"/>
      <c r="F130" s="217"/>
      <c r="G130" s="233"/>
      <c r="H130" s="234"/>
      <c r="I130" s="217"/>
      <c r="J130" s="233"/>
      <c r="K130" s="234"/>
      <c r="L130" s="223"/>
      <c r="M130" s="233"/>
      <c r="N130" s="235"/>
    </row>
    <row r="131">
      <c r="A131" s="233"/>
      <c r="B131" s="234"/>
      <c r="C131" s="217"/>
      <c r="D131" s="233"/>
      <c r="E131" s="234"/>
      <c r="F131" s="217"/>
      <c r="G131" s="233"/>
      <c r="H131" s="234"/>
      <c r="I131" s="217"/>
      <c r="J131" s="233"/>
      <c r="K131" s="234"/>
      <c r="L131" s="223"/>
      <c r="M131" s="233"/>
      <c r="N131" s="235"/>
    </row>
    <row r="132">
      <c r="A132" s="233"/>
      <c r="B132" s="234"/>
      <c r="C132" s="217"/>
      <c r="D132" s="233"/>
      <c r="E132" s="234"/>
      <c r="F132" s="217"/>
      <c r="G132" s="233"/>
      <c r="H132" s="234"/>
      <c r="I132" s="217"/>
      <c r="J132" s="233"/>
      <c r="K132" s="234"/>
      <c r="L132" s="223"/>
      <c r="M132" s="233"/>
      <c r="N132" s="235"/>
    </row>
    <row r="133">
      <c r="A133" s="233"/>
      <c r="B133" s="234"/>
      <c r="C133" s="217"/>
      <c r="D133" s="233"/>
      <c r="E133" s="234"/>
      <c r="F133" s="217"/>
      <c r="G133" s="233"/>
      <c r="H133" s="234"/>
      <c r="I133" s="217"/>
      <c r="J133" s="233"/>
      <c r="K133" s="234"/>
      <c r="L133" s="223"/>
      <c r="M133" s="233"/>
      <c r="N133" s="235"/>
    </row>
    <row r="134">
      <c r="A134" s="233"/>
      <c r="B134" s="234"/>
      <c r="C134" s="217"/>
      <c r="D134" s="233"/>
      <c r="E134" s="234"/>
      <c r="F134" s="217"/>
      <c r="G134" s="233"/>
      <c r="H134" s="234"/>
      <c r="I134" s="217"/>
      <c r="J134" s="233"/>
      <c r="K134" s="234"/>
      <c r="L134" s="223"/>
      <c r="M134" s="233"/>
      <c r="N134" s="235"/>
    </row>
    <row r="135">
      <c r="A135" s="233"/>
      <c r="B135" s="234"/>
      <c r="C135" s="217"/>
      <c r="D135" s="233"/>
      <c r="E135" s="234"/>
      <c r="F135" s="217"/>
      <c r="G135" s="233"/>
      <c r="H135" s="234"/>
      <c r="I135" s="217"/>
      <c r="J135" s="233"/>
      <c r="K135" s="234"/>
      <c r="L135" s="223"/>
      <c r="M135" s="233"/>
      <c r="N135" s="235"/>
    </row>
    <row r="136">
      <c r="A136" s="233"/>
      <c r="B136" s="234"/>
      <c r="C136" s="217"/>
      <c r="D136" s="233"/>
      <c r="E136" s="234"/>
      <c r="F136" s="217"/>
      <c r="G136" s="233"/>
      <c r="H136" s="234"/>
      <c r="I136" s="217"/>
      <c r="J136" s="233"/>
      <c r="K136" s="234"/>
      <c r="L136" s="223"/>
      <c r="M136" s="233"/>
      <c r="N136" s="235"/>
    </row>
    <row r="137">
      <c r="A137" s="233"/>
      <c r="B137" s="234"/>
      <c r="C137" s="217"/>
      <c r="D137" s="233"/>
      <c r="E137" s="234"/>
      <c r="F137" s="217"/>
      <c r="G137" s="233"/>
      <c r="H137" s="234"/>
      <c r="I137" s="217"/>
      <c r="J137" s="233"/>
      <c r="K137" s="234"/>
      <c r="L137" s="223"/>
      <c r="M137" s="233"/>
      <c r="N137" s="235"/>
    </row>
    <row r="138">
      <c r="A138" s="233"/>
      <c r="B138" s="234"/>
      <c r="C138" s="217"/>
      <c r="D138" s="233"/>
      <c r="E138" s="234"/>
      <c r="F138" s="217"/>
      <c r="G138" s="233"/>
      <c r="H138" s="234"/>
      <c r="I138" s="217"/>
      <c r="J138" s="233"/>
      <c r="K138" s="234"/>
      <c r="L138" s="223"/>
      <c r="M138" s="233"/>
      <c r="N138" s="235"/>
    </row>
    <row r="139">
      <c r="A139" s="233"/>
      <c r="B139" s="234"/>
      <c r="C139" s="217"/>
      <c r="D139" s="233"/>
      <c r="E139" s="234"/>
      <c r="F139" s="217"/>
      <c r="G139" s="233"/>
      <c r="H139" s="234"/>
      <c r="I139" s="217"/>
      <c r="J139" s="233"/>
      <c r="K139" s="234"/>
      <c r="L139" s="223"/>
      <c r="M139" s="233"/>
      <c r="N139" s="235"/>
    </row>
    <row r="140">
      <c r="A140" s="233"/>
      <c r="B140" s="234"/>
      <c r="C140" s="217"/>
      <c r="D140" s="233"/>
      <c r="E140" s="234"/>
      <c r="F140" s="217"/>
      <c r="G140" s="233"/>
      <c r="H140" s="234"/>
      <c r="I140" s="217"/>
      <c r="J140" s="233"/>
      <c r="K140" s="234"/>
      <c r="L140" s="223"/>
      <c r="M140" s="233"/>
      <c r="N140" s="235"/>
    </row>
    <row r="141">
      <c r="A141" s="233"/>
      <c r="B141" s="234"/>
      <c r="C141" s="217"/>
      <c r="D141" s="233"/>
      <c r="E141" s="234"/>
      <c r="F141" s="217"/>
      <c r="G141" s="233"/>
      <c r="H141" s="234"/>
      <c r="I141" s="217"/>
      <c r="J141" s="233"/>
      <c r="K141" s="234"/>
      <c r="L141" s="223"/>
      <c r="M141" s="233"/>
      <c r="N141" s="235"/>
    </row>
    <row r="142">
      <c r="A142" s="233"/>
      <c r="B142" s="234"/>
      <c r="C142" s="217"/>
      <c r="D142" s="233"/>
      <c r="E142" s="234"/>
      <c r="F142" s="217"/>
      <c r="G142" s="233"/>
      <c r="H142" s="234"/>
      <c r="I142" s="217"/>
      <c r="J142" s="233"/>
      <c r="K142" s="234"/>
      <c r="L142" s="223"/>
      <c r="M142" s="233"/>
      <c r="N142" s="235"/>
    </row>
    <row r="143">
      <c r="A143" s="233"/>
      <c r="B143" s="234"/>
      <c r="C143" s="217"/>
      <c r="D143" s="233"/>
      <c r="E143" s="234"/>
      <c r="F143" s="217"/>
      <c r="G143" s="233"/>
      <c r="H143" s="234"/>
      <c r="I143" s="217"/>
      <c r="J143" s="233"/>
      <c r="K143" s="234"/>
      <c r="L143" s="223"/>
      <c r="M143" s="233"/>
      <c r="N143" s="235"/>
    </row>
    <row r="144">
      <c r="A144" s="233"/>
      <c r="B144" s="234"/>
      <c r="C144" s="217"/>
      <c r="D144" s="233"/>
      <c r="E144" s="234"/>
      <c r="F144" s="217"/>
      <c r="G144" s="233"/>
      <c r="H144" s="234"/>
      <c r="I144" s="217"/>
      <c r="J144" s="233"/>
      <c r="K144" s="234"/>
      <c r="L144" s="223"/>
      <c r="M144" s="233"/>
      <c r="N144" s="235"/>
    </row>
    <row r="145">
      <c r="A145" s="233"/>
      <c r="B145" s="234"/>
      <c r="C145" s="217"/>
      <c r="D145" s="233"/>
      <c r="E145" s="234"/>
      <c r="F145" s="217"/>
      <c r="G145" s="233"/>
      <c r="H145" s="234"/>
      <c r="I145" s="217"/>
      <c r="J145" s="233"/>
      <c r="K145" s="234"/>
      <c r="L145" s="223"/>
      <c r="M145" s="233"/>
      <c r="N145" s="235"/>
    </row>
    <row r="146">
      <c r="A146" s="233"/>
      <c r="B146" s="234"/>
      <c r="C146" s="217"/>
      <c r="D146" s="233"/>
      <c r="E146" s="234"/>
      <c r="F146" s="217"/>
      <c r="G146" s="233"/>
      <c r="H146" s="234"/>
      <c r="I146" s="217"/>
      <c r="J146" s="233"/>
      <c r="K146" s="234"/>
      <c r="L146" s="223"/>
      <c r="M146" s="233"/>
      <c r="N146" s="235"/>
    </row>
    <row r="147">
      <c r="A147" s="233"/>
      <c r="B147" s="234"/>
      <c r="C147" s="217"/>
      <c r="D147" s="233"/>
      <c r="E147" s="234"/>
      <c r="F147" s="217"/>
      <c r="G147" s="233"/>
      <c r="H147" s="234"/>
      <c r="I147" s="217"/>
      <c r="J147" s="233"/>
      <c r="K147" s="234"/>
      <c r="L147" s="223"/>
      <c r="M147" s="233"/>
      <c r="N147" s="235"/>
    </row>
    <row r="148">
      <c r="A148" s="233"/>
      <c r="B148" s="234"/>
      <c r="C148" s="217"/>
      <c r="D148" s="233"/>
      <c r="E148" s="234"/>
      <c r="F148" s="217"/>
      <c r="G148" s="233"/>
      <c r="H148" s="234"/>
      <c r="I148" s="217"/>
      <c r="J148" s="233"/>
      <c r="K148" s="234"/>
      <c r="L148" s="223"/>
      <c r="M148" s="233"/>
      <c r="N148" s="235"/>
    </row>
    <row r="149">
      <c r="A149" s="233"/>
      <c r="B149" s="234"/>
      <c r="C149" s="217"/>
      <c r="D149" s="233"/>
      <c r="E149" s="234"/>
      <c r="F149" s="217"/>
      <c r="G149" s="233"/>
      <c r="H149" s="234"/>
      <c r="I149" s="217"/>
      <c r="J149" s="233"/>
      <c r="K149" s="234"/>
      <c r="L149" s="223"/>
      <c r="M149" s="233"/>
      <c r="N149" s="235"/>
    </row>
    <row r="150">
      <c r="A150" s="233"/>
      <c r="B150" s="234"/>
      <c r="C150" s="217"/>
      <c r="D150" s="233"/>
      <c r="E150" s="234"/>
      <c r="F150" s="217"/>
      <c r="G150" s="233"/>
      <c r="H150" s="234"/>
      <c r="I150" s="217"/>
      <c r="J150" s="233"/>
      <c r="K150" s="234"/>
      <c r="L150" s="223"/>
      <c r="M150" s="233"/>
      <c r="N150" s="235"/>
    </row>
    <row r="151">
      <c r="A151" s="233"/>
      <c r="B151" s="234"/>
      <c r="C151" s="217"/>
      <c r="D151" s="233"/>
      <c r="E151" s="234"/>
      <c r="F151" s="217"/>
      <c r="G151" s="233"/>
      <c r="H151" s="234"/>
      <c r="I151" s="217"/>
      <c r="J151" s="233"/>
      <c r="K151" s="234"/>
      <c r="L151" s="223"/>
      <c r="M151" s="233"/>
      <c r="N151" s="235"/>
    </row>
    <row r="152">
      <c r="A152" s="233"/>
      <c r="B152" s="234"/>
      <c r="C152" s="217"/>
      <c r="D152" s="233"/>
      <c r="E152" s="234"/>
      <c r="F152" s="217"/>
      <c r="G152" s="233"/>
      <c r="H152" s="234"/>
      <c r="I152" s="217"/>
      <c r="J152" s="233"/>
      <c r="K152" s="234"/>
      <c r="L152" s="223"/>
      <c r="M152" s="233"/>
      <c r="N152" s="235"/>
    </row>
    <row r="153">
      <c r="A153" s="233"/>
      <c r="B153" s="234"/>
      <c r="C153" s="217"/>
      <c r="D153" s="233"/>
      <c r="E153" s="234"/>
      <c r="F153" s="217"/>
      <c r="G153" s="233"/>
      <c r="H153" s="234"/>
      <c r="I153" s="217"/>
      <c r="J153" s="233"/>
      <c r="K153" s="234"/>
      <c r="L153" s="223"/>
      <c r="M153" s="233"/>
      <c r="N153" s="235"/>
    </row>
    <row r="154">
      <c r="A154" s="233"/>
      <c r="B154" s="234"/>
      <c r="C154" s="217"/>
      <c r="D154" s="233"/>
      <c r="E154" s="234"/>
      <c r="F154" s="217"/>
      <c r="G154" s="233"/>
      <c r="H154" s="234"/>
      <c r="I154" s="217"/>
      <c r="J154" s="233"/>
      <c r="K154" s="234"/>
      <c r="L154" s="223"/>
      <c r="M154" s="233"/>
      <c r="N154" s="235"/>
    </row>
    <row r="155">
      <c r="A155" s="233"/>
      <c r="B155" s="234"/>
      <c r="C155" s="217"/>
      <c r="D155" s="233"/>
      <c r="E155" s="234"/>
      <c r="F155" s="217"/>
      <c r="G155" s="233"/>
      <c r="H155" s="234"/>
      <c r="I155" s="217"/>
      <c r="J155" s="233"/>
      <c r="K155" s="234"/>
      <c r="L155" s="223"/>
      <c r="M155" s="233"/>
      <c r="N155" s="235"/>
    </row>
    <row r="156">
      <c r="A156" s="233"/>
      <c r="B156" s="234"/>
      <c r="C156" s="217"/>
      <c r="D156" s="233"/>
      <c r="E156" s="234"/>
      <c r="F156" s="217"/>
      <c r="G156" s="233"/>
      <c r="H156" s="234"/>
      <c r="I156" s="217"/>
      <c r="J156" s="233"/>
      <c r="K156" s="234"/>
      <c r="L156" s="223"/>
      <c r="M156" s="233"/>
      <c r="N156" s="235"/>
    </row>
    <row r="157">
      <c r="A157" s="233"/>
      <c r="B157" s="234"/>
      <c r="C157" s="217"/>
      <c r="D157" s="233"/>
      <c r="E157" s="234"/>
      <c r="F157" s="217"/>
      <c r="G157" s="233"/>
      <c r="H157" s="234"/>
      <c r="I157" s="217"/>
      <c r="J157" s="233"/>
      <c r="K157" s="234"/>
      <c r="L157" s="223"/>
      <c r="M157" s="233"/>
      <c r="N157" s="235"/>
    </row>
    <row r="158">
      <c r="A158" s="233"/>
      <c r="B158" s="234"/>
      <c r="C158" s="217"/>
      <c r="D158" s="233"/>
      <c r="E158" s="234"/>
      <c r="F158" s="217"/>
      <c r="G158" s="233"/>
      <c r="H158" s="234"/>
      <c r="I158" s="217"/>
      <c r="J158" s="233"/>
      <c r="K158" s="234"/>
      <c r="L158" s="223"/>
      <c r="M158" s="233"/>
      <c r="N158" s="235"/>
    </row>
    <row r="159">
      <c r="A159" s="233"/>
      <c r="B159" s="234"/>
      <c r="C159" s="217"/>
      <c r="D159" s="233"/>
      <c r="E159" s="234"/>
      <c r="F159" s="217"/>
      <c r="G159" s="233"/>
      <c r="H159" s="234"/>
      <c r="I159" s="217"/>
      <c r="J159" s="233"/>
      <c r="K159" s="234"/>
      <c r="L159" s="223"/>
      <c r="M159" s="233"/>
      <c r="N159" s="235"/>
    </row>
    <row r="160">
      <c r="A160" s="233"/>
      <c r="B160" s="234"/>
      <c r="C160" s="217"/>
      <c r="D160" s="233"/>
      <c r="E160" s="234"/>
      <c r="F160" s="217"/>
      <c r="G160" s="233"/>
      <c r="H160" s="234"/>
      <c r="I160" s="217"/>
      <c r="J160" s="233"/>
      <c r="K160" s="234"/>
      <c r="L160" s="223"/>
      <c r="M160" s="233"/>
      <c r="N160" s="235"/>
    </row>
    <row r="161">
      <c r="A161" s="233"/>
      <c r="B161" s="234"/>
      <c r="C161" s="217"/>
      <c r="D161" s="233"/>
      <c r="E161" s="234"/>
      <c r="F161" s="217"/>
      <c r="G161" s="233"/>
      <c r="H161" s="234"/>
      <c r="I161" s="217"/>
      <c r="J161" s="233"/>
      <c r="K161" s="234"/>
      <c r="L161" s="223"/>
      <c r="M161" s="233"/>
      <c r="N161" s="235"/>
    </row>
    <row r="162">
      <c r="A162" s="233"/>
      <c r="B162" s="234"/>
      <c r="C162" s="217"/>
      <c r="D162" s="233"/>
      <c r="E162" s="234"/>
      <c r="F162" s="217"/>
      <c r="G162" s="233"/>
      <c r="H162" s="234"/>
      <c r="I162" s="217"/>
      <c r="J162" s="233"/>
      <c r="K162" s="234"/>
      <c r="L162" s="223"/>
      <c r="M162" s="233"/>
      <c r="N162" s="235"/>
    </row>
    <row r="163">
      <c r="A163" s="233"/>
      <c r="B163" s="234"/>
      <c r="C163" s="217"/>
      <c r="D163" s="233"/>
      <c r="E163" s="234"/>
      <c r="F163" s="217"/>
      <c r="G163" s="233"/>
      <c r="H163" s="234"/>
      <c r="I163" s="217"/>
      <c r="J163" s="233"/>
      <c r="K163" s="234"/>
      <c r="L163" s="223"/>
      <c r="M163" s="233"/>
      <c r="N163" s="235"/>
    </row>
    <row r="164">
      <c r="A164" s="233"/>
      <c r="B164" s="234"/>
      <c r="C164" s="217"/>
      <c r="D164" s="233"/>
      <c r="E164" s="234"/>
      <c r="F164" s="217"/>
      <c r="G164" s="233"/>
      <c r="H164" s="234"/>
      <c r="I164" s="217"/>
      <c r="J164" s="233"/>
      <c r="K164" s="234"/>
      <c r="L164" s="223"/>
      <c r="M164" s="233"/>
      <c r="N164" s="235"/>
    </row>
    <row r="165">
      <c r="A165" s="233"/>
      <c r="B165" s="234"/>
      <c r="C165" s="217"/>
      <c r="D165" s="233"/>
      <c r="E165" s="234"/>
      <c r="F165" s="217"/>
      <c r="G165" s="233"/>
      <c r="H165" s="234"/>
      <c r="I165" s="217"/>
      <c r="J165" s="233"/>
      <c r="K165" s="234"/>
      <c r="L165" s="223"/>
      <c r="M165" s="233"/>
      <c r="N165" s="235"/>
    </row>
    <row r="166">
      <c r="A166" s="233"/>
      <c r="B166" s="234"/>
      <c r="C166" s="217"/>
      <c r="D166" s="233"/>
      <c r="E166" s="234"/>
      <c r="F166" s="217"/>
      <c r="G166" s="233"/>
      <c r="H166" s="234"/>
      <c r="I166" s="217"/>
      <c r="J166" s="233"/>
      <c r="K166" s="234"/>
      <c r="L166" s="223"/>
      <c r="M166" s="233"/>
      <c r="N166" s="235"/>
    </row>
    <row r="167">
      <c r="A167" s="233"/>
      <c r="B167" s="234"/>
      <c r="C167" s="217"/>
      <c r="D167" s="233"/>
      <c r="E167" s="234"/>
      <c r="F167" s="217"/>
      <c r="G167" s="233"/>
      <c r="H167" s="234"/>
      <c r="I167" s="217"/>
      <c r="J167" s="233"/>
      <c r="K167" s="234"/>
      <c r="L167" s="223"/>
      <c r="M167" s="233"/>
      <c r="N167" s="235"/>
    </row>
    <row r="168">
      <c r="A168" s="233"/>
      <c r="B168" s="234"/>
      <c r="C168" s="217"/>
      <c r="D168" s="233"/>
      <c r="E168" s="234"/>
      <c r="F168" s="217"/>
      <c r="G168" s="233"/>
      <c r="H168" s="234"/>
      <c r="I168" s="217"/>
      <c r="J168" s="233"/>
      <c r="K168" s="234"/>
      <c r="L168" s="223"/>
      <c r="M168" s="233"/>
      <c r="N168" s="235"/>
    </row>
    <row r="169">
      <c r="A169" s="233"/>
      <c r="B169" s="234"/>
      <c r="C169" s="217"/>
      <c r="D169" s="233"/>
      <c r="E169" s="234"/>
      <c r="F169" s="217"/>
      <c r="G169" s="233"/>
      <c r="H169" s="234"/>
      <c r="I169" s="217"/>
      <c r="J169" s="233"/>
      <c r="K169" s="234"/>
      <c r="L169" s="223"/>
      <c r="M169" s="233"/>
      <c r="N169" s="235"/>
    </row>
    <row r="170">
      <c r="A170" s="233"/>
      <c r="B170" s="234"/>
      <c r="C170" s="217"/>
      <c r="D170" s="233"/>
      <c r="E170" s="234"/>
      <c r="F170" s="217"/>
      <c r="G170" s="233"/>
      <c r="H170" s="234"/>
      <c r="I170" s="217"/>
      <c r="J170" s="233"/>
      <c r="K170" s="234"/>
      <c r="L170" s="223"/>
      <c r="M170" s="233"/>
      <c r="N170" s="235"/>
    </row>
    <row r="171">
      <c r="A171" s="233"/>
      <c r="B171" s="234"/>
      <c r="C171" s="217"/>
      <c r="D171" s="233"/>
      <c r="E171" s="234"/>
      <c r="F171" s="217"/>
      <c r="G171" s="233"/>
      <c r="H171" s="234"/>
      <c r="I171" s="217"/>
      <c r="J171" s="233"/>
      <c r="K171" s="234"/>
      <c r="L171" s="223"/>
      <c r="M171" s="233"/>
      <c r="N171" s="235"/>
    </row>
    <row r="172">
      <c r="A172" s="233"/>
      <c r="B172" s="234"/>
      <c r="C172" s="217"/>
      <c r="D172" s="233"/>
      <c r="E172" s="234"/>
      <c r="F172" s="217"/>
      <c r="G172" s="233"/>
      <c r="H172" s="234"/>
      <c r="I172" s="217"/>
      <c r="J172" s="233"/>
      <c r="K172" s="234"/>
      <c r="L172" s="223"/>
      <c r="M172" s="233"/>
      <c r="N172" s="235"/>
    </row>
    <row r="173">
      <c r="A173" s="233"/>
      <c r="B173" s="234"/>
      <c r="C173" s="217"/>
      <c r="D173" s="233"/>
      <c r="E173" s="234"/>
      <c r="F173" s="217"/>
      <c r="G173" s="233"/>
      <c r="H173" s="234"/>
      <c r="I173" s="217"/>
      <c r="J173" s="233"/>
      <c r="K173" s="234"/>
      <c r="L173" s="223"/>
      <c r="M173" s="233"/>
      <c r="N173" s="235"/>
    </row>
    <row r="174">
      <c r="A174" s="233"/>
      <c r="B174" s="234"/>
      <c r="C174" s="217"/>
      <c r="D174" s="233"/>
      <c r="E174" s="234"/>
      <c r="F174" s="217"/>
      <c r="G174" s="233"/>
      <c r="H174" s="234"/>
      <c r="I174" s="217"/>
      <c r="J174" s="233"/>
      <c r="K174" s="234"/>
      <c r="L174" s="223"/>
      <c r="M174" s="233"/>
      <c r="N174" s="235"/>
    </row>
    <row r="175">
      <c r="A175" s="233"/>
      <c r="B175" s="234"/>
      <c r="C175" s="217"/>
      <c r="D175" s="233"/>
      <c r="E175" s="234"/>
      <c r="F175" s="217"/>
      <c r="G175" s="233"/>
      <c r="H175" s="234"/>
      <c r="I175" s="217"/>
      <c r="J175" s="233"/>
      <c r="K175" s="234"/>
      <c r="L175" s="223"/>
      <c r="M175" s="233"/>
      <c r="N175" s="235"/>
    </row>
    <row r="176">
      <c r="A176" s="233"/>
      <c r="B176" s="234"/>
      <c r="C176" s="217"/>
      <c r="D176" s="233"/>
      <c r="E176" s="234"/>
      <c r="F176" s="217"/>
      <c r="G176" s="233"/>
      <c r="H176" s="234"/>
      <c r="I176" s="217"/>
      <c r="J176" s="233"/>
      <c r="K176" s="234"/>
      <c r="L176" s="223"/>
      <c r="M176" s="233"/>
      <c r="N176" s="235"/>
    </row>
    <row r="177">
      <c r="A177" s="233"/>
      <c r="B177" s="234"/>
      <c r="C177" s="217"/>
      <c r="D177" s="233"/>
      <c r="E177" s="234"/>
      <c r="F177" s="217"/>
      <c r="G177" s="233"/>
      <c r="H177" s="234"/>
      <c r="I177" s="217"/>
      <c r="J177" s="233"/>
      <c r="K177" s="234"/>
      <c r="L177" s="223"/>
      <c r="M177" s="233"/>
      <c r="N177" s="235"/>
    </row>
    <row r="178">
      <c r="A178" s="233"/>
      <c r="B178" s="234"/>
      <c r="C178" s="217"/>
      <c r="D178" s="233"/>
      <c r="E178" s="234"/>
      <c r="F178" s="217"/>
      <c r="G178" s="233"/>
      <c r="H178" s="234"/>
      <c r="I178" s="217"/>
      <c r="J178" s="233"/>
      <c r="K178" s="234"/>
      <c r="L178" s="223"/>
      <c r="M178" s="233"/>
      <c r="N178" s="235"/>
    </row>
    <row r="179">
      <c r="A179" s="233"/>
      <c r="B179" s="234"/>
      <c r="C179" s="217"/>
      <c r="D179" s="233"/>
      <c r="E179" s="234"/>
      <c r="F179" s="217"/>
      <c r="G179" s="233"/>
      <c r="H179" s="234"/>
      <c r="I179" s="217"/>
      <c r="J179" s="233"/>
      <c r="K179" s="234"/>
      <c r="L179" s="223"/>
      <c r="M179" s="233"/>
      <c r="N179" s="235"/>
    </row>
    <row r="180">
      <c r="A180" s="233"/>
      <c r="B180" s="234"/>
      <c r="C180" s="217"/>
      <c r="D180" s="233"/>
      <c r="E180" s="234"/>
      <c r="F180" s="217"/>
      <c r="G180" s="233"/>
      <c r="H180" s="234"/>
      <c r="I180" s="217"/>
      <c r="J180" s="233"/>
      <c r="K180" s="234"/>
      <c r="L180" s="223"/>
      <c r="M180" s="233"/>
      <c r="N180" s="235"/>
    </row>
    <row r="181">
      <c r="A181" s="233"/>
      <c r="B181" s="234"/>
      <c r="C181" s="217"/>
      <c r="D181" s="233"/>
      <c r="E181" s="234"/>
      <c r="F181" s="217"/>
      <c r="G181" s="233"/>
      <c r="H181" s="234"/>
      <c r="I181" s="217"/>
      <c r="J181" s="233"/>
      <c r="K181" s="234"/>
      <c r="L181" s="223"/>
      <c r="M181" s="233"/>
      <c r="N181" s="235"/>
    </row>
    <row r="182">
      <c r="A182" s="233"/>
      <c r="B182" s="234"/>
      <c r="C182" s="217"/>
      <c r="D182" s="233"/>
      <c r="E182" s="234"/>
      <c r="F182" s="217"/>
      <c r="G182" s="233"/>
      <c r="H182" s="234"/>
      <c r="I182" s="217"/>
      <c r="J182" s="233"/>
      <c r="K182" s="234"/>
      <c r="L182" s="223"/>
      <c r="M182" s="233"/>
      <c r="N182" s="235"/>
    </row>
    <row r="183">
      <c r="A183" s="233"/>
      <c r="B183" s="234"/>
      <c r="C183" s="217"/>
      <c r="D183" s="233"/>
      <c r="E183" s="234"/>
      <c r="F183" s="217"/>
      <c r="G183" s="233"/>
      <c r="H183" s="234"/>
      <c r="I183" s="217"/>
      <c r="J183" s="233"/>
      <c r="K183" s="234"/>
      <c r="L183" s="223"/>
      <c r="M183" s="233"/>
      <c r="N183" s="235"/>
    </row>
    <row r="184">
      <c r="A184" s="233"/>
      <c r="B184" s="234"/>
      <c r="C184" s="217"/>
      <c r="D184" s="233"/>
      <c r="E184" s="234"/>
      <c r="F184" s="217"/>
      <c r="G184" s="233"/>
      <c r="H184" s="234"/>
      <c r="I184" s="217"/>
      <c r="J184" s="233"/>
      <c r="K184" s="234"/>
      <c r="L184" s="223"/>
      <c r="M184" s="233"/>
      <c r="N184" s="235"/>
    </row>
    <row r="185">
      <c r="A185" s="233"/>
      <c r="B185" s="234"/>
      <c r="C185" s="217"/>
      <c r="D185" s="233"/>
      <c r="E185" s="234"/>
      <c r="F185" s="217"/>
      <c r="G185" s="233"/>
      <c r="H185" s="234"/>
      <c r="I185" s="217"/>
      <c r="J185" s="233"/>
      <c r="K185" s="234"/>
      <c r="L185" s="223"/>
      <c r="M185" s="233"/>
      <c r="N185" s="235"/>
    </row>
    <row r="186">
      <c r="A186" s="233"/>
      <c r="B186" s="234"/>
      <c r="C186" s="217"/>
      <c r="D186" s="233"/>
      <c r="E186" s="234"/>
      <c r="F186" s="217"/>
      <c r="G186" s="233"/>
      <c r="H186" s="234"/>
      <c r="I186" s="217"/>
      <c r="J186" s="233"/>
      <c r="K186" s="234"/>
      <c r="L186" s="223"/>
      <c r="M186" s="233"/>
      <c r="N186" s="235"/>
    </row>
    <row r="187">
      <c r="A187" s="233"/>
      <c r="B187" s="234"/>
      <c r="C187" s="217"/>
      <c r="D187" s="233"/>
      <c r="E187" s="234"/>
      <c r="F187" s="217"/>
      <c r="G187" s="233"/>
      <c r="H187" s="234"/>
      <c r="I187" s="217"/>
      <c r="J187" s="233"/>
      <c r="K187" s="234"/>
      <c r="L187" s="223"/>
      <c r="M187" s="233"/>
      <c r="N187" s="235"/>
    </row>
    <row r="188">
      <c r="A188" s="233"/>
      <c r="B188" s="234"/>
      <c r="C188" s="217"/>
      <c r="D188" s="233"/>
      <c r="E188" s="234"/>
      <c r="F188" s="217"/>
      <c r="G188" s="233"/>
      <c r="H188" s="234"/>
      <c r="I188" s="217"/>
      <c r="J188" s="233"/>
      <c r="K188" s="234"/>
      <c r="L188" s="223"/>
      <c r="M188" s="233"/>
      <c r="N188" s="235"/>
    </row>
    <row r="189">
      <c r="A189" s="233"/>
      <c r="B189" s="234"/>
      <c r="C189" s="217"/>
      <c r="D189" s="233"/>
      <c r="E189" s="234"/>
      <c r="F189" s="217"/>
      <c r="G189" s="233"/>
      <c r="H189" s="234"/>
      <c r="I189" s="217"/>
      <c r="J189" s="233"/>
      <c r="K189" s="234"/>
      <c r="L189" s="223"/>
      <c r="M189" s="233"/>
      <c r="N189" s="235"/>
    </row>
    <row r="190">
      <c r="A190" s="233"/>
      <c r="B190" s="234"/>
      <c r="C190" s="217"/>
      <c r="D190" s="233"/>
      <c r="E190" s="234"/>
      <c r="F190" s="217"/>
      <c r="G190" s="233"/>
      <c r="H190" s="234"/>
      <c r="I190" s="217"/>
      <c r="J190" s="233"/>
      <c r="K190" s="234"/>
      <c r="L190" s="223"/>
      <c r="M190" s="233"/>
      <c r="N190" s="235"/>
    </row>
    <row r="191">
      <c r="A191" s="233"/>
      <c r="B191" s="234"/>
      <c r="C191" s="217"/>
      <c r="D191" s="233"/>
      <c r="E191" s="234"/>
      <c r="F191" s="217"/>
      <c r="G191" s="233"/>
      <c r="H191" s="234"/>
      <c r="I191" s="217"/>
      <c r="J191" s="233"/>
      <c r="K191" s="234"/>
      <c r="L191" s="223"/>
      <c r="M191" s="233"/>
      <c r="N191" s="235"/>
    </row>
    <row r="192">
      <c r="A192" s="233"/>
      <c r="B192" s="234"/>
      <c r="C192" s="217"/>
      <c r="D192" s="233"/>
      <c r="E192" s="234"/>
      <c r="F192" s="217"/>
      <c r="G192" s="233"/>
      <c r="H192" s="234"/>
      <c r="I192" s="217"/>
      <c r="J192" s="233"/>
      <c r="K192" s="234"/>
      <c r="L192" s="223"/>
      <c r="M192" s="233"/>
      <c r="N192" s="235"/>
    </row>
    <row r="193">
      <c r="A193" s="233"/>
      <c r="B193" s="234"/>
      <c r="C193" s="217"/>
      <c r="D193" s="233"/>
      <c r="E193" s="234"/>
      <c r="F193" s="217"/>
      <c r="G193" s="233"/>
      <c r="H193" s="234"/>
      <c r="I193" s="217"/>
      <c r="J193" s="233"/>
      <c r="K193" s="234"/>
      <c r="L193" s="223"/>
      <c r="M193" s="233"/>
      <c r="N193" s="235"/>
    </row>
    <row r="194">
      <c r="A194" s="233"/>
      <c r="B194" s="234"/>
      <c r="C194" s="217"/>
      <c r="D194" s="233"/>
      <c r="E194" s="234"/>
      <c r="F194" s="217"/>
      <c r="G194" s="233"/>
      <c r="H194" s="234"/>
      <c r="I194" s="217"/>
      <c r="J194" s="233"/>
      <c r="K194" s="234"/>
      <c r="L194" s="223"/>
      <c r="M194" s="233"/>
      <c r="N194" s="235"/>
    </row>
    <row r="195">
      <c r="A195" s="233"/>
      <c r="B195" s="234"/>
      <c r="C195" s="217"/>
      <c r="D195" s="233"/>
      <c r="E195" s="234"/>
      <c r="F195" s="217"/>
      <c r="G195" s="233"/>
      <c r="H195" s="234"/>
      <c r="I195" s="217"/>
      <c r="J195" s="233"/>
      <c r="K195" s="234"/>
      <c r="L195" s="223"/>
      <c r="M195" s="233"/>
      <c r="N195" s="235"/>
    </row>
    <row r="196">
      <c r="A196" s="233"/>
      <c r="B196" s="234"/>
      <c r="C196" s="217"/>
      <c r="D196" s="233"/>
      <c r="E196" s="234"/>
      <c r="F196" s="217"/>
      <c r="G196" s="233"/>
      <c r="H196" s="234"/>
      <c r="I196" s="217"/>
      <c r="J196" s="233"/>
      <c r="K196" s="234"/>
      <c r="L196" s="223"/>
      <c r="M196" s="233"/>
      <c r="N196" s="235"/>
    </row>
    <row r="197">
      <c r="A197" s="233"/>
      <c r="B197" s="234"/>
      <c r="C197" s="217"/>
      <c r="D197" s="233"/>
      <c r="E197" s="234"/>
      <c r="F197" s="217"/>
      <c r="G197" s="233"/>
      <c r="H197" s="234"/>
      <c r="I197" s="217"/>
      <c r="J197" s="233"/>
      <c r="K197" s="234"/>
      <c r="L197" s="223"/>
      <c r="M197" s="233"/>
      <c r="N197" s="235"/>
    </row>
    <row r="198">
      <c r="A198" s="233"/>
      <c r="B198" s="234"/>
      <c r="C198" s="217"/>
      <c r="D198" s="233"/>
      <c r="E198" s="234"/>
      <c r="F198" s="217"/>
      <c r="G198" s="233"/>
      <c r="H198" s="234"/>
      <c r="I198" s="217"/>
      <c r="J198" s="233"/>
      <c r="K198" s="234"/>
      <c r="L198" s="223"/>
      <c r="M198" s="233"/>
      <c r="N198" s="235"/>
    </row>
    <row r="199">
      <c r="A199" s="233"/>
      <c r="B199" s="234"/>
      <c r="C199" s="217"/>
      <c r="D199" s="233"/>
      <c r="E199" s="234"/>
      <c r="F199" s="217"/>
      <c r="G199" s="233"/>
      <c r="H199" s="234"/>
      <c r="I199" s="217"/>
      <c r="J199" s="233"/>
      <c r="K199" s="234"/>
      <c r="L199" s="223"/>
      <c r="M199" s="233"/>
      <c r="N199" s="235"/>
    </row>
    <row r="200">
      <c r="A200" s="233"/>
      <c r="B200" s="234"/>
      <c r="C200" s="217"/>
      <c r="D200" s="233"/>
      <c r="E200" s="234"/>
      <c r="F200" s="217"/>
      <c r="G200" s="233"/>
      <c r="H200" s="234"/>
      <c r="I200" s="217"/>
      <c r="J200" s="233"/>
      <c r="K200" s="234"/>
      <c r="L200" s="223"/>
      <c r="M200" s="233"/>
      <c r="N200" s="235"/>
    </row>
    <row r="201">
      <c r="A201" s="233"/>
      <c r="B201" s="234"/>
      <c r="C201" s="217"/>
      <c r="D201" s="233"/>
      <c r="E201" s="234"/>
      <c r="F201" s="217"/>
      <c r="G201" s="233"/>
      <c r="H201" s="234"/>
      <c r="I201" s="217"/>
      <c r="J201" s="233"/>
      <c r="K201" s="234"/>
      <c r="L201" s="223"/>
      <c r="M201" s="233"/>
      <c r="N201" s="235"/>
    </row>
    <row r="202">
      <c r="A202" s="233"/>
      <c r="B202" s="234"/>
      <c r="C202" s="217"/>
      <c r="D202" s="233"/>
      <c r="E202" s="234"/>
      <c r="F202" s="217"/>
      <c r="G202" s="233"/>
      <c r="H202" s="234"/>
      <c r="I202" s="217"/>
      <c r="J202" s="233"/>
      <c r="K202" s="234"/>
      <c r="L202" s="223"/>
      <c r="M202" s="233"/>
      <c r="N202" s="235"/>
    </row>
    <row r="203">
      <c r="A203" s="233"/>
      <c r="B203" s="234"/>
      <c r="C203" s="217"/>
      <c r="D203" s="233"/>
      <c r="E203" s="234"/>
      <c r="F203" s="217"/>
      <c r="G203" s="233"/>
      <c r="H203" s="234"/>
      <c r="I203" s="217"/>
      <c r="J203" s="233"/>
      <c r="K203" s="234"/>
      <c r="L203" s="223"/>
      <c r="M203" s="233"/>
      <c r="N203" s="235"/>
    </row>
    <row r="204">
      <c r="A204" s="233"/>
      <c r="B204" s="234"/>
      <c r="C204" s="217"/>
      <c r="D204" s="233"/>
      <c r="E204" s="234"/>
      <c r="F204" s="217"/>
      <c r="G204" s="233"/>
      <c r="H204" s="234"/>
      <c r="I204" s="217"/>
      <c r="J204" s="233"/>
      <c r="K204" s="234"/>
      <c r="L204" s="223"/>
      <c r="M204" s="233"/>
      <c r="N204" s="235"/>
    </row>
    <row r="205">
      <c r="A205" s="233"/>
      <c r="B205" s="234"/>
      <c r="C205" s="217"/>
      <c r="D205" s="233"/>
      <c r="E205" s="234"/>
      <c r="F205" s="217"/>
      <c r="G205" s="233"/>
      <c r="H205" s="234"/>
      <c r="I205" s="217"/>
      <c r="J205" s="233"/>
      <c r="K205" s="234"/>
      <c r="L205" s="223"/>
      <c r="M205" s="233"/>
      <c r="N205" s="235"/>
    </row>
    <row r="206">
      <c r="A206" s="233"/>
      <c r="B206" s="234"/>
      <c r="C206" s="217"/>
      <c r="D206" s="233"/>
      <c r="E206" s="234"/>
      <c r="F206" s="217"/>
      <c r="G206" s="233"/>
      <c r="H206" s="234"/>
      <c r="I206" s="217"/>
      <c r="J206" s="233"/>
      <c r="K206" s="234"/>
      <c r="L206" s="223"/>
      <c r="M206" s="233"/>
      <c r="N206" s="235"/>
    </row>
    <row r="207">
      <c r="A207" s="233"/>
      <c r="B207" s="234"/>
      <c r="C207" s="217"/>
      <c r="D207" s="233"/>
      <c r="E207" s="234"/>
      <c r="F207" s="217"/>
      <c r="G207" s="233"/>
      <c r="H207" s="234"/>
      <c r="I207" s="217"/>
      <c r="J207" s="233"/>
      <c r="K207" s="234"/>
      <c r="L207" s="223"/>
      <c r="M207" s="233"/>
      <c r="N207" s="235"/>
    </row>
    <row r="208">
      <c r="A208" s="233"/>
      <c r="B208" s="234"/>
      <c r="C208" s="217"/>
      <c r="D208" s="233"/>
      <c r="E208" s="234"/>
      <c r="F208" s="217"/>
      <c r="G208" s="233"/>
      <c r="H208" s="234"/>
      <c r="I208" s="217"/>
      <c r="J208" s="233"/>
      <c r="K208" s="234"/>
      <c r="L208" s="223"/>
      <c r="M208" s="233"/>
      <c r="N208" s="235"/>
    </row>
    <row r="209">
      <c r="A209" s="233"/>
      <c r="B209" s="234"/>
      <c r="C209" s="217"/>
      <c r="D209" s="233"/>
      <c r="E209" s="234"/>
      <c r="F209" s="217"/>
      <c r="G209" s="233"/>
      <c r="H209" s="234"/>
      <c r="I209" s="217"/>
      <c r="J209" s="233"/>
      <c r="K209" s="234"/>
      <c r="L209" s="223"/>
      <c r="M209" s="233"/>
      <c r="N209" s="235"/>
    </row>
    <row r="210">
      <c r="A210" s="233"/>
      <c r="B210" s="234"/>
      <c r="C210" s="217"/>
      <c r="D210" s="233"/>
      <c r="E210" s="234"/>
      <c r="F210" s="217"/>
      <c r="G210" s="233"/>
      <c r="H210" s="234"/>
      <c r="I210" s="217"/>
      <c r="J210" s="233"/>
      <c r="K210" s="234"/>
      <c r="L210" s="223"/>
      <c r="M210" s="233"/>
      <c r="N210" s="235"/>
    </row>
    <row r="211">
      <c r="A211" s="233"/>
      <c r="B211" s="234"/>
      <c r="C211" s="217"/>
      <c r="D211" s="233"/>
      <c r="E211" s="234"/>
      <c r="F211" s="217"/>
      <c r="G211" s="233"/>
      <c r="H211" s="234"/>
      <c r="I211" s="217"/>
      <c r="J211" s="233"/>
      <c r="K211" s="234"/>
      <c r="L211" s="223"/>
      <c r="M211" s="233"/>
      <c r="N211" s="235"/>
    </row>
    <row r="212">
      <c r="A212" s="233"/>
      <c r="B212" s="234"/>
      <c r="C212" s="217"/>
      <c r="D212" s="233"/>
      <c r="E212" s="234"/>
      <c r="F212" s="217"/>
      <c r="G212" s="233"/>
      <c r="H212" s="234"/>
      <c r="I212" s="217"/>
      <c r="J212" s="233"/>
      <c r="K212" s="234"/>
      <c r="L212" s="223"/>
      <c r="M212" s="233"/>
      <c r="N212" s="235"/>
    </row>
    <row r="213">
      <c r="A213" s="233"/>
      <c r="B213" s="234"/>
      <c r="C213" s="217"/>
      <c r="D213" s="233"/>
      <c r="E213" s="234"/>
      <c r="F213" s="217"/>
      <c r="G213" s="233"/>
      <c r="H213" s="234"/>
      <c r="I213" s="217"/>
      <c r="J213" s="233"/>
      <c r="K213" s="234"/>
      <c r="L213" s="223"/>
      <c r="M213" s="233"/>
      <c r="N213" s="235"/>
    </row>
    <row r="214">
      <c r="A214" s="233"/>
      <c r="B214" s="234"/>
      <c r="C214" s="217"/>
      <c r="D214" s="233"/>
      <c r="E214" s="234"/>
      <c r="F214" s="217"/>
      <c r="G214" s="233"/>
      <c r="H214" s="234"/>
      <c r="I214" s="217"/>
      <c r="J214" s="233"/>
      <c r="K214" s="234"/>
      <c r="L214" s="223"/>
      <c r="M214" s="233"/>
      <c r="N214" s="235"/>
    </row>
    <row r="215">
      <c r="A215" s="233"/>
      <c r="B215" s="234"/>
      <c r="C215" s="217"/>
      <c r="D215" s="233"/>
      <c r="E215" s="234"/>
      <c r="F215" s="217"/>
      <c r="G215" s="233"/>
      <c r="H215" s="234"/>
      <c r="I215" s="217"/>
      <c r="J215" s="233"/>
      <c r="K215" s="234"/>
      <c r="L215" s="223"/>
      <c r="M215" s="233"/>
      <c r="N215" s="235"/>
    </row>
    <row r="216">
      <c r="A216" s="233"/>
      <c r="B216" s="234"/>
      <c r="C216" s="217"/>
      <c r="D216" s="233"/>
      <c r="E216" s="234"/>
      <c r="F216" s="217"/>
      <c r="G216" s="233"/>
      <c r="H216" s="234"/>
      <c r="I216" s="217"/>
      <c r="J216" s="233"/>
      <c r="K216" s="234"/>
      <c r="L216" s="223"/>
      <c r="M216" s="233"/>
      <c r="N216" s="235"/>
    </row>
    <row r="217">
      <c r="A217" s="233"/>
      <c r="B217" s="234"/>
      <c r="C217" s="217"/>
      <c r="D217" s="233"/>
      <c r="E217" s="234"/>
      <c r="F217" s="217"/>
      <c r="G217" s="233"/>
      <c r="H217" s="234"/>
      <c r="I217" s="217"/>
      <c r="J217" s="233"/>
      <c r="K217" s="234"/>
      <c r="L217" s="223"/>
      <c r="M217" s="233"/>
      <c r="N217" s="235"/>
    </row>
    <row r="218">
      <c r="A218" s="233"/>
      <c r="B218" s="234"/>
      <c r="C218" s="217"/>
      <c r="D218" s="233"/>
      <c r="E218" s="234"/>
      <c r="F218" s="217"/>
      <c r="G218" s="233"/>
      <c r="H218" s="234"/>
      <c r="I218" s="217"/>
      <c r="J218" s="233"/>
      <c r="K218" s="234"/>
      <c r="L218" s="223"/>
      <c r="M218" s="233"/>
      <c r="N218" s="235"/>
    </row>
    <row r="219">
      <c r="A219" s="233"/>
      <c r="B219" s="234"/>
      <c r="C219" s="217"/>
      <c r="D219" s="233"/>
      <c r="E219" s="234"/>
      <c r="F219" s="217"/>
      <c r="G219" s="233"/>
      <c r="H219" s="234"/>
      <c r="I219" s="217"/>
      <c r="J219" s="233"/>
      <c r="K219" s="234"/>
      <c r="L219" s="223"/>
      <c r="M219" s="233"/>
      <c r="N219" s="235"/>
    </row>
    <row r="220">
      <c r="A220" s="233"/>
      <c r="B220" s="234"/>
      <c r="C220" s="217"/>
      <c r="D220" s="233"/>
      <c r="E220" s="234"/>
      <c r="F220" s="217"/>
      <c r="G220" s="233"/>
      <c r="H220" s="234"/>
      <c r="I220" s="217"/>
      <c r="J220" s="233"/>
      <c r="K220" s="234"/>
      <c r="L220" s="223"/>
      <c r="M220" s="233"/>
      <c r="N220" s="235"/>
    </row>
    <row r="221">
      <c r="A221" s="233"/>
      <c r="B221" s="234"/>
      <c r="C221" s="217"/>
      <c r="D221" s="233"/>
      <c r="E221" s="234"/>
      <c r="F221" s="217"/>
      <c r="G221" s="233"/>
      <c r="H221" s="234"/>
      <c r="I221" s="217"/>
      <c r="J221" s="233"/>
      <c r="K221" s="234"/>
      <c r="L221" s="223"/>
      <c r="M221" s="233"/>
      <c r="N221" s="235"/>
    </row>
    <row r="222">
      <c r="A222" s="233"/>
      <c r="B222" s="234"/>
      <c r="C222" s="217"/>
      <c r="D222" s="233"/>
      <c r="E222" s="234"/>
      <c r="F222" s="217"/>
      <c r="G222" s="233"/>
      <c r="H222" s="234"/>
      <c r="I222" s="217"/>
      <c r="J222" s="233"/>
      <c r="K222" s="234"/>
      <c r="L222" s="223"/>
      <c r="M222" s="233"/>
      <c r="N222" s="235"/>
    </row>
    <row r="223">
      <c r="A223" s="233"/>
      <c r="B223" s="234"/>
      <c r="C223" s="217"/>
      <c r="D223" s="233"/>
      <c r="E223" s="234"/>
      <c r="F223" s="217"/>
      <c r="G223" s="233"/>
      <c r="H223" s="234"/>
      <c r="I223" s="217"/>
      <c r="J223" s="233"/>
      <c r="K223" s="234"/>
      <c r="L223" s="223"/>
      <c r="M223" s="233"/>
      <c r="N223" s="235"/>
    </row>
    <row r="224">
      <c r="A224" s="233"/>
      <c r="B224" s="234"/>
      <c r="C224" s="217"/>
      <c r="D224" s="233"/>
      <c r="E224" s="234"/>
      <c r="F224" s="217"/>
      <c r="G224" s="233"/>
      <c r="H224" s="234"/>
      <c r="I224" s="217"/>
      <c r="J224" s="233"/>
      <c r="K224" s="234"/>
      <c r="L224" s="223"/>
      <c r="M224" s="233"/>
      <c r="N224" s="235"/>
    </row>
    <row r="225">
      <c r="A225" s="233"/>
      <c r="B225" s="234"/>
      <c r="C225" s="217"/>
      <c r="D225" s="233"/>
      <c r="E225" s="234"/>
      <c r="F225" s="217"/>
      <c r="G225" s="233"/>
      <c r="H225" s="234"/>
      <c r="I225" s="217"/>
      <c r="J225" s="233"/>
      <c r="K225" s="234"/>
      <c r="L225" s="223"/>
      <c r="M225" s="233"/>
      <c r="N225" s="235"/>
    </row>
    <row r="226">
      <c r="A226" s="233"/>
      <c r="B226" s="234"/>
      <c r="C226" s="217"/>
      <c r="D226" s="233"/>
      <c r="E226" s="234"/>
      <c r="F226" s="217"/>
      <c r="G226" s="233"/>
      <c r="H226" s="234"/>
      <c r="I226" s="217"/>
      <c r="J226" s="233"/>
      <c r="K226" s="234"/>
      <c r="L226" s="223"/>
      <c r="M226" s="233"/>
      <c r="N226" s="235"/>
    </row>
    <row r="227">
      <c r="A227" s="233"/>
      <c r="B227" s="234"/>
      <c r="C227" s="217"/>
      <c r="D227" s="233"/>
      <c r="E227" s="234"/>
      <c r="F227" s="217"/>
      <c r="G227" s="233"/>
      <c r="H227" s="234"/>
      <c r="I227" s="217"/>
      <c r="J227" s="233"/>
      <c r="K227" s="234"/>
      <c r="L227" s="223"/>
      <c r="M227" s="233"/>
      <c r="N227" s="235"/>
    </row>
    <row r="228">
      <c r="A228" s="233"/>
      <c r="B228" s="234"/>
      <c r="C228" s="217"/>
      <c r="D228" s="233"/>
      <c r="E228" s="234"/>
      <c r="F228" s="217"/>
      <c r="G228" s="233"/>
      <c r="H228" s="234"/>
      <c r="I228" s="217"/>
      <c r="J228" s="233"/>
      <c r="K228" s="234"/>
      <c r="L228" s="223"/>
      <c r="M228" s="233"/>
      <c r="N228" s="235"/>
    </row>
    <row r="229">
      <c r="A229" s="233"/>
      <c r="B229" s="234"/>
      <c r="C229" s="217"/>
      <c r="D229" s="233"/>
      <c r="E229" s="234"/>
      <c r="F229" s="217"/>
      <c r="G229" s="233"/>
      <c r="H229" s="234"/>
      <c r="I229" s="217"/>
      <c r="J229" s="233"/>
      <c r="K229" s="234"/>
      <c r="L229" s="223"/>
      <c r="M229" s="233"/>
      <c r="N229" s="235"/>
    </row>
    <row r="230">
      <c r="A230" s="233"/>
      <c r="B230" s="234"/>
      <c r="C230" s="217"/>
      <c r="D230" s="233"/>
      <c r="E230" s="234"/>
      <c r="F230" s="217"/>
      <c r="G230" s="233"/>
      <c r="H230" s="234"/>
      <c r="I230" s="217"/>
      <c r="J230" s="233"/>
      <c r="K230" s="234"/>
      <c r="L230" s="223"/>
      <c r="M230" s="233"/>
      <c r="N230" s="235"/>
    </row>
    <row r="231">
      <c r="A231" s="233"/>
      <c r="B231" s="234"/>
      <c r="C231" s="217"/>
      <c r="D231" s="233"/>
      <c r="E231" s="234"/>
      <c r="F231" s="217"/>
      <c r="G231" s="233"/>
      <c r="H231" s="234"/>
      <c r="I231" s="217"/>
      <c r="J231" s="233"/>
      <c r="K231" s="234"/>
      <c r="L231" s="223"/>
      <c r="M231" s="233"/>
      <c r="N231" s="235"/>
    </row>
    <row r="232">
      <c r="A232" s="233"/>
      <c r="B232" s="234"/>
      <c r="C232" s="217"/>
      <c r="D232" s="233"/>
      <c r="E232" s="234"/>
      <c r="F232" s="217"/>
      <c r="G232" s="233"/>
      <c r="H232" s="234"/>
      <c r="I232" s="217"/>
      <c r="J232" s="233"/>
      <c r="K232" s="234"/>
      <c r="L232" s="223"/>
      <c r="M232" s="233"/>
      <c r="N232" s="235"/>
    </row>
    <row r="233">
      <c r="A233" s="233"/>
      <c r="B233" s="234"/>
      <c r="C233" s="217"/>
      <c r="D233" s="233"/>
      <c r="E233" s="234"/>
      <c r="F233" s="217"/>
      <c r="G233" s="233"/>
      <c r="H233" s="234"/>
      <c r="I233" s="217"/>
      <c r="J233" s="233"/>
      <c r="K233" s="234"/>
      <c r="L233" s="223"/>
      <c r="M233" s="233"/>
      <c r="N233" s="235"/>
    </row>
    <row r="234">
      <c r="A234" s="233"/>
      <c r="B234" s="234"/>
      <c r="C234" s="217"/>
      <c r="D234" s="233"/>
      <c r="E234" s="234"/>
      <c r="F234" s="217"/>
      <c r="G234" s="233"/>
      <c r="H234" s="234"/>
      <c r="I234" s="217"/>
      <c r="J234" s="233"/>
      <c r="K234" s="234"/>
      <c r="L234" s="223"/>
      <c r="M234" s="233"/>
      <c r="N234" s="235"/>
    </row>
    <row r="235">
      <c r="A235" s="233"/>
      <c r="B235" s="234"/>
      <c r="C235" s="217"/>
      <c r="D235" s="233"/>
      <c r="E235" s="234"/>
      <c r="F235" s="217"/>
      <c r="G235" s="233"/>
      <c r="H235" s="234"/>
      <c r="I235" s="217"/>
      <c r="J235" s="233"/>
      <c r="K235" s="234"/>
      <c r="L235" s="223"/>
      <c r="M235" s="233"/>
      <c r="N235" s="235"/>
    </row>
    <row r="236">
      <c r="A236" s="233"/>
      <c r="B236" s="234"/>
      <c r="C236" s="217"/>
      <c r="D236" s="233"/>
      <c r="E236" s="234"/>
      <c r="F236" s="217"/>
      <c r="G236" s="233"/>
      <c r="H236" s="234"/>
      <c r="I236" s="217"/>
      <c r="J236" s="233"/>
      <c r="K236" s="234"/>
      <c r="L236" s="223"/>
      <c r="M236" s="233"/>
      <c r="N236" s="235"/>
    </row>
    <row r="237">
      <c r="A237" s="233"/>
      <c r="B237" s="234"/>
      <c r="C237" s="217"/>
      <c r="D237" s="233"/>
      <c r="E237" s="234"/>
      <c r="F237" s="217"/>
      <c r="G237" s="233"/>
      <c r="H237" s="234"/>
      <c r="I237" s="217"/>
      <c r="J237" s="233"/>
      <c r="K237" s="234"/>
      <c r="L237" s="223"/>
      <c r="M237" s="233"/>
      <c r="N237" s="235"/>
    </row>
    <row r="238">
      <c r="A238" s="233"/>
      <c r="B238" s="234"/>
      <c r="C238" s="217"/>
      <c r="D238" s="233"/>
      <c r="E238" s="234"/>
      <c r="F238" s="217"/>
      <c r="G238" s="233"/>
      <c r="H238" s="234"/>
      <c r="I238" s="217"/>
      <c r="J238" s="233"/>
      <c r="K238" s="234"/>
      <c r="L238" s="223"/>
      <c r="M238" s="233"/>
      <c r="N238" s="235"/>
    </row>
    <row r="239">
      <c r="A239" s="233"/>
      <c r="B239" s="234"/>
      <c r="C239" s="217"/>
      <c r="D239" s="233"/>
      <c r="E239" s="234"/>
      <c r="F239" s="217"/>
      <c r="G239" s="233"/>
      <c r="H239" s="234"/>
      <c r="I239" s="217"/>
      <c r="J239" s="233"/>
      <c r="K239" s="234"/>
      <c r="L239" s="223"/>
      <c r="M239" s="233"/>
      <c r="N239" s="235"/>
    </row>
    <row r="240">
      <c r="A240" s="233"/>
      <c r="B240" s="234"/>
      <c r="C240" s="217"/>
      <c r="D240" s="233"/>
      <c r="E240" s="234"/>
      <c r="F240" s="217"/>
      <c r="G240" s="233"/>
      <c r="H240" s="234"/>
      <c r="I240" s="217"/>
      <c r="J240" s="233"/>
      <c r="K240" s="234"/>
      <c r="L240" s="223"/>
      <c r="M240" s="233"/>
      <c r="N240" s="235"/>
    </row>
    <row r="241">
      <c r="A241" s="233"/>
      <c r="B241" s="234"/>
      <c r="C241" s="217"/>
      <c r="D241" s="233"/>
      <c r="E241" s="234"/>
      <c r="F241" s="217"/>
      <c r="G241" s="233"/>
      <c r="H241" s="234"/>
      <c r="I241" s="217"/>
      <c r="J241" s="233"/>
      <c r="K241" s="234"/>
      <c r="L241" s="223"/>
      <c r="M241" s="233"/>
      <c r="N241" s="235"/>
    </row>
    <row r="242">
      <c r="A242" s="233"/>
      <c r="B242" s="234"/>
      <c r="C242" s="217"/>
      <c r="D242" s="233"/>
      <c r="E242" s="234"/>
      <c r="F242" s="217"/>
      <c r="G242" s="233"/>
      <c r="H242" s="234"/>
      <c r="I242" s="217"/>
      <c r="J242" s="233"/>
      <c r="K242" s="234"/>
      <c r="L242" s="223"/>
      <c r="M242" s="233"/>
      <c r="N242" s="235"/>
    </row>
    <row r="243">
      <c r="A243" s="233"/>
      <c r="B243" s="234"/>
      <c r="C243" s="217"/>
      <c r="D243" s="233"/>
      <c r="E243" s="234"/>
      <c r="F243" s="217"/>
      <c r="G243" s="233"/>
      <c r="H243" s="234"/>
      <c r="I243" s="217"/>
      <c r="J243" s="233"/>
      <c r="K243" s="234"/>
      <c r="L243" s="223"/>
      <c r="M243" s="233"/>
      <c r="N243" s="235"/>
    </row>
    <row r="244">
      <c r="A244" s="233"/>
      <c r="B244" s="234"/>
      <c r="C244" s="217"/>
      <c r="D244" s="233"/>
      <c r="E244" s="234"/>
      <c r="F244" s="217"/>
      <c r="G244" s="233"/>
      <c r="H244" s="234"/>
      <c r="I244" s="217"/>
      <c r="J244" s="233"/>
      <c r="K244" s="234"/>
      <c r="L244" s="223"/>
      <c r="M244" s="233"/>
      <c r="N244" s="235"/>
    </row>
    <row r="245">
      <c r="A245" s="233"/>
      <c r="B245" s="234"/>
      <c r="C245" s="217"/>
      <c r="D245" s="233"/>
      <c r="E245" s="234"/>
      <c r="F245" s="217"/>
      <c r="G245" s="233"/>
      <c r="H245" s="234"/>
      <c r="I245" s="217"/>
      <c r="J245" s="233"/>
      <c r="K245" s="234"/>
      <c r="L245" s="223"/>
      <c r="M245" s="233"/>
      <c r="N245" s="235"/>
    </row>
    <row r="246">
      <c r="A246" s="233"/>
      <c r="B246" s="234"/>
      <c r="C246" s="217"/>
      <c r="D246" s="233"/>
      <c r="E246" s="234"/>
      <c r="F246" s="217"/>
      <c r="G246" s="233"/>
      <c r="H246" s="234"/>
      <c r="I246" s="217"/>
      <c r="J246" s="233"/>
      <c r="K246" s="234"/>
      <c r="L246" s="223"/>
      <c r="M246" s="233"/>
      <c r="N246" s="235"/>
    </row>
    <row r="247">
      <c r="A247" s="233"/>
      <c r="B247" s="234"/>
      <c r="C247" s="217"/>
      <c r="D247" s="233"/>
      <c r="E247" s="234"/>
      <c r="F247" s="217"/>
      <c r="G247" s="233"/>
      <c r="H247" s="234"/>
      <c r="I247" s="217"/>
      <c r="J247" s="233"/>
      <c r="K247" s="234"/>
      <c r="L247" s="223"/>
      <c r="M247" s="233"/>
      <c r="N247" s="235"/>
    </row>
    <row r="248">
      <c r="A248" s="233"/>
      <c r="B248" s="234"/>
      <c r="C248" s="217"/>
      <c r="D248" s="233"/>
      <c r="E248" s="234"/>
      <c r="F248" s="217"/>
      <c r="G248" s="233"/>
      <c r="H248" s="234"/>
      <c r="I248" s="217"/>
      <c r="J248" s="233"/>
      <c r="K248" s="234"/>
      <c r="L248" s="223"/>
      <c r="M248" s="233"/>
      <c r="N248" s="235"/>
    </row>
    <row r="249">
      <c r="A249" s="233"/>
      <c r="B249" s="234"/>
      <c r="C249" s="217"/>
      <c r="D249" s="233"/>
      <c r="E249" s="234"/>
      <c r="F249" s="217"/>
      <c r="G249" s="233"/>
      <c r="H249" s="234"/>
      <c r="I249" s="217"/>
      <c r="J249" s="233"/>
      <c r="K249" s="234"/>
      <c r="L249" s="223"/>
      <c r="M249" s="233"/>
      <c r="N249" s="235"/>
    </row>
    <row r="250">
      <c r="A250" s="233"/>
      <c r="B250" s="234"/>
      <c r="C250" s="217"/>
      <c r="D250" s="233"/>
      <c r="E250" s="234"/>
      <c r="F250" s="217"/>
      <c r="G250" s="233"/>
      <c r="H250" s="234"/>
      <c r="I250" s="217"/>
      <c r="J250" s="233"/>
      <c r="K250" s="234"/>
      <c r="L250" s="223"/>
      <c r="M250" s="233"/>
      <c r="N250" s="235"/>
    </row>
    <row r="251">
      <c r="A251" s="233"/>
      <c r="B251" s="234"/>
      <c r="C251" s="217"/>
      <c r="D251" s="233"/>
      <c r="E251" s="234"/>
      <c r="F251" s="217"/>
      <c r="G251" s="233"/>
      <c r="H251" s="234"/>
      <c r="I251" s="217"/>
      <c r="J251" s="233"/>
      <c r="K251" s="234"/>
      <c r="L251" s="223"/>
      <c r="M251" s="233"/>
      <c r="N251" s="235"/>
    </row>
    <row r="252">
      <c r="A252" s="233"/>
      <c r="B252" s="234"/>
      <c r="C252" s="217"/>
      <c r="D252" s="233"/>
      <c r="E252" s="234"/>
      <c r="F252" s="217"/>
      <c r="G252" s="233"/>
      <c r="H252" s="234"/>
      <c r="I252" s="217"/>
      <c r="J252" s="233"/>
      <c r="K252" s="234"/>
      <c r="L252" s="223"/>
      <c r="M252" s="233"/>
      <c r="N252" s="235"/>
    </row>
    <row r="253">
      <c r="A253" s="233"/>
      <c r="B253" s="234"/>
      <c r="C253" s="217"/>
      <c r="D253" s="233"/>
      <c r="E253" s="234"/>
      <c r="F253" s="217"/>
      <c r="G253" s="233"/>
      <c r="H253" s="234"/>
      <c r="I253" s="217"/>
      <c r="J253" s="233"/>
      <c r="K253" s="234"/>
      <c r="L253" s="223"/>
      <c r="M253" s="233"/>
      <c r="N253" s="235"/>
    </row>
    <row r="254">
      <c r="A254" s="233"/>
      <c r="B254" s="234"/>
      <c r="C254" s="217"/>
      <c r="D254" s="233"/>
      <c r="E254" s="234"/>
      <c r="F254" s="217"/>
      <c r="G254" s="233"/>
      <c r="H254" s="234"/>
      <c r="I254" s="217"/>
      <c r="J254" s="233"/>
      <c r="K254" s="234"/>
      <c r="L254" s="223"/>
      <c r="M254" s="233"/>
      <c r="N254" s="235"/>
    </row>
    <row r="255">
      <c r="A255" s="233"/>
      <c r="B255" s="234"/>
      <c r="C255" s="217"/>
      <c r="D255" s="233"/>
      <c r="E255" s="234"/>
      <c r="F255" s="217"/>
      <c r="G255" s="233"/>
      <c r="H255" s="234"/>
      <c r="I255" s="217"/>
      <c r="J255" s="233"/>
      <c r="K255" s="234"/>
      <c r="L255" s="223"/>
      <c r="M255" s="233"/>
      <c r="N255" s="235"/>
    </row>
    <row r="256">
      <c r="A256" s="233"/>
      <c r="B256" s="234"/>
      <c r="C256" s="217"/>
      <c r="D256" s="233"/>
      <c r="E256" s="234"/>
      <c r="F256" s="217"/>
      <c r="G256" s="233"/>
      <c r="H256" s="234"/>
      <c r="I256" s="217"/>
      <c r="J256" s="233"/>
      <c r="K256" s="234"/>
      <c r="L256" s="223"/>
      <c r="M256" s="233"/>
      <c r="N256" s="235"/>
    </row>
    <row r="257">
      <c r="A257" s="233"/>
      <c r="B257" s="234"/>
      <c r="C257" s="217"/>
      <c r="D257" s="233"/>
      <c r="E257" s="234"/>
      <c r="F257" s="217"/>
      <c r="G257" s="233"/>
      <c r="H257" s="234"/>
      <c r="I257" s="217"/>
      <c r="J257" s="233"/>
      <c r="K257" s="234"/>
      <c r="L257" s="223"/>
      <c r="M257" s="233"/>
      <c r="N257" s="235"/>
    </row>
    <row r="258">
      <c r="A258" s="233"/>
      <c r="B258" s="234"/>
      <c r="C258" s="217"/>
      <c r="D258" s="233"/>
      <c r="E258" s="234"/>
      <c r="F258" s="217"/>
      <c r="G258" s="233"/>
      <c r="H258" s="234"/>
      <c r="I258" s="217"/>
      <c r="J258" s="233"/>
      <c r="K258" s="234"/>
      <c r="L258" s="223"/>
      <c r="M258" s="233"/>
      <c r="N258" s="235"/>
    </row>
    <row r="259">
      <c r="A259" s="233"/>
      <c r="B259" s="234"/>
      <c r="C259" s="217"/>
      <c r="D259" s="233"/>
      <c r="E259" s="234"/>
      <c r="F259" s="217"/>
      <c r="G259" s="233"/>
      <c r="H259" s="234"/>
      <c r="I259" s="217"/>
      <c r="J259" s="233"/>
      <c r="K259" s="234"/>
      <c r="L259" s="223"/>
      <c r="M259" s="233"/>
      <c r="N259" s="235"/>
    </row>
    <row r="260">
      <c r="A260" s="233"/>
      <c r="B260" s="234"/>
      <c r="C260" s="217"/>
      <c r="D260" s="233"/>
      <c r="E260" s="234"/>
      <c r="F260" s="217"/>
      <c r="G260" s="233"/>
      <c r="H260" s="234"/>
      <c r="I260" s="217"/>
      <c r="J260" s="233"/>
      <c r="K260" s="234"/>
      <c r="L260" s="223"/>
      <c r="M260" s="233"/>
      <c r="N260" s="235"/>
    </row>
    <row r="261">
      <c r="A261" s="233"/>
      <c r="B261" s="234"/>
      <c r="C261" s="217"/>
      <c r="D261" s="233"/>
      <c r="E261" s="234"/>
      <c r="F261" s="217"/>
      <c r="G261" s="233"/>
      <c r="H261" s="234"/>
      <c r="I261" s="217"/>
      <c r="J261" s="233"/>
      <c r="K261" s="234"/>
      <c r="L261" s="223"/>
      <c r="M261" s="233"/>
      <c r="N261" s="235"/>
    </row>
    <row r="262">
      <c r="A262" s="233"/>
      <c r="B262" s="234"/>
      <c r="C262" s="217"/>
      <c r="D262" s="233"/>
      <c r="E262" s="234"/>
      <c r="F262" s="217"/>
      <c r="G262" s="233"/>
      <c r="H262" s="234"/>
      <c r="I262" s="217"/>
      <c r="J262" s="233"/>
      <c r="K262" s="234"/>
      <c r="L262" s="223"/>
      <c r="M262" s="233"/>
      <c r="N262" s="235"/>
    </row>
    <row r="263">
      <c r="A263" s="233"/>
      <c r="B263" s="234"/>
      <c r="C263" s="217"/>
      <c r="D263" s="233"/>
      <c r="E263" s="234"/>
      <c r="F263" s="217"/>
      <c r="G263" s="233"/>
      <c r="H263" s="234"/>
      <c r="I263" s="217"/>
      <c r="J263" s="233"/>
      <c r="K263" s="234"/>
      <c r="L263" s="223"/>
      <c r="M263" s="233"/>
      <c r="N263" s="235"/>
    </row>
    <row r="264">
      <c r="A264" s="233"/>
      <c r="B264" s="234"/>
      <c r="C264" s="217"/>
      <c r="D264" s="233"/>
      <c r="E264" s="234"/>
      <c r="F264" s="217"/>
      <c r="G264" s="233"/>
      <c r="H264" s="234"/>
      <c r="I264" s="217"/>
      <c r="J264" s="233"/>
      <c r="K264" s="234"/>
      <c r="L264" s="223"/>
      <c r="M264" s="233"/>
      <c r="N264" s="235"/>
    </row>
    <row r="265">
      <c r="A265" s="233"/>
      <c r="B265" s="234"/>
      <c r="C265" s="217"/>
      <c r="D265" s="233"/>
      <c r="E265" s="234"/>
      <c r="F265" s="217"/>
      <c r="G265" s="233"/>
      <c r="H265" s="234"/>
      <c r="I265" s="217"/>
      <c r="J265" s="233"/>
      <c r="K265" s="234"/>
      <c r="L265" s="223"/>
      <c r="M265" s="233"/>
      <c r="N265" s="235"/>
    </row>
    <row r="266">
      <c r="A266" s="233"/>
      <c r="B266" s="234"/>
      <c r="C266" s="217"/>
      <c r="D266" s="233"/>
      <c r="E266" s="234"/>
      <c r="F266" s="217"/>
      <c r="G266" s="233"/>
      <c r="H266" s="234"/>
      <c r="I266" s="217"/>
      <c r="J266" s="233"/>
      <c r="K266" s="234"/>
      <c r="L266" s="223"/>
      <c r="M266" s="233"/>
      <c r="N266" s="235"/>
    </row>
    <row r="267">
      <c r="A267" s="233"/>
      <c r="B267" s="234"/>
      <c r="C267" s="217"/>
      <c r="D267" s="233"/>
      <c r="E267" s="234"/>
      <c r="F267" s="217"/>
      <c r="G267" s="233"/>
      <c r="H267" s="234"/>
      <c r="I267" s="217"/>
      <c r="J267" s="233"/>
      <c r="K267" s="234"/>
      <c r="L267" s="223"/>
      <c r="M267" s="233"/>
      <c r="N267" s="235"/>
    </row>
    <row r="268">
      <c r="A268" s="233"/>
      <c r="B268" s="234"/>
      <c r="C268" s="217"/>
      <c r="D268" s="233"/>
      <c r="E268" s="234"/>
      <c r="F268" s="217"/>
      <c r="G268" s="233"/>
      <c r="H268" s="234"/>
      <c r="I268" s="217"/>
      <c r="J268" s="233"/>
      <c r="K268" s="234"/>
      <c r="L268" s="223"/>
      <c r="M268" s="233"/>
      <c r="N268" s="235"/>
    </row>
    <row r="269">
      <c r="A269" s="233"/>
      <c r="B269" s="234"/>
      <c r="C269" s="217"/>
      <c r="D269" s="233"/>
      <c r="E269" s="234"/>
      <c r="F269" s="217"/>
      <c r="G269" s="233"/>
      <c r="H269" s="234"/>
      <c r="I269" s="217"/>
      <c r="J269" s="233"/>
      <c r="K269" s="234"/>
      <c r="L269" s="223"/>
      <c r="M269" s="233"/>
      <c r="N269" s="235"/>
    </row>
    <row r="270">
      <c r="A270" s="233"/>
      <c r="B270" s="234"/>
      <c r="C270" s="217"/>
      <c r="D270" s="233"/>
      <c r="E270" s="234"/>
      <c r="F270" s="217"/>
      <c r="G270" s="233"/>
      <c r="H270" s="234"/>
      <c r="I270" s="217"/>
      <c r="J270" s="233"/>
      <c r="K270" s="234"/>
      <c r="L270" s="223"/>
      <c r="M270" s="233"/>
      <c r="N270" s="235"/>
    </row>
    <row r="271">
      <c r="A271" s="233"/>
      <c r="B271" s="234"/>
      <c r="C271" s="217"/>
      <c r="D271" s="233"/>
      <c r="E271" s="234"/>
      <c r="F271" s="217"/>
      <c r="G271" s="233"/>
      <c r="H271" s="234"/>
      <c r="I271" s="217"/>
      <c r="J271" s="233"/>
      <c r="K271" s="234"/>
      <c r="L271" s="223"/>
      <c r="M271" s="233"/>
      <c r="N271" s="235"/>
    </row>
    <row r="272">
      <c r="A272" s="233"/>
      <c r="B272" s="234"/>
      <c r="C272" s="217"/>
      <c r="D272" s="233"/>
      <c r="E272" s="234"/>
      <c r="F272" s="217"/>
      <c r="G272" s="233"/>
      <c r="H272" s="234"/>
      <c r="I272" s="217"/>
      <c r="J272" s="233"/>
      <c r="K272" s="234"/>
      <c r="L272" s="223"/>
      <c r="M272" s="233"/>
      <c r="N272" s="235"/>
    </row>
    <row r="273">
      <c r="A273" s="233"/>
      <c r="B273" s="234"/>
      <c r="C273" s="217"/>
      <c r="D273" s="233"/>
      <c r="E273" s="234"/>
      <c r="F273" s="217"/>
      <c r="G273" s="233"/>
      <c r="H273" s="234"/>
      <c r="I273" s="217"/>
      <c r="J273" s="233"/>
      <c r="K273" s="234"/>
      <c r="L273" s="223"/>
      <c r="M273" s="233"/>
      <c r="N273" s="235"/>
    </row>
    <row r="274">
      <c r="A274" s="233"/>
      <c r="B274" s="234"/>
      <c r="C274" s="217"/>
      <c r="D274" s="233"/>
      <c r="E274" s="234"/>
      <c r="F274" s="217"/>
      <c r="G274" s="233"/>
      <c r="H274" s="234"/>
      <c r="I274" s="217"/>
      <c r="J274" s="233"/>
      <c r="K274" s="234"/>
      <c r="L274" s="223"/>
      <c r="M274" s="233"/>
      <c r="N274" s="235"/>
    </row>
    <row r="275">
      <c r="A275" s="233"/>
      <c r="B275" s="234"/>
      <c r="C275" s="217"/>
      <c r="D275" s="233"/>
      <c r="E275" s="234"/>
      <c r="F275" s="217"/>
      <c r="G275" s="233"/>
      <c r="H275" s="234"/>
      <c r="I275" s="217"/>
      <c r="J275" s="233"/>
      <c r="K275" s="234"/>
      <c r="L275" s="223"/>
      <c r="M275" s="233"/>
      <c r="N275" s="235"/>
    </row>
    <row r="276">
      <c r="A276" s="233"/>
      <c r="B276" s="234"/>
      <c r="C276" s="217"/>
      <c r="D276" s="233"/>
      <c r="E276" s="234"/>
      <c r="F276" s="217"/>
      <c r="G276" s="233"/>
      <c r="H276" s="234"/>
      <c r="I276" s="217"/>
      <c r="J276" s="233"/>
      <c r="K276" s="234"/>
      <c r="L276" s="223"/>
      <c r="M276" s="233"/>
      <c r="N276" s="235"/>
    </row>
    <row r="277">
      <c r="A277" s="233"/>
      <c r="B277" s="234"/>
      <c r="C277" s="217"/>
      <c r="D277" s="233"/>
      <c r="E277" s="234"/>
      <c r="F277" s="217"/>
      <c r="G277" s="233"/>
      <c r="H277" s="234"/>
      <c r="I277" s="217"/>
      <c r="J277" s="233"/>
      <c r="K277" s="234"/>
      <c r="L277" s="223"/>
      <c r="M277" s="233"/>
      <c r="N277" s="235"/>
    </row>
    <row r="278">
      <c r="A278" s="233"/>
      <c r="B278" s="234"/>
      <c r="C278" s="217"/>
      <c r="D278" s="233"/>
      <c r="E278" s="234"/>
      <c r="F278" s="217"/>
      <c r="G278" s="233"/>
      <c r="H278" s="234"/>
      <c r="I278" s="217"/>
      <c r="J278" s="233"/>
      <c r="K278" s="234"/>
      <c r="L278" s="223"/>
      <c r="M278" s="233"/>
      <c r="N278" s="235"/>
    </row>
    <row r="279">
      <c r="A279" s="233"/>
      <c r="B279" s="234"/>
      <c r="C279" s="217"/>
      <c r="D279" s="233"/>
      <c r="E279" s="234"/>
      <c r="F279" s="217"/>
      <c r="G279" s="233"/>
      <c r="H279" s="234"/>
      <c r="I279" s="217"/>
      <c r="J279" s="233"/>
      <c r="K279" s="234"/>
      <c r="L279" s="223"/>
      <c r="M279" s="233"/>
      <c r="N279" s="235"/>
    </row>
    <row r="280">
      <c r="A280" s="233"/>
      <c r="B280" s="234"/>
      <c r="C280" s="217"/>
      <c r="D280" s="233"/>
      <c r="E280" s="234"/>
      <c r="F280" s="217"/>
      <c r="G280" s="233"/>
      <c r="H280" s="234"/>
      <c r="I280" s="217"/>
      <c r="J280" s="233"/>
      <c r="K280" s="234"/>
      <c r="L280" s="223"/>
      <c r="M280" s="233"/>
      <c r="N280" s="235"/>
    </row>
    <row r="281">
      <c r="A281" s="233"/>
      <c r="B281" s="234"/>
      <c r="C281" s="217"/>
      <c r="D281" s="233"/>
      <c r="E281" s="234"/>
      <c r="F281" s="217"/>
      <c r="G281" s="233"/>
      <c r="H281" s="234"/>
      <c r="I281" s="217"/>
      <c r="J281" s="233"/>
      <c r="K281" s="234"/>
      <c r="L281" s="223"/>
      <c r="M281" s="233"/>
      <c r="N281" s="235"/>
    </row>
    <row r="282">
      <c r="A282" s="233"/>
      <c r="B282" s="234"/>
      <c r="C282" s="217"/>
      <c r="D282" s="233"/>
      <c r="E282" s="234"/>
      <c r="F282" s="217"/>
      <c r="G282" s="233"/>
      <c r="H282" s="234"/>
      <c r="I282" s="217"/>
      <c r="J282" s="233"/>
      <c r="K282" s="234"/>
      <c r="L282" s="223"/>
      <c r="M282" s="233"/>
      <c r="N282" s="235"/>
    </row>
    <row r="283">
      <c r="A283" s="233"/>
      <c r="B283" s="234"/>
      <c r="C283" s="217"/>
      <c r="D283" s="233"/>
      <c r="E283" s="234"/>
      <c r="F283" s="217"/>
      <c r="G283" s="233"/>
      <c r="H283" s="234"/>
      <c r="I283" s="217"/>
      <c r="J283" s="233"/>
      <c r="K283" s="234"/>
      <c r="L283" s="223"/>
      <c r="M283" s="233"/>
      <c r="N283" s="235"/>
    </row>
    <row r="284">
      <c r="A284" s="233"/>
      <c r="B284" s="234"/>
      <c r="C284" s="217"/>
      <c r="D284" s="233"/>
      <c r="E284" s="234"/>
      <c r="F284" s="217"/>
      <c r="G284" s="233"/>
      <c r="H284" s="234"/>
      <c r="I284" s="217"/>
      <c r="J284" s="233"/>
      <c r="K284" s="234"/>
      <c r="L284" s="223"/>
      <c r="M284" s="233"/>
      <c r="N284" s="235"/>
    </row>
    <row r="285">
      <c r="A285" s="233"/>
      <c r="B285" s="234"/>
      <c r="C285" s="217"/>
      <c r="D285" s="233"/>
      <c r="E285" s="234"/>
      <c r="F285" s="217"/>
      <c r="G285" s="233"/>
      <c r="H285" s="234"/>
      <c r="I285" s="217"/>
      <c r="J285" s="233"/>
      <c r="K285" s="234"/>
      <c r="L285" s="223"/>
      <c r="M285" s="233"/>
      <c r="N285" s="235"/>
    </row>
    <row r="286">
      <c r="A286" s="233"/>
      <c r="B286" s="234"/>
      <c r="C286" s="217"/>
      <c r="D286" s="233"/>
      <c r="E286" s="234"/>
      <c r="F286" s="217"/>
      <c r="G286" s="233"/>
      <c r="H286" s="234"/>
      <c r="I286" s="217"/>
      <c r="J286" s="233"/>
      <c r="K286" s="234"/>
      <c r="L286" s="223"/>
      <c r="M286" s="233"/>
      <c r="N286" s="235"/>
    </row>
    <row r="287">
      <c r="A287" s="233"/>
      <c r="B287" s="234"/>
      <c r="C287" s="217"/>
      <c r="D287" s="233"/>
      <c r="E287" s="234"/>
      <c r="F287" s="217"/>
      <c r="G287" s="233"/>
      <c r="H287" s="234"/>
      <c r="I287" s="217"/>
      <c r="J287" s="233"/>
      <c r="K287" s="234"/>
      <c r="L287" s="223"/>
      <c r="M287" s="233"/>
      <c r="N287" s="235"/>
    </row>
    <row r="288">
      <c r="A288" s="233"/>
      <c r="B288" s="234"/>
      <c r="C288" s="217"/>
      <c r="D288" s="233"/>
      <c r="E288" s="234"/>
      <c r="F288" s="217"/>
      <c r="G288" s="233"/>
      <c r="H288" s="234"/>
      <c r="I288" s="217"/>
      <c r="J288" s="233"/>
      <c r="K288" s="234"/>
      <c r="L288" s="223"/>
      <c r="M288" s="233"/>
      <c r="N288" s="235"/>
    </row>
    <row r="289">
      <c r="A289" s="233"/>
      <c r="B289" s="234"/>
      <c r="C289" s="217"/>
      <c r="D289" s="233"/>
      <c r="E289" s="234"/>
      <c r="F289" s="217"/>
      <c r="G289" s="233"/>
      <c r="H289" s="234"/>
      <c r="I289" s="217"/>
      <c r="J289" s="233"/>
      <c r="K289" s="234"/>
      <c r="L289" s="223"/>
      <c r="M289" s="233"/>
      <c r="N289" s="235"/>
    </row>
    <row r="290">
      <c r="A290" s="233"/>
      <c r="B290" s="234"/>
      <c r="C290" s="217"/>
      <c r="D290" s="233"/>
      <c r="E290" s="234"/>
      <c r="F290" s="217"/>
      <c r="G290" s="233"/>
      <c r="H290" s="234"/>
      <c r="I290" s="217"/>
      <c r="J290" s="233"/>
      <c r="K290" s="234"/>
      <c r="L290" s="223"/>
      <c r="M290" s="233"/>
      <c r="N290" s="235"/>
    </row>
    <row r="291">
      <c r="A291" s="233"/>
      <c r="B291" s="234"/>
      <c r="C291" s="217"/>
      <c r="D291" s="233"/>
      <c r="E291" s="234"/>
      <c r="F291" s="217"/>
      <c r="G291" s="233"/>
      <c r="H291" s="234"/>
      <c r="I291" s="217"/>
      <c r="J291" s="233"/>
      <c r="K291" s="234"/>
      <c r="L291" s="223"/>
      <c r="M291" s="233"/>
      <c r="N291" s="235"/>
    </row>
    <row r="292">
      <c r="A292" s="233"/>
      <c r="B292" s="234"/>
      <c r="C292" s="217"/>
      <c r="D292" s="233"/>
      <c r="E292" s="234"/>
      <c r="F292" s="217"/>
      <c r="G292" s="233"/>
      <c r="H292" s="234"/>
      <c r="I292" s="217"/>
      <c r="J292" s="233"/>
      <c r="K292" s="234"/>
      <c r="L292" s="223"/>
      <c r="M292" s="233"/>
      <c r="N292" s="235"/>
    </row>
    <row r="293">
      <c r="A293" s="233"/>
      <c r="B293" s="234"/>
      <c r="C293" s="217"/>
      <c r="D293" s="233"/>
      <c r="E293" s="234"/>
      <c r="F293" s="217"/>
      <c r="G293" s="233"/>
      <c r="H293" s="234"/>
      <c r="I293" s="217"/>
      <c r="J293" s="233"/>
      <c r="K293" s="234"/>
      <c r="L293" s="223"/>
      <c r="M293" s="233"/>
      <c r="N293" s="235"/>
    </row>
    <row r="294">
      <c r="A294" s="233"/>
      <c r="B294" s="234"/>
      <c r="C294" s="217"/>
      <c r="D294" s="233"/>
      <c r="E294" s="234"/>
      <c r="F294" s="217"/>
      <c r="G294" s="233"/>
      <c r="H294" s="234"/>
      <c r="I294" s="217"/>
      <c r="J294" s="233"/>
      <c r="K294" s="234"/>
      <c r="L294" s="223"/>
      <c r="M294" s="233"/>
      <c r="N294" s="235"/>
    </row>
    <row r="295">
      <c r="A295" s="233"/>
      <c r="B295" s="234"/>
      <c r="C295" s="217"/>
      <c r="D295" s="233"/>
      <c r="E295" s="234"/>
      <c r="F295" s="217"/>
      <c r="G295" s="233"/>
      <c r="H295" s="234"/>
      <c r="I295" s="217"/>
      <c r="J295" s="233"/>
      <c r="K295" s="234"/>
      <c r="L295" s="223"/>
      <c r="M295" s="233"/>
      <c r="N295" s="235"/>
    </row>
    <row r="296">
      <c r="A296" s="233"/>
      <c r="B296" s="234"/>
      <c r="C296" s="217"/>
      <c r="D296" s="233"/>
      <c r="E296" s="234"/>
      <c r="F296" s="217"/>
      <c r="G296" s="233"/>
      <c r="H296" s="234"/>
      <c r="I296" s="217"/>
      <c r="J296" s="233"/>
      <c r="K296" s="234"/>
      <c r="L296" s="223"/>
      <c r="M296" s="233"/>
      <c r="N296" s="235"/>
    </row>
    <row r="297">
      <c r="A297" s="233"/>
      <c r="B297" s="234"/>
      <c r="C297" s="217"/>
      <c r="D297" s="233"/>
      <c r="E297" s="234"/>
      <c r="F297" s="217"/>
      <c r="G297" s="233"/>
      <c r="H297" s="234"/>
      <c r="I297" s="217"/>
      <c r="J297" s="233"/>
      <c r="K297" s="234"/>
      <c r="L297" s="223"/>
      <c r="M297" s="233"/>
      <c r="N297" s="235"/>
    </row>
    <row r="298">
      <c r="A298" s="233"/>
      <c r="B298" s="234"/>
      <c r="C298" s="217"/>
      <c r="D298" s="233"/>
      <c r="E298" s="234"/>
      <c r="F298" s="217"/>
      <c r="G298" s="233"/>
      <c r="H298" s="234"/>
      <c r="I298" s="217"/>
      <c r="J298" s="233"/>
      <c r="K298" s="234"/>
      <c r="L298" s="223"/>
      <c r="M298" s="233"/>
      <c r="N298" s="235"/>
    </row>
    <row r="299">
      <c r="A299" s="233"/>
      <c r="B299" s="234"/>
      <c r="C299" s="217"/>
      <c r="D299" s="233"/>
      <c r="E299" s="234"/>
      <c r="F299" s="217"/>
      <c r="G299" s="233"/>
      <c r="H299" s="234"/>
      <c r="I299" s="217"/>
      <c r="J299" s="233"/>
      <c r="K299" s="234"/>
      <c r="L299" s="223"/>
      <c r="M299" s="233"/>
      <c r="N299" s="235"/>
    </row>
    <row r="300">
      <c r="A300" s="233"/>
      <c r="B300" s="234"/>
      <c r="C300" s="217"/>
      <c r="D300" s="233"/>
      <c r="E300" s="234"/>
      <c r="F300" s="217"/>
      <c r="G300" s="233"/>
      <c r="H300" s="234"/>
      <c r="I300" s="217"/>
      <c r="J300" s="233"/>
      <c r="K300" s="234"/>
      <c r="L300" s="223"/>
      <c r="M300" s="233"/>
      <c r="N300" s="235"/>
    </row>
    <row r="301">
      <c r="A301" s="233"/>
      <c r="B301" s="234"/>
      <c r="C301" s="217"/>
      <c r="D301" s="233"/>
      <c r="E301" s="234"/>
      <c r="F301" s="217"/>
      <c r="G301" s="233"/>
      <c r="H301" s="234"/>
      <c r="I301" s="217"/>
      <c r="J301" s="233"/>
      <c r="K301" s="234"/>
      <c r="L301" s="223"/>
      <c r="M301" s="233"/>
      <c r="N301" s="235"/>
    </row>
    <row r="302">
      <c r="A302" s="233"/>
      <c r="B302" s="234"/>
      <c r="C302" s="217"/>
      <c r="D302" s="233"/>
      <c r="E302" s="234"/>
      <c r="F302" s="217"/>
      <c r="G302" s="233"/>
      <c r="H302" s="234"/>
      <c r="I302" s="217"/>
      <c r="J302" s="233"/>
      <c r="K302" s="234"/>
      <c r="L302" s="223"/>
      <c r="M302" s="233"/>
      <c r="N302" s="235"/>
    </row>
    <row r="303">
      <c r="A303" s="233"/>
      <c r="B303" s="234"/>
      <c r="C303" s="217"/>
      <c r="D303" s="233"/>
      <c r="E303" s="234"/>
      <c r="F303" s="217"/>
      <c r="G303" s="233"/>
      <c r="H303" s="234"/>
      <c r="I303" s="217"/>
      <c r="J303" s="233"/>
      <c r="K303" s="234"/>
      <c r="L303" s="223"/>
      <c r="M303" s="233"/>
      <c r="N303" s="235"/>
    </row>
    <row r="304">
      <c r="A304" s="233"/>
      <c r="B304" s="234"/>
      <c r="C304" s="217"/>
      <c r="D304" s="233"/>
      <c r="E304" s="234"/>
      <c r="F304" s="217"/>
      <c r="G304" s="233"/>
      <c r="H304" s="234"/>
      <c r="I304" s="217"/>
      <c r="J304" s="233"/>
      <c r="K304" s="234"/>
      <c r="L304" s="223"/>
      <c r="M304" s="233"/>
      <c r="N304" s="235"/>
    </row>
    <row r="305">
      <c r="A305" s="233"/>
      <c r="B305" s="234"/>
      <c r="C305" s="217"/>
      <c r="D305" s="233"/>
      <c r="E305" s="234"/>
      <c r="F305" s="217"/>
      <c r="G305" s="233"/>
      <c r="H305" s="234"/>
      <c r="I305" s="217"/>
      <c r="J305" s="233"/>
      <c r="K305" s="234"/>
      <c r="L305" s="223"/>
      <c r="M305" s="233"/>
      <c r="N305" s="235"/>
    </row>
    <row r="306">
      <c r="A306" s="233"/>
      <c r="B306" s="234"/>
      <c r="C306" s="217"/>
      <c r="D306" s="233"/>
      <c r="E306" s="234"/>
      <c r="F306" s="217"/>
      <c r="G306" s="233"/>
      <c r="H306" s="234"/>
      <c r="I306" s="217"/>
      <c r="J306" s="233"/>
      <c r="K306" s="234"/>
      <c r="L306" s="223"/>
      <c r="M306" s="233"/>
      <c r="N306" s="235"/>
    </row>
    <row r="307">
      <c r="A307" s="233"/>
      <c r="B307" s="234"/>
      <c r="C307" s="217"/>
      <c r="D307" s="233"/>
      <c r="E307" s="234"/>
      <c r="F307" s="217"/>
      <c r="G307" s="233"/>
      <c r="H307" s="234"/>
      <c r="I307" s="217"/>
      <c r="J307" s="233"/>
      <c r="K307" s="234"/>
      <c r="L307" s="223"/>
      <c r="M307" s="233"/>
      <c r="N307" s="235"/>
    </row>
    <row r="308">
      <c r="A308" s="233"/>
      <c r="B308" s="234"/>
      <c r="C308" s="217"/>
      <c r="D308" s="233"/>
      <c r="E308" s="234"/>
      <c r="F308" s="217"/>
      <c r="G308" s="233"/>
      <c r="H308" s="234"/>
      <c r="I308" s="217"/>
      <c r="J308" s="233"/>
      <c r="K308" s="234"/>
      <c r="L308" s="223"/>
      <c r="M308" s="233"/>
      <c r="N308" s="235"/>
    </row>
    <row r="309">
      <c r="A309" s="233"/>
      <c r="B309" s="234"/>
      <c r="C309" s="217"/>
      <c r="D309" s="233"/>
      <c r="E309" s="234"/>
      <c r="F309" s="217"/>
      <c r="G309" s="233"/>
      <c r="H309" s="234"/>
      <c r="I309" s="217"/>
      <c r="J309" s="233"/>
      <c r="K309" s="234"/>
      <c r="L309" s="223"/>
      <c r="M309" s="233"/>
      <c r="N309" s="235"/>
    </row>
    <row r="310">
      <c r="A310" s="233"/>
      <c r="B310" s="234"/>
      <c r="C310" s="217"/>
      <c r="D310" s="233"/>
      <c r="E310" s="234"/>
      <c r="F310" s="217"/>
      <c r="G310" s="233"/>
      <c r="H310" s="234"/>
      <c r="I310" s="217"/>
      <c r="J310" s="233"/>
      <c r="K310" s="234"/>
      <c r="L310" s="223"/>
      <c r="M310" s="233"/>
      <c r="N310" s="235"/>
    </row>
    <row r="311">
      <c r="A311" s="233"/>
      <c r="B311" s="234"/>
      <c r="C311" s="217"/>
      <c r="D311" s="233"/>
      <c r="E311" s="234"/>
      <c r="F311" s="217"/>
      <c r="G311" s="233"/>
      <c r="H311" s="234"/>
      <c r="I311" s="217"/>
      <c r="J311" s="233"/>
      <c r="K311" s="234"/>
      <c r="L311" s="223"/>
      <c r="M311" s="233"/>
      <c r="N311" s="235"/>
    </row>
    <row r="312">
      <c r="A312" s="233"/>
      <c r="B312" s="234"/>
      <c r="C312" s="217"/>
      <c r="D312" s="233"/>
      <c r="E312" s="234"/>
      <c r="F312" s="217"/>
      <c r="G312" s="233"/>
      <c r="H312" s="234"/>
      <c r="I312" s="217"/>
      <c r="J312" s="233"/>
      <c r="K312" s="234"/>
      <c r="L312" s="223"/>
      <c r="M312" s="233"/>
      <c r="N312" s="235"/>
    </row>
    <row r="313">
      <c r="A313" s="233"/>
      <c r="B313" s="234"/>
      <c r="C313" s="217"/>
      <c r="D313" s="233"/>
      <c r="E313" s="234"/>
      <c r="F313" s="217"/>
      <c r="G313" s="233"/>
      <c r="H313" s="234"/>
      <c r="I313" s="217"/>
      <c r="J313" s="233"/>
      <c r="K313" s="234"/>
      <c r="L313" s="223"/>
      <c r="M313" s="233"/>
      <c r="N313" s="235"/>
    </row>
    <row r="314">
      <c r="A314" s="233"/>
      <c r="B314" s="234"/>
      <c r="C314" s="217"/>
      <c r="D314" s="233"/>
      <c r="E314" s="234"/>
      <c r="F314" s="217"/>
      <c r="G314" s="233"/>
      <c r="H314" s="234"/>
      <c r="I314" s="217"/>
      <c r="J314" s="233"/>
      <c r="K314" s="234"/>
      <c r="L314" s="223"/>
      <c r="M314" s="233"/>
      <c r="N314" s="235"/>
    </row>
    <row r="315">
      <c r="A315" s="233"/>
      <c r="B315" s="234"/>
      <c r="C315" s="217"/>
      <c r="D315" s="233"/>
      <c r="E315" s="234"/>
      <c r="F315" s="217"/>
      <c r="G315" s="233"/>
      <c r="H315" s="234"/>
      <c r="I315" s="217"/>
      <c r="J315" s="233"/>
      <c r="K315" s="234"/>
      <c r="L315" s="223"/>
      <c r="M315" s="233"/>
      <c r="N315" s="235"/>
    </row>
    <row r="316">
      <c r="A316" s="233"/>
      <c r="B316" s="234"/>
      <c r="C316" s="217"/>
      <c r="D316" s="233"/>
      <c r="E316" s="234"/>
      <c r="F316" s="217"/>
      <c r="G316" s="233"/>
      <c r="H316" s="234"/>
      <c r="I316" s="217"/>
      <c r="J316" s="233"/>
      <c r="K316" s="234"/>
      <c r="L316" s="223"/>
      <c r="M316" s="233"/>
      <c r="N316" s="235"/>
    </row>
    <row r="317">
      <c r="A317" s="233"/>
      <c r="B317" s="234"/>
      <c r="C317" s="217"/>
      <c r="D317" s="233"/>
      <c r="E317" s="234"/>
      <c r="F317" s="217"/>
      <c r="G317" s="233"/>
      <c r="H317" s="234"/>
      <c r="I317" s="217"/>
      <c r="J317" s="233"/>
      <c r="K317" s="234"/>
      <c r="L317" s="223"/>
      <c r="M317" s="233"/>
      <c r="N317" s="235"/>
    </row>
    <row r="318">
      <c r="A318" s="233"/>
      <c r="B318" s="234"/>
      <c r="C318" s="217"/>
      <c r="D318" s="233"/>
      <c r="E318" s="234"/>
      <c r="F318" s="217"/>
      <c r="G318" s="233"/>
      <c r="H318" s="234"/>
      <c r="I318" s="217"/>
      <c r="J318" s="233"/>
      <c r="K318" s="234"/>
      <c r="L318" s="223"/>
      <c r="M318" s="233"/>
      <c r="N318" s="235"/>
    </row>
    <row r="319">
      <c r="A319" s="233"/>
      <c r="B319" s="234"/>
      <c r="C319" s="217"/>
      <c r="D319" s="233"/>
      <c r="E319" s="234"/>
      <c r="F319" s="217"/>
      <c r="G319" s="233"/>
      <c r="H319" s="234"/>
      <c r="I319" s="217"/>
      <c r="J319" s="233"/>
      <c r="K319" s="234"/>
      <c r="L319" s="223"/>
      <c r="M319" s="233"/>
      <c r="N319" s="235"/>
    </row>
    <row r="320">
      <c r="A320" s="233"/>
      <c r="B320" s="234"/>
      <c r="C320" s="217"/>
      <c r="D320" s="233"/>
      <c r="E320" s="234"/>
      <c r="F320" s="217"/>
      <c r="G320" s="233"/>
      <c r="H320" s="234"/>
      <c r="I320" s="217"/>
      <c r="J320" s="233"/>
      <c r="K320" s="234"/>
      <c r="L320" s="223"/>
      <c r="M320" s="233"/>
      <c r="N320" s="235"/>
    </row>
    <row r="321">
      <c r="A321" s="233"/>
      <c r="B321" s="234"/>
      <c r="C321" s="217"/>
      <c r="D321" s="233"/>
      <c r="E321" s="234"/>
      <c r="F321" s="217"/>
      <c r="G321" s="233"/>
      <c r="H321" s="234"/>
      <c r="I321" s="217"/>
      <c r="J321" s="233"/>
      <c r="K321" s="234"/>
      <c r="L321" s="223"/>
      <c r="M321" s="233"/>
      <c r="N321" s="235"/>
    </row>
    <row r="322">
      <c r="A322" s="233"/>
      <c r="B322" s="234"/>
      <c r="C322" s="217"/>
      <c r="D322" s="233"/>
      <c r="E322" s="234"/>
      <c r="F322" s="217"/>
      <c r="G322" s="233"/>
      <c r="H322" s="234"/>
      <c r="I322" s="217"/>
      <c r="J322" s="233"/>
      <c r="K322" s="234"/>
      <c r="L322" s="223"/>
      <c r="M322" s="233"/>
      <c r="N322" s="235"/>
    </row>
    <row r="323">
      <c r="A323" s="233"/>
      <c r="B323" s="234"/>
      <c r="C323" s="217"/>
      <c r="D323" s="233"/>
      <c r="E323" s="234"/>
      <c r="F323" s="217"/>
      <c r="G323" s="233"/>
      <c r="H323" s="234"/>
      <c r="I323" s="217"/>
      <c r="J323" s="233"/>
      <c r="K323" s="234"/>
      <c r="L323" s="223"/>
      <c r="M323" s="233"/>
      <c r="N323" s="235"/>
    </row>
    <row r="324">
      <c r="A324" s="233"/>
      <c r="B324" s="234"/>
      <c r="C324" s="217"/>
      <c r="D324" s="233"/>
      <c r="E324" s="234"/>
      <c r="F324" s="217"/>
      <c r="G324" s="233"/>
      <c r="H324" s="234"/>
      <c r="I324" s="217"/>
      <c r="J324" s="233"/>
      <c r="K324" s="234"/>
      <c r="L324" s="223"/>
      <c r="M324" s="233"/>
      <c r="N324" s="235"/>
    </row>
    <row r="325">
      <c r="A325" s="233"/>
      <c r="B325" s="234"/>
      <c r="C325" s="217"/>
      <c r="D325" s="233"/>
      <c r="E325" s="234"/>
      <c r="F325" s="217"/>
      <c r="G325" s="233"/>
      <c r="H325" s="234"/>
      <c r="I325" s="217"/>
      <c r="J325" s="233"/>
      <c r="K325" s="234"/>
      <c r="L325" s="223"/>
      <c r="M325" s="233"/>
      <c r="N325" s="235"/>
    </row>
    <row r="326">
      <c r="A326" s="233"/>
      <c r="B326" s="234"/>
      <c r="C326" s="217"/>
      <c r="D326" s="233"/>
      <c r="E326" s="234"/>
      <c r="F326" s="217"/>
      <c r="G326" s="233"/>
      <c r="H326" s="234"/>
      <c r="I326" s="217"/>
      <c r="J326" s="233"/>
      <c r="K326" s="234"/>
      <c r="L326" s="223"/>
      <c r="M326" s="233"/>
      <c r="N326" s="235"/>
    </row>
    <row r="327">
      <c r="A327" s="233"/>
      <c r="B327" s="234"/>
      <c r="C327" s="217"/>
      <c r="D327" s="233"/>
      <c r="E327" s="234"/>
      <c r="F327" s="217"/>
      <c r="G327" s="233"/>
      <c r="H327" s="234"/>
      <c r="I327" s="217"/>
      <c r="J327" s="233"/>
      <c r="K327" s="234"/>
      <c r="L327" s="223"/>
      <c r="M327" s="233"/>
      <c r="N327" s="235"/>
    </row>
    <row r="328">
      <c r="A328" s="233"/>
      <c r="B328" s="234"/>
      <c r="C328" s="217"/>
      <c r="D328" s="233"/>
      <c r="E328" s="234"/>
      <c r="F328" s="217"/>
      <c r="G328" s="233"/>
      <c r="H328" s="234"/>
      <c r="I328" s="217"/>
      <c r="J328" s="233"/>
      <c r="K328" s="234"/>
      <c r="L328" s="223"/>
      <c r="M328" s="233"/>
      <c r="N328" s="235"/>
    </row>
    <row r="329">
      <c r="A329" s="233"/>
      <c r="B329" s="234"/>
      <c r="C329" s="217"/>
      <c r="D329" s="233"/>
      <c r="E329" s="234"/>
      <c r="F329" s="217"/>
      <c r="G329" s="233"/>
      <c r="H329" s="234"/>
      <c r="I329" s="217"/>
      <c r="J329" s="233"/>
      <c r="K329" s="234"/>
      <c r="L329" s="223"/>
      <c r="M329" s="233"/>
      <c r="N329" s="235"/>
    </row>
    <row r="330">
      <c r="A330" s="233"/>
      <c r="B330" s="234"/>
      <c r="C330" s="217"/>
      <c r="D330" s="233"/>
      <c r="E330" s="234"/>
      <c r="F330" s="217"/>
      <c r="G330" s="233"/>
      <c r="H330" s="234"/>
      <c r="I330" s="217"/>
      <c r="J330" s="233"/>
      <c r="K330" s="234"/>
      <c r="L330" s="223"/>
      <c r="M330" s="233"/>
      <c r="N330" s="235"/>
    </row>
    <row r="331">
      <c r="A331" s="233"/>
      <c r="B331" s="234"/>
      <c r="C331" s="217"/>
      <c r="D331" s="233"/>
      <c r="E331" s="234"/>
      <c r="F331" s="217"/>
      <c r="G331" s="233"/>
      <c r="H331" s="234"/>
      <c r="I331" s="217"/>
      <c r="J331" s="233"/>
      <c r="K331" s="234"/>
      <c r="L331" s="223"/>
      <c r="M331" s="233"/>
      <c r="N331" s="235"/>
    </row>
    <row r="332">
      <c r="A332" s="233"/>
      <c r="B332" s="234"/>
      <c r="C332" s="217"/>
      <c r="D332" s="233"/>
      <c r="E332" s="234"/>
      <c r="F332" s="217"/>
      <c r="G332" s="233"/>
      <c r="H332" s="234"/>
      <c r="I332" s="217"/>
      <c r="J332" s="233"/>
      <c r="K332" s="234"/>
      <c r="L332" s="223"/>
      <c r="M332" s="233"/>
      <c r="N332" s="235"/>
    </row>
    <row r="333">
      <c r="A333" s="233"/>
      <c r="B333" s="234"/>
      <c r="C333" s="217"/>
      <c r="D333" s="233"/>
      <c r="E333" s="234"/>
      <c r="F333" s="217"/>
      <c r="G333" s="233"/>
      <c r="H333" s="234"/>
      <c r="I333" s="217"/>
      <c r="J333" s="233"/>
      <c r="K333" s="234"/>
      <c r="L333" s="223"/>
      <c r="M333" s="233"/>
      <c r="N333" s="235"/>
    </row>
    <row r="334">
      <c r="A334" s="233"/>
      <c r="B334" s="234"/>
      <c r="C334" s="217"/>
      <c r="D334" s="233"/>
      <c r="E334" s="234"/>
      <c r="F334" s="217"/>
      <c r="G334" s="233"/>
      <c r="H334" s="234"/>
      <c r="I334" s="217"/>
      <c r="J334" s="233"/>
      <c r="K334" s="234"/>
      <c r="L334" s="223"/>
      <c r="M334" s="233"/>
      <c r="N334" s="235"/>
    </row>
    <row r="335">
      <c r="A335" s="233"/>
      <c r="B335" s="234"/>
      <c r="C335" s="217"/>
      <c r="D335" s="233"/>
      <c r="E335" s="234"/>
      <c r="F335" s="217"/>
      <c r="G335" s="233"/>
      <c r="H335" s="234"/>
      <c r="I335" s="217"/>
      <c r="J335" s="233"/>
      <c r="K335" s="234"/>
      <c r="L335" s="223"/>
      <c r="M335" s="233"/>
      <c r="N335" s="235"/>
    </row>
    <row r="336">
      <c r="A336" s="233"/>
      <c r="B336" s="234"/>
      <c r="C336" s="217"/>
      <c r="D336" s="233"/>
      <c r="E336" s="234"/>
      <c r="F336" s="217"/>
      <c r="G336" s="233"/>
      <c r="H336" s="234"/>
      <c r="I336" s="217"/>
      <c r="J336" s="233"/>
      <c r="K336" s="234"/>
      <c r="L336" s="223"/>
      <c r="M336" s="233"/>
      <c r="N336" s="235"/>
    </row>
    <row r="337">
      <c r="A337" s="233"/>
      <c r="B337" s="234"/>
      <c r="C337" s="217"/>
      <c r="D337" s="233"/>
      <c r="E337" s="234"/>
      <c r="F337" s="217"/>
      <c r="G337" s="233"/>
      <c r="H337" s="234"/>
      <c r="I337" s="217"/>
      <c r="J337" s="233"/>
      <c r="K337" s="234"/>
      <c r="L337" s="223"/>
      <c r="M337" s="233"/>
      <c r="N337" s="235"/>
    </row>
    <row r="338">
      <c r="A338" s="233"/>
      <c r="B338" s="234"/>
      <c r="C338" s="217"/>
      <c r="D338" s="233"/>
      <c r="E338" s="234"/>
      <c r="F338" s="217"/>
      <c r="G338" s="233"/>
      <c r="H338" s="234"/>
      <c r="I338" s="217"/>
      <c r="J338" s="233"/>
      <c r="K338" s="234"/>
      <c r="L338" s="223"/>
      <c r="M338" s="233"/>
      <c r="N338" s="235"/>
    </row>
    <row r="339">
      <c r="A339" s="233"/>
      <c r="B339" s="234"/>
      <c r="C339" s="217"/>
      <c r="D339" s="233"/>
      <c r="E339" s="234"/>
      <c r="F339" s="217"/>
      <c r="G339" s="233"/>
      <c r="H339" s="234"/>
      <c r="I339" s="217"/>
      <c r="J339" s="233"/>
      <c r="K339" s="234"/>
      <c r="L339" s="223"/>
      <c r="M339" s="233"/>
      <c r="N339" s="235"/>
    </row>
    <row r="340">
      <c r="A340" s="233"/>
      <c r="B340" s="234"/>
      <c r="C340" s="217"/>
      <c r="D340" s="233"/>
      <c r="E340" s="234"/>
      <c r="F340" s="217"/>
      <c r="G340" s="233"/>
      <c r="H340" s="234"/>
      <c r="I340" s="217"/>
      <c r="J340" s="233"/>
      <c r="K340" s="234"/>
      <c r="L340" s="223"/>
      <c r="M340" s="233"/>
      <c r="N340" s="235"/>
    </row>
    <row r="341">
      <c r="A341" s="233"/>
      <c r="B341" s="234"/>
      <c r="C341" s="217"/>
      <c r="D341" s="233"/>
      <c r="E341" s="234"/>
      <c r="F341" s="217"/>
      <c r="G341" s="233"/>
      <c r="H341" s="234"/>
      <c r="I341" s="217"/>
      <c r="J341" s="233"/>
      <c r="K341" s="234"/>
      <c r="L341" s="223"/>
      <c r="M341" s="233"/>
      <c r="N341" s="235"/>
    </row>
    <row r="342">
      <c r="A342" s="233"/>
      <c r="B342" s="234"/>
      <c r="C342" s="217"/>
      <c r="D342" s="233"/>
      <c r="E342" s="234"/>
      <c r="F342" s="217"/>
      <c r="G342" s="233"/>
      <c r="H342" s="234"/>
      <c r="I342" s="217"/>
      <c r="J342" s="233"/>
      <c r="K342" s="234"/>
      <c r="L342" s="223"/>
      <c r="M342" s="233"/>
      <c r="N342" s="235"/>
    </row>
    <row r="343">
      <c r="A343" s="233"/>
      <c r="B343" s="234"/>
      <c r="C343" s="217"/>
      <c r="D343" s="233"/>
      <c r="E343" s="234"/>
      <c r="F343" s="217"/>
      <c r="G343" s="233"/>
      <c r="H343" s="234"/>
      <c r="I343" s="217"/>
      <c r="J343" s="233"/>
      <c r="K343" s="234"/>
      <c r="L343" s="223"/>
      <c r="M343" s="233"/>
      <c r="N343" s="235"/>
    </row>
    <row r="344">
      <c r="A344" s="233"/>
      <c r="B344" s="234"/>
      <c r="C344" s="217"/>
      <c r="D344" s="233"/>
      <c r="E344" s="234"/>
      <c r="F344" s="217"/>
      <c r="G344" s="233"/>
      <c r="H344" s="234"/>
      <c r="I344" s="217"/>
      <c r="J344" s="233"/>
      <c r="K344" s="234"/>
      <c r="L344" s="223"/>
      <c r="M344" s="233"/>
      <c r="N344" s="235"/>
    </row>
    <row r="345">
      <c r="A345" s="233"/>
      <c r="B345" s="234"/>
      <c r="C345" s="217"/>
      <c r="D345" s="233"/>
      <c r="E345" s="234"/>
      <c r="F345" s="217"/>
      <c r="G345" s="233"/>
      <c r="H345" s="234"/>
      <c r="I345" s="217"/>
      <c r="J345" s="233"/>
      <c r="K345" s="234"/>
      <c r="L345" s="223"/>
      <c r="M345" s="233"/>
      <c r="N345" s="235"/>
    </row>
    <row r="346">
      <c r="A346" s="233"/>
      <c r="B346" s="234"/>
      <c r="C346" s="217"/>
      <c r="D346" s="233"/>
      <c r="E346" s="234"/>
      <c r="F346" s="217"/>
      <c r="G346" s="233"/>
      <c r="H346" s="234"/>
      <c r="I346" s="217"/>
      <c r="J346" s="233"/>
      <c r="K346" s="234"/>
      <c r="L346" s="223"/>
      <c r="M346" s="233"/>
      <c r="N346" s="235"/>
    </row>
    <row r="347">
      <c r="A347" s="233"/>
      <c r="B347" s="234"/>
      <c r="C347" s="217"/>
      <c r="D347" s="233"/>
      <c r="E347" s="234"/>
      <c r="F347" s="217"/>
      <c r="G347" s="233"/>
      <c r="H347" s="234"/>
      <c r="I347" s="217"/>
      <c r="J347" s="233"/>
      <c r="K347" s="234"/>
      <c r="L347" s="223"/>
      <c r="M347" s="233"/>
      <c r="N347" s="235"/>
    </row>
    <row r="348">
      <c r="A348" s="233"/>
      <c r="B348" s="234"/>
      <c r="C348" s="217"/>
      <c r="D348" s="233"/>
      <c r="E348" s="234"/>
      <c r="F348" s="217"/>
      <c r="G348" s="233"/>
      <c r="H348" s="234"/>
      <c r="I348" s="217"/>
      <c r="J348" s="233"/>
      <c r="K348" s="234"/>
      <c r="L348" s="223"/>
      <c r="M348" s="233"/>
      <c r="N348" s="235"/>
    </row>
    <row r="349">
      <c r="A349" s="233"/>
      <c r="B349" s="234"/>
      <c r="C349" s="217"/>
      <c r="D349" s="233"/>
      <c r="E349" s="234"/>
      <c r="F349" s="217"/>
      <c r="G349" s="233"/>
      <c r="H349" s="234"/>
      <c r="I349" s="217"/>
      <c r="J349" s="233"/>
      <c r="K349" s="234"/>
      <c r="L349" s="223"/>
      <c r="M349" s="233"/>
      <c r="N349" s="235"/>
    </row>
    <row r="350">
      <c r="A350" s="233"/>
      <c r="B350" s="234"/>
      <c r="C350" s="217"/>
      <c r="D350" s="233"/>
      <c r="E350" s="234"/>
      <c r="F350" s="217"/>
      <c r="G350" s="233"/>
      <c r="H350" s="234"/>
      <c r="I350" s="217"/>
      <c r="J350" s="233"/>
      <c r="K350" s="234"/>
      <c r="L350" s="223"/>
      <c r="M350" s="233"/>
      <c r="N350" s="235"/>
    </row>
    <row r="351">
      <c r="A351" s="233"/>
      <c r="B351" s="234"/>
      <c r="C351" s="217"/>
      <c r="D351" s="233"/>
      <c r="E351" s="234"/>
      <c r="F351" s="217"/>
      <c r="G351" s="233"/>
      <c r="H351" s="234"/>
      <c r="I351" s="217"/>
      <c r="J351" s="233"/>
      <c r="K351" s="234"/>
      <c r="L351" s="223"/>
      <c r="M351" s="233"/>
      <c r="N351" s="235"/>
    </row>
    <row r="352">
      <c r="A352" s="233"/>
      <c r="B352" s="234"/>
      <c r="C352" s="217"/>
      <c r="D352" s="233"/>
      <c r="E352" s="234"/>
      <c r="F352" s="217"/>
      <c r="G352" s="233"/>
      <c r="H352" s="234"/>
      <c r="I352" s="217"/>
      <c r="J352" s="233"/>
      <c r="K352" s="234"/>
      <c r="L352" s="223"/>
      <c r="M352" s="233"/>
      <c r="N352" s="235"/>
    </row>
    <row r="353">
      <c r="A353" s="233"/>
      <c r="B353" s="234"/>
      <c r="C353" s="217"/>
      <c r="D353" s="233"/>
      <c r="E353" s="234"/>
      <c r="F353" s="217"/>
      <c r="G353" s="233"/>
      <c r="H353" s="234"/>
      <c r="I353" s="217"/>
      <c r="J353" s="233"/>
      <c r="K353" s="234"/>
      <c r="L353" s="223"/>
      <c r="M353" s="233"/>
      <c r="N353" s="235"/>
    </row>
    <row r="354">
      <c r="A354" s="233"/>
      <c r="B354" s="234"/>
      <c r="C354" s="217"/>
      <c r="D354" s="233"/>
      <c r="E354" s="234"/>
      <c r="F354" s="217"/>
      <c r="G354" s="233"/>
      <c r="H354" s="234"/>
      <c r="I354" s="217"/>
      <c r="J354" s="233"/>
      <c r="K354" s="234"/>
      <c r="L354" s="223"/>
      <c r="M354" s="233"/>
      <c r="N354" s="235"/>
    </row>
    <row r="355">
      <c r="A355" s="233"/>
      <c r="B355" s="234"/>
      <c r="C355" s="217"/>
      <c r="D355" s="233"/>
      <c r="E355" s="234"/>
      <c r="F355" s="217"/>
      <c r="G355" s="233"/>
      <c r="H355" s="234"/>
      <c r="I355" s="217"/>
      <c r="J355" s="233"/>
      <c r="K355" s="234"/>
      <c r="L355" s="223"/>
      <c r="M355" s="233"/>
      <c r="N355" s="235"/>
    </row>
    <row r="356">
      <c r="A356" s="233"/>
      <c r="B356" s="234"/>
      <c r="C356" s="217"/>
      <c r="D356" s="233"/>
      <c r="E356" s="234"/>
      <c r="F356" s="217"/>
      <c r="G356" s="233"/>
      <c r="H356" s="234"/>
      <c r="I356" s="217"/>
      <c r="J356" s="233"/>
      <c r="K356" s="234"/>
      <c r="L356" s="223"/>
      <c r="M356" s="233"/>
      <c r="N356" s="235"/>
    </row>
    <row r="357">
      <c r="A357" s="233"/>
      <c r="B357" s="234"/>
      <c r="C357" s="217"/>
      <c r="D357" s="233"/>
      <c r="E357" s="234"/>
      <c r="F357" s="217"/>
      <c r="G357" s="233"/>
      <c r="H357" s="234"/>
      <c r="I357" s="217"/>
      <c r="J357" s="233"/>
      <c r="K357" s="234"/>
      <c r="L357" s="223"/>
      <c r="M357" s="233"/>
      <c r="N357" s="235"/>
    </row>
    <row r="358">
      <c r="A358" s="233"/>
      <c r="B358" s="234"/>
      <c r="C358" s="217"/>
      <c r="D358" s="233"/>
      <c r="E358" s="234"/>
      <c r="F358" s="217"/>
      <c r="G358" s="233"/>
      <c r="H358" s="234"/>
      <c r="I358" s="217"/>
      <c r="J358" s="233"/>
      <c r="K358" s="234"/>
      <c r="L358" s="223"/>
      <c r="M358" s="233"/>
      <c r="N358" s="235"/>
    </row>
    <row r="359">
      <c r="A359" s="233"/>
      <c r="B359" s="234"/>
      <c r="C359" s="217"/>
      <c r="D359" s="233"/>
      <c r="E359" s="234"/>
      <c r="F359" s="217"/>
      <c r="G359" s="233"/>
      <c r="H359" s="234"/>
      <c r="I359" s="217"/>
      <c r="J359" s="233"/>
      <c r="K359" s="234"/>
      <c r="L359" s="223"/>
      <c r="M359" s="233"/>
      <c r="N359" s="235"/>
    </row>
    <row r="360">
      <c r="A360" s="233"/>
      <c r="B360" s="234"/>
      <c r="C360" s="217"/>
      <c r="D360" s="233"/>
      <c r="E360" s="234"/>
      <c r="F360" s="217"/>
      <c r="G360" s="233"/>
      <c r="H360" s="234"/>
      <c r="I360" s="217"/>
      <c r="J360" s="233"/>
      <c r="K360" s="234"/>
      <c r="L360" s="223"/>
      <c r="M360" s="233"/>
      <c r="N360" s="235"/>
    </row>
    <row r="361">
      <c r="A361" s="233"/>
      <c r="B361" s="234"/>
      <c r="C361" s="217"/>
      <c r="D361" s="233"/>
      <c r="E361" s="234"/>
      <c r="F361" s="217"/>
      <c r="G361" s="233"/>
      <c r="H361" s="234"/>
      <c r="I361" s="217"/>
      <c r="J361" s="233"/>
      <c r="K361" s="234"/>
      <c r="L361" s="223"/>
      <c r="M361" s="233"/>
      <c r="N361" s="235"/>
    </row>
    <row r="362">
      <c r="A362" s="233"/>
      <c r="B362" s="234"/>
      <c r="C362" s="217"/>
      <c r="D362" s="233"/>
      <c r="E362" s="234"/>
      <c r="F362" s="217"/>
      <c r="G362" s="233"/>
      <c r="H362" s="234"/>
      <c r="I362" s="217"/>
      <c r="J362" s="233"/>
      <c r="K362" s="234"/>
      <c r="L362" s="223"/>
      <c r="M362" s="233"/>
      <c r="N362" s="235"/>
    </row>
    <row r="363">
      <c r="A363" s="233"/>
      <c r="B363" s="234"/>
      <c r="C363" s="217"/>
      <c r="D363" s="233"/>
      <c r="E363" s="234"/>
      <c r="F363" s="217"/>
      <c r="G363" s="233"/>
      <c r="H363" s="234"/>
      <c r="I363" s="217"/>
      <c r="J363" s="233"/>
      <c r="K363" s="234"/>
      <c r="L363" s="223"/>
      <c r="M363" s="233"/>
      <c r="N363" s="235"/>
    </row>
    <row r="364">
      <c r="A364" s="233"/>
      <c r="B364" s="234"/>
      <c r="C364" s="217"/>
      <c r="D364" s="233"/>
      <c r="E364" s="234"/>
      <c r="F364" s="217"/>
      <c r="G364" s="233"/>
      <c r="H364" s="234"/>
      <c r="I364" s="217"/>
      <c r="J364" s="233"/>
      <c r="K364" s="234"/>
      <c r="L364" s="223"/>
      <c r="M364" s="233"/>
      <c r="N364" s="235"/>
    </row>
    <row r="365">
      <c r="A365" s="233"/>
      <c r="B365" s="234"/>
      <c r="C365" s="217"/>
      <c r="D365" s="233"/>
      <c r="E365" s="234"/>
      <c r="F365" s="217"/>
      <c r="G365" s="233"/>
      <c r="H365" s="234"/>
      <c r="I365" s="217"/>
      <c r="J365" s="233"/>
      <c r="K365" s="234"/>
      <c r="L365" s="223"/>
      <c r="M365" s="233"/>
      <c r="N365" s="235"/>
    </row>
    <row r="366">
      <c r="A366" s="233"/>
      <c r="B366" s="234"/>
      <c r="C366" s="217"/>
      <c r="D366" s="233"/>
      <c r="E366" s="234"/>
      <c r="F366" s="217"/>
      <c r="G366" s="233"/>
      <c r="H366" s="234"/>
      <c r="I366" s="217"/>
      <c r="J366" s="233"/>
      <c r="K366" s="234"/>
      <c r="L366" s="223"/>
      <c r="M366" s="233"/>
      <c r="N366" s="235"/>
    </row>
    <row r="367">
      <c r="A367" s="233"/>
      <c r="B367" s="234"/>
      <c r="C367" s="217"/>
      <c r="D367" s="233"/>
      <c r="E367" s="234"/>
      <c r="F367" s="217"/>
      <c r="G367" s="233"/>
      <c r="H367" s="234"/>
      <c r="I367" s="217"/>
      <c r="J367" s="233"/>
      <c r="K367" s="234"/>
      <c r="L367" s="223"/>
      <c r="M367" s="233"/>
      <c r="N367" s="235"/>
    </row>
    <row r="368">
      <c r="A368" s="233"/>
      <c r="B368" s="234"/>
      <c r="C368" s="217"/>
      <c r="D368" s="233"/>
      <c r="E368" s="234"/>
      <c r="F368" s="217"/>
      <c r="G368" s="233"/>
      <c r="H368" s="234"/>
      <c r="I368" s="217"/>
      <c r="J368" s="233"/>
      <c r="K368" s="234"/>
      <c r="L368" s="223"/>
      <c r="M368" s="233"/>
      <c r="N368" s="235"/>
    </row>
    <row r="369">
      <c r="A369" s="233"/>
      <c r="B369" s="234"/>
      <c r="C369" s="217"/>
      <c r="D369" s="233"/>
      <c r="E369" s="234"/>
      <c r="F369" s="217"/>
      <c r="G369" s="233"/>
      <c r="H369" s="234"/>
      <c r="I369" s="217"/>
      <c r="J369" s="233"/>
      <c r="K369" s="234"/>
      <c r="L369" s="223"/>
      <c r="M369" s="233"/>
      <c r="N369" s="235"/>
    </row>
    <row r="370">
      <c r="A370" s="233"/>
      <c r="B370" s="234"/>
      <c r="C370" s="217"/>
      <c r="D370" s="233"/>
      <c r="E370" s="234"/>
      <c r="F370" s="217"/>
      <c r="G370" s="233"/>
      <c r="H370" s="234"/>
      <c r="I370" s="217"/>
      <c r="J370" s="233"/>
      <c r="K370" s="234"/>
      <c r="L370" s="223"/>
      <c r="M370" s="233"/>
      <c r="N370" s="235"/>
    </row>
    <row r="371">
      <c r="A371" s="233"/>
      <c r="B371" s="234"/>
      <c r="C371" s="217"/>
      <c r="D371" s="233"/>
      <c r="E371" s="234"/>
      <c r="F371" s="217"/>
      <c r="G371" s="233"/>
      <c r="H371" s="234"/>
      <c r="I371" s="217"/>
      <c r="J371" s="233"/>
      <c r="K371" s="234"/>
      <c r="L371" s="223"/>
      <c r="M371" s="233"/>
      <c r="N371" s="235"/>
    </row>
    <row r="372">
      <c r="A372" s="233"/>
      <c r="B372" s="234"/>
      <c r="C372" s="217"/>
      <c r="D372" s="233"/>
      <c r="E372" s="234"/>
      <c r="F372" s="217"/>
      <c r="G372" s="233"/>
      <c r="H372" s="234"/>
      <c r="I372" s="217"/>
      <c r="J372" s="233"/>
      <c r="K372" s="234"/>
      <c r="L372" s="223"/>
      <c r="M372" s="233"/>
      <c r="N372" s="235"/>
    </row>
    <row r="373">
      <c r="A373" s="233"/>
      <c r="B373" s="234"/>
      <c r="C373" s="217"/>
      <c r="D373" s="233"/>
      <c r="E373" s="234"/>
      <c r="F373" s="217"/>
      <c r="G373" s="233"/>
      <c r="H373" s="234"/>
      <c r="I373" s="217"/>
      <c r="J373" s="233"/>
      <c r="K373" s="234"/>
      <c r="L373" s="223"/>
      <c r="M373" s="233"/>
      <c r="N373" s="235"/>
    </row>
    <row r="374">
      <c r="A374" s="233"/>
      <c r="B374" s="234"/>
      <c r="C374" s="217"/>
      <c r="D374" s="233"/>
      <c r="E374" s="234"/>
      <c r="F374" s="217"/>
      <c r="G374" s="233"/>
      <c r="H374" s="234"/>
      <c r="I374" s="217"/>
      <c r="J374" s="233"/>
      <c r="K374" s="234"/>
      <c r="L374" s="223"/>
      <c r="M374" s="233"/>
      <c r="N374" s="235"/>
    </row>
    <row r="375">
      <c r="A375" s="233"/>
      <c r="B375" s="234"/>
      <c r="C375" s="217"/>
      <c r="D375" s="233"/>
      <c r="E375" s="234"/>
      <c r="F375" s="217"/>
      <c r="G375" s="233"/>
      <c r="H375" s="234"/>
      <c r="I375" s="217"/>
      <c r="J375" s="233"/>
      <c r="K375" s="234"/>
      <c r="L375" s="223"/>
      <c r="M375" s="233"/>
      <c r="N375" s="235"/>
    </row>
    <row r="376">
      <c r="A376" s="233"/>
      <c r="B376" s="234"/>
      <c r="C376" s="217"/>
      <c r="D376" s="233"/>
      <c r="E376" s="234"/>
      <c r="F376" s="217"/>
      <c r="G376" s="233"/>
      <c r="H376" s="234"/>
      <c r="I376" s="217"/>
      <c r="J376" s="233"/>
      <c r="K376" s="234"/>
      <c r="L376" s="223"/>
      <c r="M376" s="233"/>
      <c r="N376" s="235"/>
    </row>
    <row r="377">
      <c r="A377" s="233"/>
      <c r="B377" s="234"/>
      <c r="C377" s="217"/>
      <c r="D377" s="233"/>
      <c r="E377" s="234"/>
      <c r="F377" s="217"/>
      <c r="G377" s="233"/>
      <c r="H377" s="234"/>
      <c r="I377" s="217"/>
      <c r="J377" s="233"/>
      <c r="K377" s="234"/>
      <c r="L377" s="223"/>
      <c r="M377" s="233"/>
      <c r="N377" s="235"/>
    </row>
    <row r="378">
      <c r="A378" s="233"/>
      <c r="B378" s="234"/>
      <c r="C378" s="217"/>
      <c r="D378" s="233"/>
      <c r="E378" s="234"/>
      <c r="F378" s="217"/>
      <c r="G378" s="233"/>
      <c r="H378" s="234"/>
      <c r="I378" s="217"/>
      <c r="J378" s="233"/>
      <c r="K378" s="234"/>
      <c r="L378" s="223"/>
      <c r="M378" s="233"/>
      <c r="N378" s="235"/>
    </row>
    <row r="379">
      <c r="A379" s="233"/>
      <c r="B379" s="234"/>
      <c r="C379" s="217"/>
      <c r="D379" s="233"/>
      <c r="E379" s="234"/>
      <c r="F379" s="217"/>
      <c r="G379" s="233"/>
      <c r="H379" s="234"/>
      <c r="I379" s="217"/>
      <c r="J379" s="233"/>
      <c r="K379" s="234"/>
      <c r="L379" s="223"/>
      <c r="M379" s="233"/>
      <c r="N379" s="235"/>
    </row>
    <row r="380">
      <c r="A380" s="233"/>
      <c r="B380" s="234"/>
      <c r="C380" s="217"/>
      <c r="D380" s="233"/>
      <c r="E380" s="234"/>
      <c r="F380" s="217"/>
      <c r="G380" s="233"/>
      <c r="H380" s="234"/>
      <c r="I380" s="217"/>
      <c r="J380" s="233"/>
      <c r="K380" s="234"/>
      <c r="L380" s="223"/>
      <c r="M380" s="233"/>
      <c r="N380" s="235"/>
    </row>
    <row r="381">
      <c r="A381" s="233"/>
      <c r="B381" s="234"/>
      <c r="C381" s="217"/>
      <c r="D381" s="233"/>
      <c r="E381" s="234"/>
      <c r="F381" s="217"/>
      <c r="G381" s="233"/>
      <c r="H381" s="234"/>
      <c r="I381" s="217"/>
      <c r="J381" s="233"/>
      <c r="K381" s="234"/>
      <c r="L381" s="223"/>
      <c r="M381" s="233"/>
      <c r="N381" s="235"/>
    </row>
    <row r="382">
      <c r="A382" s="233"/>
      <c r="B382" s="234"/>
      <c r="C382" s="217"/>
      <c r="D382" s="233"/>
      <c r="E382" s="234"/>
      <c r="F382" s="217"/>
      <c r="G382" s="233"/>
      <c r="H382" s="234"/>
      <c r="I382" s="217"/>
      <c r="J382" s="233"/>
      <c r="K382" s="234"/>
      <c r="L382" s="223"/>
      <c r="M382" s="233"/>
      <c r="N382" s="235"/>
    </row>
    <row r="383">
      <c r="A383" s="233"/>
      <c r="B383" s="234"/>
      <c r="C383" s="217"/>
      <c r="D383" s="233"/>
      <c r="E383" s="234"/>
      <c r="F383" s="217"/>
      <c r="G383" s="233"/>
      <c r="H383" s="234"/>
      <c r="I383" s="217"/>
      <c r="J383" s="233"/>
      <c r="K383" s="234"/>
      <c r="L383" s="223"/>
      <c r="M383" s="233"/>
      <c r="N383" s="235"/>
    </row>
    <row r="384">
      <c r="A384" s="233"/>
      <c r="B384" s="234"/>
      <c r="C384" s="217"/>
      <c r="D384" s="233"/>
      <c r="E384" s="234"/>
      <c r="F384" s="217"/>
      <c r="G384" s="233"/>
      <c r="H384" s="234"/>
      <c r="I384" s="217"/>
      <c r="J384" s="233"/>
      <c r="K384" s="234"/>
      <c r="L384" s="223"/>
      <c r="M384" s="233"/>
      <c r="N384" s="235"/>
    </row>
    <row r="385">
      <c r="A385" s="233"/>
      <c r="B385" s="234"/>
      <c r="C385" s="217"/>
      <c r="D385" s="233"/>
      <c r="E385" s="234"/>
      <c r="F385" s="217"/>
      <c r="G385" s="233"/>
      <c r="H385" s="234"/>
      <c r="I385" s="217"/>
      <c r="J385" s="233"/>
      <c r="K385" s="234"/>
      <c r="L385" s="223"/>
      <c r="M385" s="233"/>
      <c r="N385" s="235"/>
    </row>
    <row r="386">
      <c r="A386" s="233"/>
      <c r="B386" s="234"/>
      <c r="C386" s="217"/>
      <c r="D386" s="233"/>
      <c r="E386" s="234"/>
      <c r="F386" s="217"/>
      <c r="G386" s="233"/>
      <c r="H386" s="234"/>
      <c r="I386" s="217"/>
      <c r="J386" s="233"/>
      <c r="K386" s="234"/>
      <c r="L386" s="223"/>
      <c r="M386" s="233"/>
      <c r="N386" s="235"/>
    </row>
    <row r="387">
      <c r="A387" s="233"/>
      <c r="B387" s="234"/>
      <c r="C387" s="217"/>
      <c r="D387" s="233"/>
      <c r="E387" s="234"/>
      <c r="F387" s="217"/>
      <c r="G387" s="233"/>
      <c r="H387" s="234"/>
      <c r="I387" s="217"/>
      <c r="J387" s="233"/>
      <c r="K387" s="234"/>
      <c r="L387" s="223"/>
      <c r="M387" s="233"/>
      <c r="N387" s="235"/>
    </row>
    <row r="388">
      <c r="A388" s="233"/>
      <c r="B388" s="234"/>
      <c r="C388" s="217"/>
      <c r="D388" s="233"/>
      <c r="E388" s="234"/>
      <c r="F388" s="217"/>
      <c r="G388" s="233"/>
      <c r="H388" s="234"/>
      <c r="I388" s="217"/>
      <c r="J388" s="233"/>
      <c r="K388" s="234"/>
      <c r="L388" s="223"/>
      <c r="M388" s="233"/>
      <c r="N388" s="235"/>
    </row>
    <row r="389">
      <c r="A389" s="233"/>
      <c r="B389" s="234"/>
      <c r="C389" s="217"/>
      <c r="D389" s="233"/>
      <c r="E389" s="234"/>
      <c r="F389" s="217"/>
      <c r="G389" s="233"/>
      <c r="H389" s="234"/>
      <c r="I389" s="217"/>
      <c r="J389" s="233"/>
      <c r="K389" s="234"/>
      <c r="L389" s="223"/>
      <c r="M389" s="233"/>
      <c r="N389" s="235"/>
    </row>
    <row r="390">
      <c r="A390" s="233"/>
      <c r="B390" s="234"/>
      <c r="C390" s="217"/>
      <c r="D390" s="233"/>
      <c r="E390" s="234"/>
      <c r="F390" s="217"/>
      <c r="G390" s="233"/>
      <c r="H390" s="234"/>
      <c r="I390" s="217"/>
      <c r="J390" s="233"/>
      <c r="K390" s="234"/>
      <c r="L390" s="223"/>
      <c r="M390" s="233"/>
      <c r="N390" s="235"/>
    </row>
    <row r="391">
      <c r="A391" s="233"/>
      <c r="B391" s="234"/>
      <c r="C391" s="217"/>
      <c r="D391" s="233"/>
      <c r="E391" s="234"/>
      <c r="F391" s="217"/>
      <c r="G391" s="233"/>
      <c r="H391" s="234"/>
      <c r="I391" s="217"/>
      <c r="J391" s="233"/>
      <c r="K391" s="234"/>
      <c r="L391" s="223"/>
      <c r="M391" s="233"/>
      <c r="N391" s="235"/>
    </row>
    <row r="392">
      <c r="A392" s="233"/>
      <c r="B392" s="234"/>
      <c r="C392" s="217"/>
      <c r="D392" s="233"/>
      <c r="E392" s="234"/>
      <c r="F392" s="217"/>
      <c r="G392" s="233"/>
      <c r="H392" s="234"/>
      <c r="I392" s="217"/>
      <c r="J392" s="233"/>
      <c r="K392" s="234"/>
      <c r="L392" s="223"/>
      <c r="M392" s="233"/>
      <c r="N392" s="235"/>
    </row>
    <row r="393">
      <c r="A393" s="233"/>
      <c r="B393" s="234"/>
      <c r="C393" s="217"/>
      <c r="D393" s="233"/>
      <c r="E393" s="234"/>
      <c r="F393" s="217"/>
      <c r="G393" s="233"/>
      <c r="H393" s="234"/>
      <c r="I393" s="217"/>
      <c r="J393" s="233"/>
      <c r="K393" s="234"/>
      <c r="L393" s="223"/>
      <c r="M393" s="233"/>
      <c r="N393" s="235"/>
    </row>
    <row r="394">
      <c r="A394" s="233"/>
      <c r="B394" s="234"/>
      <c r="C394" s="217"/>
      <c r="D394" s="233"/>
      <c r="E394" s="234"/>
      <c r="F394" s="217"/>
      <c r="G394" s="233"/>
      <c r="H394" s="234"/>
      <c r="I394" s="217"/>
      <c r="J394" s="233"/>
      <c r="K394" s="234"/>
      <c r="L394" s="223"/>
      <c r="M394" s="233"/>
      <c r="N394" s="235"/>
    </row>
    <row r="395">
      <c r="A395" s="233"/>
      <c r="B395" s="234"/>
      <c r="C395" s="217"/>
      <c r="D395" s="233"/>
      <c r="E395" s="234"/>
      <c r="F395" s="217"/>
      <c r="G395" s="233"/>
      <c r="H395" s="234"/>
      <c r="I395" s="217"/>
      <c r="J395" s="233"/>
      <c r="K395" s="234"/>
      <c r="L395" s="223"/>
      <c r="M395" s="233"/>
      <c r="N395" s="235"/>
    </row>
    <row r="396">
      <c r="A396" s="233"/>
      <c r="B396" s="234"/>
      <c r="C396" s="217"/>
      <c r="D396" s="233"/>
      <c r="E396" s="234"/>
      <c r="F396" s="217"/>
      <c r="G396" s="233"/>
      <c r="H396" s="234"/>
      <c r="I396" s="217"/>
      <c r="J396" s="233"/>
      <c r="K396" s="234"/>
      <c r="L396" s="223"/>
      <c r="M396" s="233"/>
      <c r="N396" s="235"/>
    </row>
    <row r="397">
      <c r="A397" s="233"/>
      <c r="B397" s="234"/>
      <c r="C397" s="217"/>
      <c r="D397" s="233"/>
      <c r="E397" s="234"/>
      <c r="F397" s="217"/>
      <c r="G397" s="233"/>
      <c r="H397" s="234"/>
      <c r="I397" s="217"/>
      <c r="J397" s="233"/>
      <c r="K397" s="234"/>
      <c r="L397" s="223"/>
      <c r="M397" s="233"/>
      <c r="N397" s="235"/>
    </row>
    <row r="398">
      <c r="A398" s="233"/>
      <c r="B398" s="234"/>
      <c r="C398" s="217"/>
      <c r="D398" s="233"/>
      <c r="E398" s="234"/>
      <c r="F398" s="217"/>
      <c r="G398" s="233"/>
      <c r="H398" s="234"/>
      <c r="I398" s="217"/>
      <c r="J398" s="233"/>
      <c r="K398" s="234"/>
      <c r="L398" s="223"/>
      <c r="M398" s="233"/>
      <c r="N398" s="235"/>
    </row>
    <row r="399">
      <c r="A399" s="233"/>
      <c r="B399" s="234"/>
      <c r="C399" s="217"/>
      <c r="D399" s="233"/>
      <c r="E399" s="234"/>
      <c r="F399" s="217"/>
      <c r="G399" s="233"/>
      <c r="H399" s="234"/>
      <c r="I399" s="217"/>
      <c r="J399" s="233"/>
      <c r="K399" s="234"/>
      <c r="L399" s="223"/>
      <c r="M399" s="233"/>
      <c r="N399" s="235"/>
    </row>
    <row r="400">
      <c r="A400" s="233"/>
      <c r="B400" s="234"/>
      <c r="C400" s="217"/>
      <c r="D400" s="233"/>
      <c r="E400" s="234"/>
      <c r="F400" s="217"/>
      <c r="G400" s="233"/>
      <c r="H400" s="234"/>
      <c r="I400" s="217"/>
      <c r="J400" s="233"/>
      <c r="K400" s="234"/>
      <c r="L400" s="223"/>
      <c r="M400" s="233"/>
      <c r="N400" s="235"/>
    </row>
    <row r="401">
      <c r="A401" s="233"/>
      <c r="B401" s="234"/>
      <c r="C401" s="217"/>
      <c r="D401" s="233"/>
      <c r="E401" s="234"/>
      <c r="F401" s="217"/>
      <c r="G401" s="233"/>
      <c r="H401" s="234"/>
      <c r="I401" s="217"/>
      <c r="J401" s="233"/>
      <c r="K401" s="234"/>
      <c r="L401" s="223"/>
      <c r="M401" s="233"/>
      <c r="N401" s="235"/>
    </row>
    <row r="402">
      <c r="A402" s="233"/>
      <c r="B402" s="234"/>
      <c r="C402" s="217"/>
      <c r="D402" s="233"/>
      <c r="E402" s="234"/>
      <c r="F402" s="217"/>
      <c r="G402" s="233"/>
      <c r="H402" s="234"/>
      <c r="I402" s="217"/>
      <c r="J402" s="233"/>
      <c r="K402" s="234"/>
      <c r="L402" s="223"/>
      <c r="M402" s="233"/>
      <c r="N402" s="235"/>
    </row>
    <row r="403">
      <c r="A403" s="233"/>
      <c r="B403" s="234"/>
      <c r="C403" s="217"/>
      <c r="D403" s="233"/>
      <c r="E403" s="234"/>
      <c r="F403" s="217"/>
      <c r="G403" s="233"/>
      <c r="H403" s="234"/>
      <c r="I403" s="217"/>
      <c r="J403" s="233"/>
      <c r="K403" s="234"/>
      <c r="L403" s="223"/>
      <c r="M403" s="233"/>
      <c r="N403" s="235"/>
    </row>
    <row r="404">
      <c r="A404" s="233"/>
      <c r="B404" s="234"/>
      <c r="C404" s="217"/>
      <c r="D404" s="233"/>
      <c r="E404" s="234"/>
      <c r="F404" s="217"/>
      <c r="G404" s="233"/>
      <c r="H404" s="234"/>
      <c r="I404" s="217"/>
      <c r="J404" s="233"/>
      <c r="K404" s="234"/>
      <c r="L404" s="223"/>
      <c r="M404" s="233"/>
      <c r="N404" s="235"/>
    </row>
    <row r="405">
      <c r="A405" s="233"/>
      <c r="B405" s="234"/>
      <c r="C405" s="217"/>
      <c r="D405" s="233"/>
      <c r="E405" s="234"/>
      <c r="F405" s="217"/>
      <c r="G405" s="233"/>
      <c r="H405" s="234"/>
      <c r="I405" s="217"/>
      <c r="J405" s="233"/>
      <c r="K405" s="234"/>
      <c r="L405" s="223"/>
      <c r="M405" s="233"/>
      <c r="N405" s="235"/>
    </row>
    <row r="406">
      <c r="A406" s="233"/>
      <c r="B406" s="234"/>
      <c r="C406" s="217"/>
      <c r="D406" s="233"/>
      <c r="E406" s="234"/>
      <c r="F406" s="217"/>
      <c r="G406" s="233"/>
      <c r="H406" s="234"/>
      <c r="I406" s="217"/>
      <c r="J406" s="233"/>
      <c r="K406" s="234"/>
      <c r="L406" s="223"/>
      <c r="M406" s="233"/>
      <c r="N406" s="235"/>
    </row>
    <row r="407">
      <c r="A407" s="233"/>
      <c r="B407" s="234"/>
      <c r="C407" s="217"/>
      <c r="D407" s="233"/>
      <c r="E407" s="234"/>
      <c r="F407" s="217"/>
      <c r="G407" s="233"/>
      <c r="H407" s="234"/>
      <c r="I407" s="217"/>
      <c r="J407" s="233"/>
      <c r="K407" s="234"/>
      <c r="L407" s="223"/>
      <c r="M407" s="233"/>
      <c r="N407" s="235"/>
    </row>
    <row r="408">
      <c r="A408" s="233"/>
      <c r="B408" s="234"/>
      <c r="C408" s="217"/>
      <c r="D408" s="233"/>
      <c r="E408" s="234"/>
      <c r="F408" s="217"/>
      <c r="G408" s="233"/>
      <c r="H408" s="234"/>
      <c r="I408" s="217"/>
      <c r="J408" s="233"/>
      <c r="K408" s="234"/>
      <c r="L408" s="223"/>
      <c r="M408" s="233"/>
      <c r="N408" s="235"/>
    </row>
    <row r="409">
      <c r="A409" s="233"/>
      <c r="B409" s="234"/>
      <c r="C409" s="217"/>
      <c r="D409" s="233"/>
      <c r="E409" s="234"/>
      <c r="F409" s="217"/>
      <c r="G409" s="233"/>
      <c r="H409" s="234"/>
      <c r="I409" s="217"/>
      <c r="J409" s="233"/>
      <c r="K409" s="234"/>
      <c r="L409" s="223"/>
      <c r="M409" s="233"/>
      <c r="N409" s="235"/>
    </row>
    <row r="410">
      <c r="A410" s="233"/>
      <c r="B410" s="234"/>
      <c r="C410" s="217"/>
      <c r="D410" s="233"/>
      <c r="E410" s="234"/>
      <c r="F410" s="217"/>
      <c r="G410" s="233"/>
      <c r="H410" s="234"/>
      <c r="I410" s="217"/>
      <c r="J410" s="233"/>
      <c r="K410" s="234"/>
      <c r="L410" s="223"/>
      <c r="M410" s="233"/>
      <c r="N410" s="235"/>
    </row>
    <row r="411">
      <c r="A411" s="233"/>
      <c r="B411" s="234"/>
      <c r="C411" s="217"/>
      <c r="D411" s="233"/>
      <c r="E411" s="234"/>
      <c r="F411" s="217"/>
      <c r="G411" s="233"/>
      <c r="H411" s="234"/>
      <c r="I411" s="217"/>
      <c r="J411" s="233"/>
      <c r="K411" s="234"/>
      <c r="L411" s="223"/>
      <c r="M411" s="233"/>
      <c r="N411" s="235"/>
    </row>
    <row r="412">
      <c r="A412" s="233"/>
      <c r="B412" s="234"/>
      <c r="C412" s="217"/>
      <c r="D412" s="233"/>
      <c r="E412" s="234"/>
      <c r="F412" s="217"/>
      <c r="G412" s="233"/>
      <c r="H412" s="234"/>
      <c r="I412" s="217"/>
      <c r="J412" s="233"/>
      <c r="K412" s="234"/>
      <c r="L412" s="223"/>
      <c r="M412" s="233"/>
      <c r="N412" s="235"/>
    </row>
    <row r="413">
      <c r="A413" s="233"/>
      <c r="B413" s="234"/>
      <c r="C413" s="217"/>
      <c r="D413" s="233"/>
      <c r="E413" s="234"/>
      <c r="F413" s="217"/>
      <c r="G413" s="233"/>
      <c r="H413" s="234"/>
      <c r="I413" s="217"/>
      <c r="J413" s="233"/>
      <c r="K413" s="234"/>
      <c r="L413" s="223"/>
      <c r="M413" s="233"/>
      <c r="N413" s="235"/>
    </row>
    <row r="414">
      <c r="A414" s="233"/>
      <c r="B414" s="234"/>
      <c r="C414" s="217"/>
      <c r="D414" s="233"/>
      <c r="E414" s="234"/>
      <c r="F414" s="217"/>
      <c r="G414" s="233"/>
      <c r="H414" s="234"/>
      <c r="I414" s="217"/>
      <c r="J414" s="233"/>
      <c r="K414" s="234"/>
      <c r="L414" s="223"/>
      <c r="M414" s="233"/>
      <c r="N414" s="235"/>
    </row>
    <row r="415">
      <c r="A415" s="233"/>
      <c r="B415" s="234"/>
      <c r="C415" s="217"/>
      <c r="D415" s="233"/>
      <c r="E415" s="234"/>
      <c r="F415" s="217"/>
      <c r="G415" s="233"/>
      <c r="H415" s="234"/>
      <c r="I415" s="217"/>
      <c r="J415" s="233"/>
      <c r="K415" s="234"/>
      <c r="L415" s="223"/>
      <c r="M415" s="233"/>
      <c r="N415" s="235"/>
    </row>
    <row r="416">
      <c r="A416" s="233"/>
      <c r="B416" s="234"/>
      <c r="C416" s="217"/>
      <c r="D416" s="233"/>
      <c r="E416" s="234"/>
      <c r="F416" s="217"/>
      <c r="G416" s="233"/>
      <c r="H416" s="234"/>
      <c r="I416" s="217"/>
      <c r="J416" s="233"/>
      <c r="K416" s="234"/>
      <c r="L416" s="223"/>
      <c r="M416" s="233"/>
      <c r="N416" s="235"/>
    </row>
    <row r="417">
      <c r="A417" s="233"/>
      <c r="B417" s="234"/>
      <c r="C417" s="217"/>
      <c r="D417" s="233"/>
      <c r="E417" s="234"/>
      <c r="F417" s="217"/>
      <c r="G417" s="233"/>
      <c r="H417" s="234"/>
      <c r="I417" s="217"/>
      <c r="J417" s="233"/>
      <c r="K417" s="234"/>
      <c r="L417" s="223"/>
      <c r="M417" s="233"/>
      <c r="N417" s="235"/>
    </row>
    <row r="418">
      <c r="A418" s="233"/>
      <c r="B418" s="234"/>
      <c r="C418" s="217"/>
      <c r="D418" s="233"/>
      <c r="E418" s="234"/>
      <c r="F418" s="217"/>
      <c r="G418" s="233"/>
      <c r="H418" s="234"/>
      <c r="I418" s="217"/>
      <c r="J418" s="233"/>
      <c r="K418" s="234"/>
      <c r="L418" s="223"/>
      <c r="M418" s="233"/>
      <c r="N418" s="235"/>
    </row>
    <row r="419">
      <c r="A419" s="233"/>
      <c r="B419" s="234"/>
      <c r="C419" s="217"/>
      <c r="D419" s="233"/>
      <c r="E419" s="234"/>
      <c r="F419" s="217"/>
      <c r="G419" s="233"/>
      <c r="H419" s="234"/>
      <c r="I419" s="217"/>
      <c r="J419" s="233"/>
      <c r="K419" s="234"/>
      <c r="L419" s="223"/>
      <c r="M419" s="233"/>
      <c r="N419" s="235"/>
    </row>
    <row r="420">
      <c r="A420" s="233"/>
      <c r="B420" s="234"/>
      <c r="C420" s="217"/>
      <c r="D420" s="233"/>
      <c r="E420" s="234"/>
      <c r="F420" s="217"/>
      <c r="G420" s="233"/>
      <c r="H420" s="234"/>
      <c r="I420" s="217"/>
      <c r="J420" s="233"/>
      <c r="K420" s="234"/>
      <c r="L420" s="223"/>
      <c r="M420" s="233"/>
      <c r="N420" s="235"/>
    </row>
    <row r="421">
      <c r="A421" s="233"/>
      <c r="B421" s="234"/>
      <c r="C421" s="217"/>
      <c r="D421" s="233"/>
      <c r="E421" s="234"/>
      <c r="F421" s="217"/>
      <c r="G421" s="233"/>
      <c r="H421" s="234"/>
      <c r="I421" s="217"/>
      <c r="J421" s="233"/>
      <c r="K421" s="234"/>
      <c r="L421" s="223"/>
      <c r="M421" s="233"/>
      <c r="N421" s="235"/>
    </row>
    <row r="422">
      <c r="A422" s="233"/>
      <c r="B422" s="234"/>
      <c r="C422" s="217"/>
      <c r="D422" s="233"/>
      <c r="E422" s="234"/>
      <c r="F422" s="217"/>
      <c r="G422" s="233"/>
      <c r="H422" s="234"/>
      <c r="I422" s="217"/>
      <c r="J422" s="233"/>
      <c r="K422" s="234"/>
      <c r="L422" s="223"/>
      <c r="M422" s="233"/>
      <c r="N422" s="235"/>
    </row>
    <row r="423">
      <c r="A423" s="233"/>
      <c r="B423" s="234"/>
      <c r="C423" s="217"/>
      <c r="D423" s="233"/>
      <c r="E423" s="234"/>
      <c r="F423" s="217"/>
      <c r="G423" s="233"/>
      <c r="H423" s="234"/>
      <c r="I423" s="217"/>
      <c r="J423" s="233"/>
      <c r="K423" s="234"/>
      <c r="L423" s="223"/>
      <c r="M423" s="233"/>
      <c r="N423" s="235"/>
    </row>
    <row r="424">
      <c r="A424" s="233"/>
      <c r="B424" s="234"/>
      <c r="C424" s="217"/>
      <c r="D424" s="233"/>
      <c r="E424" s="234"/>
      <c r="F424" s="217"/>
      <c r="G424" s="233"/>
      <c r="H424" s="234"/>
      <c r="I424" s="217"/>
      <c r="J424" s="233"/>
      <c r="K424" s="234"/>
      <c r="L424" s="223"/>
      <c r="M424" s="233"/>
      <c r="N424" s="235"/>
    </row>
    <row r="425">
      <c r="A425" s="233"/>
      <c r="B425" s="234"/>
      <c r="C425" s="217"/>
      <c r="D425" s="233"/>
      <c r="E425" s="234"/>
      <c r="F425" s="217"/>
      <c r="G425" s="233"/>
      <c r="H425" s="234"/>
      <c r="I425" s="217"/>
      <c r="J425" s="233"/>
      <c r="K425" s="234"/>
      <c r="L425" s="223"/>
      <c r="M425" s="233"/>
      <c r="N425" s="235"/>
    </row>
    <row r="426">
      <c r="A426" s="233"/>
      <c r="B426" s="234"/>
      <c r="C426" s="217"/>
      <c r="D426" s="233"/>
      <c r="E426" s="234"/>
      <c r="F426" s="217"/>
      <c r="G426" s="233"/>
      <c r="H426" s="234"/>
      <c r="I426" s="217"/>
      <c r="J426" s="233"/>
      <c r="K426" s="234"/>
      <c r="L426" s="223"/>
      <c r="M426" s="233"/>
      <c r="N426" s="235"/>
    </row>
    <row r="427">
      <c r="A427" s="233"/>
      <c r="B427" s="234"/>
      <c r="C427" s="217"/>
      <c r="D427" s="233"/>
      <c r="E427" s="234"/>
      <c r="F427" s="217"/>
      <c r="G427" s="233"/>
      <c r="H427" s="234"/>
      <c r="I427" s="217"/>
      <c r="J427" s="233"/>
      <c r="K427" s="234"/>
      <c r="L427" s="223"/>
      <c r="M427" s="233"/>
      <c r="N427" s="235"/>
    </row>
    <row r="428">
      <c r="A428" s="233"/>
      <c r="B428" s="234"/>
      <c r="C428" s="217"/>
      <c r="D428" s="233"/>
      <c r="E428" s="234"/>
      <c r="F428" s="217"/>
      <c r="G428" s="233"/>
      <c r="H428" s="234"/>
      <c r="I428" s="217"/>
      <c r="J428" s="233"/>
      <c r="K428" s="234"/>
      <c r="L428" s="223"/>
      <c r="M428" s="233"/>
      <c r="N428" s="235"/>
    </row>
    <row r="429">
      <c r="A429" s="233"/>
      <c r="B429" s="234"/>
      <c r="C429" s="217"/>
      <c r="D429" s="233"/>
      <c r="E429" s="234"/>
      <c r="F429" s="217"/>
      <c r="G429" s="233"/>
      <c r="H429" s="234"/>
      <c r="I429" s="217"/>
      <c r="J429" s="233"/>
      <c r="K429" s="234"/>
      <c r="L429" s="223"/>
      <c r="M429" s="233"/>
      <c r="N429" s="235"/>
    </row>
    <row r="430">
      <c r="A430" s="233"/>
      <c r="B430" s="234"/>
      <c r="C430" s="217"/>
      <c r="D430" s="233"/>
      <c r="E430" s="234"/>
      <c r="F430" s="217"/>
      <c r="G430" s="233"/>
      <c r="H430" s="234"/>
      <c r="I430" s="217"/>
      <c r="J430" s="233"/>
      <c r="K430" s="234"/>
      <c r="L430" s="223"/>
      <c r="M430" s="233"/>
      <c r="N430" s="235"/>
    </row>
    <row r="431">
      <c r="A431" s="233"/>
      <c r="B431" s="234"/>
      <c r="C431" s="217"/>
      <c r="D431" s="233"/>
      <c r="E431" s="234"/>
      <c r="F431" s="217"/>
      <c r="G431" s="233"/>
      <c r="H431" s="234"/>
      <c r="I431" s="217"/>
      <c r="J431" s="233"/>
      <c r="K431" s="234"/>
      <c r="L431" s="223"/>
      <c r="M431" s="233"/>
      <c r="N431" s="235"/>
    </row>
    <row r="432">
      <c r="A432" s="233"/>
      <c r="B432" s="234"/>
      <c r="C432" s="217"/>
      <c r="D432" s="233"/>
      <c r="E432" s="234"/>
      <c r="F432" s="217"/>
      <c r="G432" s="233"/>
      <c r="H432" s="234"/>
      <c r="I432" s="217"/>
      <c r="J432" s="233"/>
      <c r="K432" s="234"/>
      <c r="L432" s="223"/>
      <c r="M432" s="233"/>
      <c r="N432" s="235"/>
    </row>
    <row r="433">
      <c r="A433" s="233"/>
      <c r="B433" s="234"/>
      <c r="C433" s="217"/>
      <c r="D433" s="233"/>
      <c r="E433" s="234"/>
      <c r="F433" s="217"/>
      <c r="G433" s="233"/>
      <c r="H433" s="234"/>
      <c r="I433" s="217"/>
      <c r="J433" s="233"/>
      <c r="K433" s="234"/>
      <c r="L433" s="223"/>
      <c r="M433" s="233"/>
      <c r="N433" s="235"/>
    </row>
    <row r="434">
      <c r="A434" s="233"/>
      <c r="B434" s="234"/>
      <c r="C434" s="217"/>
      <c r="D434" s="233"/>
      <c r="E434" s="234"/>
      <c r="F434" s="217"/>
      <c r="G434" s="233"/>
      <c r="H434" s="234"/>
      <c r="I434" s="217"/>
      <c r="J434" s="233"/>
      <c r="K434" s="234"/>
      <c r="L434" s="223"/>
      <c r="M434" s="233"/>
      <c r="N434" s="235"/>
    </row>
    <row r="435">
      <c r="A435" s="233"/>
      <c r="B435" s="234"/>
      <c r="C435" s="217"/>
      <c r="D435" s="233"/>
      <c r="E435" s="234"/>
      <c r="F435" s="217"/>
      <c r="G435" s="233"/>
      <c r="H435" s="234"/>
      <c r="I435" s="217"/>
      <c r="J435" s="233"/>
      <c r="K435" s="234"/>
      <c r="L435" s="223"/>
      <c r="M435" s="233"/>
      <c r="N435" s="235"/>
    </row>
    <row r="436">
      <c r="A436" s="233"/>
      <c r="B436" s="234"/>
      <c r="C436" s="217"/>
      <c r="D436" s="233"/>
      <c r="E436" s="234"/>
      <c r="F436" s="217"/>
      <c r="G436" s="233"/>
      <c r="H436" s="234"/>
      <c r="I436" s="217"/>
      <c r="J436" s="233"/>
      <c r="K436" s="234"/>
      <c r="L436" s="223"/>
      <c r="M436" s="233"/>
      <c r="N436" s="235"/>
    </row>
    <row r="437">
      <c r="A437" s="233"/>
      <c r="B437" s="234"/>
      <c r="C437" s="217"/>
      <c r="D437" s="233"/>
      <c r="E437" s="234"/>
      <c r="F437" s="217"/>
      <c r="G437" s="233"/>
      <c r="H437" s="234"/>
      <c r="I437" s="217"/>
      <c r="J437" s="233"/>
      <c r="K437" s="234"/>
      <c r="L437" s="223"/>
      <c r="M437" s="233"/>
      <c r="N437" s="235"/>
    </row>
    <row r="438">
      <c r="A438" s="233"/>
      <c r="B438" s="234"/>
      <c r="C438" s="217"/>
      <c r="D438" s="233"/>
      <c r="E438" s="234"/>
      <c r="F438" s="217"/>
      <c r="G438" s="233"/>
      <c r="H438" s="234"/>
      <c r="I438" s="217"/>
      <c r="J438" s="233"/>
      <c r="K438" s="234"/>
      <c r="L438" s="223"/>
      <c r="M438" s="233"/>
      <c r="N438" s="235"/>
    </row>
    <row r="439">
      <c r="A439" s="233"/>
      <c r="B439" s="234"/>
      <c r="C439" s="217"/>
      <c r="D439" s="233"/>
      <c r="E439" s="234"/>
      <c r="F439" s="217"/>
      <c r="G439" s="233"/>
      <c r="H439" s="234"/>
      <c r="I439" s="217"/>
      <c r="J439" s="233"/>
      <c r="K439" s="234"/>
      <c r="L439" s="223"/>
      <c r="M439" s="233"/>
      <c r="N439" s="235"/>
    </row>
    <row r="440">
      <c r="A440" s="233"/>
      <c r="B440" s="234"/>
      <c r="C440" s="217"/>
      <c r="D440" s="233"/>
      <c r="E440" s="234"/>
      <c r="F440" s="217"/>
      <c r="G440" s="233"/>
      <c r="H440" s="234"/>
      <c r="I440" s="217"/>
      <c r="J440" s="233"/>
      <c r="K440" s="234"/>
      <c r="L440" s="223"/>
      <c r="M440" s="233"/>
      <c r="N440" s="235"/>
    </row>
    <row r="441">
      <c r="A441" s="233"/>
      <c r="B441" s="234"/>
      <c r="C441" s="217"/>
      <c r="D441" s="233"/>
      <c r="E441" s="234"/>
      <c r="F441" s="217"/>
      <c r="G441" s="233"/>
      <c r="H441" s="234"/>
      <c r="I441" s="217"/>
      <c r="J441" s="233"/>
      <c r="K441" s="234"/>
      <c r="L441" s="223"/>
      <c r="M441" s="233"/>
      <c r="N441" s="235"/>
    </row>
    <row r="442">
      <c r="A442" s="233"/>
      <c r="B442" s="234"/>
      <c r="C442" s="217"/>
      <c r="D442" s="233"/>
      <c r="E442" s="234"/>
      <c r="F442" s="217"/>
      <c r="G442" s="233"/>
      <c r="H442" s="234"/>
      <c r="I442" s="217"/>
      <c r="J442" s="233"/>
      <c r="K442" s="234"/>
      <c r="L442" s="223"/>
      <c r="M442" s="233"/>
      <c r="N442" s="235"/>
    </row>
    <row r="443">
      <c r="A443" s="233"/>
      <c r="B443" s="234"/>
      <c r="C443" s="217"/>
      <c r="D443" s="233"/>
      <c r="E443" s="234"/>
      <c r="F443" s="217"/>
      <c r="G443" s="233"/>
      <c r="H443" s="234"/>
      <c r="I443" s="217"/>
      <c r="J443" s="233"/>
      <c r="K443" s="234"/>
      <c r="L443" s="223"/>
      <c r="M443" s="233"/>
      <c r="N443" s="235"/>
    </row>
    <row r="444">
      <c r="A444" s="233"/>
      <c r="B444" s="234"/>
      <c r="C444" s="217"/>
      <c r="D444" s="233"/>
      <c r="E444" s="234"/>
      <c r="F444" s="217"/>
      <c r="G444" s="233"/>
      <c r="H444" s="234"/>
      <c r="I444" s="217"/>
      <c r="J444" s="233"/>
      <c r="K444" s="234"/>
      <c r="L444" s="223"/>
      <c r="M444" s="233"/>
      <c r="N444" s="235"/>
    </row>
    <row r="445">
      <c r="A445" s="233"/>
      <c r="B445" s="234"/>
      <c r="C445" s="217"/>
      <c r="D445" s="233"/>
      <c r="E445" s="234"/>
      <c r="F445" s="217"/>
      <c r="G445" s="233"/>
      <c r="H445" s="234"/>
      <c r="I445" s="217"/>
      <c r="J445" s="233"/>
      <c r="K445" s="234"/>
      <c r="L445" s="223"/>
      <c r="M445" s="233"/>
      <c r="N445" s="235"/>
    </row>
    <row r="446">
      <c r="A446" s="233"/>
      <c r="B446" s="234"/>
      <c r="C446" s="217"/>
      <c r="D446" s="233"/>
      <c r="E446" s="234"/>
      <c r="F446" s="217"/>
      <c r="G446" s="233"/>
      <c r="H446" s="234"/>
      <c r="I446" s="217"/>
      <c r="J446" s="233"/>
      <c r="K446" s="234"/>
      <c r="L446" s="223"/>
      <c r="M446" s="233"/>
      <c r="N446" s="235"/>
    </row>
    <row r="447">
      <c r="A447" s="233"/>
      <c r="B447" s="234"/>
      <c r="C447" s="217"/>
      <c r="D447" s="233"/>
      <c r="E447" s="234"/>
      <c r="F447" s="217"/>
      <c r="G447" s="233"/>
      <c r="H447" s="234"/>
      <c r="I447" s="217"/>
      <c r="J447" s="233"/>
      <c r="K447" s="234"/>
      <c r="L447" s="223"/>
      <c r="M447" s="233"/>
      <c r="N447" s="235"/>
    </row>
    <row r="448">
      <c r="A448" s="233"/>
      <c r="B448" s="234"/>
      <c r="C448" s="217"/>
      <c r="D448" s="233"/>
      <c r="E448" s="234"/>
      <c r="F448" s="217"/>
      <c r="G448" s="233"/>
      <c r="H448" s="234"/>
      <c r="I448" s="217"/>
      <c r="J448" s="233"/>
      <c r="K448" s="234"/>
      <c r="L448" s="223"/>
      <c r="M448" s="233"/>
      <c r="N448" s="235"/>
    </row>
    <row r="449">
      <c r="A449" s="233"/>
      <c r="B449" s="234"/>
      <c r="C449" s="217"/>
      <c r="D449" s="233"/>
      <c r="E449" s="234"/>
      <c r="F449" s="217"/>
      <c r="G449" s="233"/>
      <c r="H449" s="234"/>
      <c r="I449" s="217"/>
      <c r="J449" s="233"/>
      <c r="K449" s="234"/>
      <c r="L449" s="223"/>
      <c r="M449" s="233"/>
      <c r="N449" s="235"/>
    </row>
    <row r="450">
      <c r="A450" s="233"/>
      <c r="B450" s="234"/>
      <c r="C450" s="217"/>
      <c r="D450" s="233"/>
      <c r="E450" s="234"/>
      <c r="F450" s="217"/>
      <c r="G450" s="233"/>
      <c r="H450" s="234"/>
      <c r="I450" s="217"/>
      <c r="J450" s="233"/>
      <c r="K450" s="234"/>
      <c r="L450" s="223"/>
      <c r="M450" s="233"/>
      <c r="N450" s="235"/>
    </row>
    <row r="451">
      <c r="A451" s="233"/>
      <c r="B451" s="234"/>
      <c r="C451" s="217"/>
      <c r="D451" s="233"/>
      <c r="E451" s="234"/>
      <c r="F451" s="217"/>
      <c r="G451" s="233"/>
      <c r="H451" s="234"/>
      <c r="I451" s="217"/>
      <c r="J451" s="233"/>
      <c r="K451" s="234"/>
      <c r="L451" s="223"/>
      <c r="M451" s="233"/>
      <c r="N451" s="235"/>
    </row>
    <row r="452">
      <c r="A452" s="233"/>
      <c r="B452" s="234"/>
      <c r="C452" s="217"/>
      <c r="D452" s="233"/>
      <c r="E452" s="234"/>
      <c r="F452" s="217"/>
      <c r="G452" s="233"/>
      <c r="H452" s="234"/>
      <c r="I452" s="217"/>
      <c r="J452" s="233"/>
      <c r="K452" s="234"/>
      <c r="L452" s="223"/>
      <c r="M452" s="233"/>
      <c r="N452" s="235"/>
    </row>
    <row r="453">
      <c r="A453" s="233"/>
      <c r="B453" s="234"/>
      <c r="C453" s="217"/>
      <c r="D453" s="233"/>
      <c r="E453" s="234"/>
      <c r="F453" s="217"/>
      <c r="G453" s="233"/>
      <c r="H453" s="234"/>
      <c r="I453" s="217"/>
      <c r="J453" s="233"/>
      <c r="K453" s="234"/>
      <c r="L453" s="223"/>
      <c r="M453" s="233"/>
      <c r="N453" s="235"/>
    </row>
    <row r="454">
      <c r="A454" s="233"/>
      <c r="B454" s="234"/>
      <c r="C454" s="217"/>
      <c r="D454" s="233"/>
      <c r="E454" s="234"/>
      <c r="F454" s="217"/>
      <c r="G454" s="233"/>
      <c r="H454" s="234"/>
      <c r="I454" s="217"/>
      <c r="J454" s="233"/>
      <c r="K454" s="234"/>
      <c r="L454" s="223"/>
      <c r="M454" s="233"/>
      <c r="N454" s="235"/>
    </row>
    <row r="455">
      <c r="A455" s="233"/>
      <c r="B455" s="234"/>
      <c r="C455" s="217"/>
      <c r="D455" s="233"/>
      <c r="E455" s="234"/>
      <c r="F455" s="217"/>
      <c r="G455" s="233"/>
      <c r="H455" s="234"/>
      <c r="I455" s="217"/>
      <c r="J455" s="233"/>
      <c r="K455" s="234"/>
      <c r="L455" s="223"/>
      <c r="M455" s="233"/>
      <c r="N455" s="235"/>
    </row>
    <row r="456">
      <c r="A456" s="233"/>
      <c r="B456" s="234"/>
      <c r="C456" s="217"/>
      <c r="D456" s="233"/>
      <c r="E456" s="234"/>
      <c r="F456" s="217"/>
      <c r="G456" s="233"/>
      <c r="H456" s="234"/>
      <c r="I456" s="217"/>
      <c r="J456" s="233"/>
      <c r="K456" s="234"/>
      <c r="L456" s="223"/>
      <c r="M456" s="233"/>
      <c r="N456" s="235"/>
    </row>
    <row r="457">
      <c r="A457" s="233"/>
      <c r="B457" s="234"/>
      <c r="C457" s="217"/>
      <c r="D457" s="233"/>
      <c r="E457" s="234"/>
      <c r="F457" s="217"/>
      <c r="G457" s="233"/>
      <c r="H457" s="234"/>
      <c r="I457" s="217"/>
      <c r="J457" s="233"/>
      <c r="K457" s="234"/>
      <c r="L457" s="223"/>
      <c r="M457" s="233"/>
      <c r="N457" s="235"/>
    </row>
    <row r="458">
      <c r="A458" s="233"/>
      <c r="B458" s="234"/>
      <c r="C458" s="217"/>
      <c r="D458" s="233"/>
      <c r="E458" s="234"/>
      <c r="F458" s="217"/>
      <c r="G458" s="233"/>
      <c r="H458" s="234"/>
      <c r="I458" s="217"/>
      <c r="J458" s="233"/>
      <c r="K458" s="234"/>
      <c r="L458" s="223"/>
      <c r="M458" s="233"/>
      <c r="N458" s="235"/>
    </row>
    <row r="459">
      <c r="A459" s="233"/>
      <c r="B459" s="234"/>
      <c r="C459" s="217"/>
      <c r="D459" s="233"/>
      <c r="E459" s="234"/>
      <c r="F459" s="217"/>
      <c r="G459" s="233"/>
      <c r="H459" s="234"/>
      <c r="I459" s="217"/>
      <c r="J459" s="233"/>
      <c r="K459" s="234"/>
      <c r="L459" s="223"/>
      <c r="M459" s="233"/>
      <c r="N459" s="235"/>
    </row>
    <row r="460">
      <c r="A460" s="233"/>
      <c r="B460" s="234"/>
      <c r="C460" s="217"/>
      <c r="D460" s="233"/>
      <c r="E460" s="234"/>
      <c r="F460" s="217"/>
      <c r="G460" s="233"/>
      <c r="H460" s="234"/>
      <c r="I460" s="217"/>
      <c r="J460" s="233"/>
      <c r="K460" s="234"/>
      <c r="L460" s="223"/>
      <c r="M460" s="233"/>
      <c r="N460" s="235"/>
    </row>
    <row r="461">
      <c r="A461" s="233"/>
      <c r="B461" s="234"/>
      <c r="C461" s="217"/>
      <c r="D461" s="233"/>
      <c r="E461" s="234"/>
      <c r="F461" s="217"/>
      <c r="G461" s="233"/>
      <c r="H461" s="234"/>
      <c r="I461" s="217"/>
      <c r="J461" s="233"/>
      <c r="K461" s="234"/>
      <c r="L461" s="223"/>
      <c r="M461" s="233"/>
      <c r="N461" s="235"/>
    </row>
    <row r="462">
      <c r="A462" s="233"/>
      <c r="B462" s="234"/>
      <c r="C462" s="217"/>
      <c r="D462" s="233"/>
      <c r="E462" s="234"/>
      <c r="F462" s="217"/>
      <c r="G462" s="233"/>
      <c r="H462" s="234"/>
      <c r="I462" s="217"/>
      <c r="J462" s="233"/>
      <c r="K462" s="234"/>
      <c r="L462" s="223"/>
      <c r="M462" s="233"/>
      <c r="N462" s="235"/>
    </row>
    <row r="463">
      <c r="A463" s="233"/>
      <c r="B463" s="234"/>
      <c r="C463" s="217"/>
      <c r="D463" s="233"/>
      <c r="E463" s="234"/>
      <c r="F463" s="217"/>
      <c r="G463" s="233"/>
      <c r="H463" s="234"/>
      <c r="I463" s="217"/>
      <c r="J463" s="233"/>
      <c r="K463" s="234"/>
      <c r="L463" s="223"/>
      <c r="M463" s="233"/>
      <c r="N463" s="235"/>
    </row>
    <row r="464">
      <c r="A464" s="233"/>
      <c r="B464" s="234"/>
      <c r="C464" s="217"/>
      <c r="D464" s="233"/>
      <c r="E464" s="234"/>
      <c r="F464" s="217"/>
      <c r="G464" s="233"/>
      <c r="H464" s="234"/>
      <c r="I464" s="217"/>
      <c r="J464" s="233"/>
      <c r="K464" s="234"/>
      <c r="L464" s="223"/>
      <c r="M464" s="233"/>
      <c r="N464" s="235"/>
    </row>
    <row r="465">
      <c r="A465" s="233"/>
      <c r="B465" s="234"/>
      <c r="C465" s="217"/>
      <c r="D465" s="233"/>
      <c r="E465" s="234"/>
      <c r="F465" s="217"/>
      <c r="G465" s="233"/>
      <c r="H465" s="234"/>
      <c r="I465" s="217"/>
      <c r="J465" s="233"/>
      <c r="K465" s="234"/>
      <c r="L465" s="223"/>
      <c r="M465" s="233"/>
      <c r="N465" s="235"/>
    </row>
    <row r="466">
      <c r="A466" s="233"/>
      <c r="B466" s="234"/>
      <c r="C466" s="217"/>
      <c r="D466" s="233"/>
      <c r="E466" s="234"/>
      <c r="F466" s="217"/>
      <c r="G466" s="233"/>
      <c r="H466" s="234"/>
      <c r="I466" s="217"/>
      <c r="J466" s="233"/>
      <c r="K466" s="234"/>
      <c r="L466" s="223"/>
      <c r="M466" s="233"/>
      <c r="N466" s="235"/>
    </row>
    <row r="467">
      <c r="A467" s="233"/>
      <c r="B467" s="234"/>
      <c r="C467" s="217"/>
      <c r="D467" s="233"/>
      <c r="E467" s="234"/>
      <c r="F467" s="217"/>
      <c r="G467" s="233"/>
      <c r="H467" s="234"/>
      <c r="I467" s="217"/>
      <c r="J467" s="233"/>
      <c r="K467" s="234"/>
      <c r="L467" s="223"/>
      <c r="M467" s="233"/>
      <c r="N467" s="235"/>
    </row>
    <row r="468">
      <c r="A468" s="233"/>
      <c r="B468" s="234"/>
      <c r="C468" s="217"/>
      <c r="D468" s="233"/>
      <c r="E468" s="234"/>
      <c r="F468" s="217"/>
      <c r="G468" s="233"/>
      <c r="H468" s="234"/>
      <c r="I468" s="217"/>
      <c r="J468" s="233"/>
      <c r="K468" s="234"/>
      <c r="L468" s="223"/>
      <c r="M468" s="233"/>
      <c r="N468" s="235"/>
    </row>
    <row r="469">
      <c r="A469" s="233"/>
      <c r="B469" s="234"/>
      <c r="C469" s="217"/>
      <c r="D469" s="233"/>
      <c r="E469" s="234"/>
      <c r="F469" s="217"/>
      <c r="G469" s="233"/>
      <c r="H469" s="234"/>
      <c r="I469" s="217"/>
      <c r="J469" s="233"/>
      <c r="K469" s="234"/>
      <c r="L469" s="223"/>
      <c r="M469" s="233"/>
      <c r="N469" s="235"/>
    </row>
    <row r="470">
      <c r="A470" s="233"/>
      <c r="B470" s="234"/>
      <c r="C470" s="217"/>
      <c r="D470" s="233"/>
      <c r="E470" s="234"/>
      <c r="F470" s="217"/>
      <c r="G470" s="233"/>
      <c r="H470" s="234"/>
      <c r="I470" s="217"/>
      <c r="J470" s="233"/>
      <c r="K470" s="234"/>
      <c r="L470" s="223"/>
      <c r="M470" s="233"/>
      <c r="N470" s="235"/>
    </row>
    <row r="471">
      <c r="A471" s="233"/>
      <c r="B471" s="234"/>
      <c r="C471" s="217"/>
      <c r="D471" s="233"/>
      <c r="E471" s="234"/>
      <c r="F471" s="217"/>
      <c r="G471" s="233"/>
      <c r="H471" s="234"/>
      <c r="I471" s="217"/>
      <c r="J471" s="233"/>
      <c r="K471" s="234"/>
      <c r="L471" s="223"/>
      <c r="M471" s="233"/>
      <c r="N471" s="235"/>
    </row>
    <row r="472">
      <c r="A472" s="233"/>
      <c r="B472" s="234"/>
      <c r="C472" s="217"/>
      <c r="D472" s="233"/>
      <c r="E472" s="234"/>
      <c r="F472" s="217"/>
      <c r="G472" s="233"/>
      <c r="H472" s="234"/>
      <c r="I472" s="217"/>
      <c r="J472" s="233"/>
      <c r="K472" s="234"/>
      <c r="L472" s="223"/>
      <c r="M472" s="233"/>
      <c r="N472" s="235"/>
    </row>
    <row r="473">
      <c r="A473" s="233"/>
      <c r="B473" s="234"/>
      <c r="C473" s="217"/>
      <c r="D473" s="233"/>
      <c r="E473" s="234"/>
      <c r="F473" s="217"/>
      <c r="G473" s="233"/>
      <c r="H473" s="234"/>
      <c r="I473" s="217"/>
      <c r="J473" s="233"/>
      <c r="K473" s="234"/>
      <c r="L473" s="223"/>
      <c r="M473" s="233"/>
      <c r="N473" s="235"/>
    </row>
    <row r="474">
      <c r="A474" s="233"/>
      <c r="B474" s="234"/>
      <c r="C474" s="217"/>
      <c r="D474" s="233"/>
      <c r="E474" s="234"/>
      <c r="F474" s="217"/>
      <c r="G474" s="233"/>
      <c r="H474" s="234"/>
      <c r="I474" s="217"/>
      <c r="J474" s="233"/>
      <c r="K474" s="234"/>
      <c r="L474" s="223"/>
      <c r="M474" s="233"/>
      <c r="N474" s="235"/>
    </row>
    <row r="475">
      <c r="A475" s="233"/>
      <c r="B475" s="234"/>
      <c r="C475" s="217"/>
      <c r="D475" s="233"/>
      <c r="E475" s="234"/>
      <c r="F475" s="217"/>
      <c r="G475" s="233"/>
      <c r="H475" s="234"/>
      <c r="I475" s="217"/>
      <c r="J475" s="233"/>
      <c r="K475" s="234"/>
      <c r="L475" s="223"/>
      <c r="M475" s="233"/>
      <c r="N475" s="235"/>
    </row>
    <row r="476">
      <c r="A476" s="233"/>
      <c r="B476" s="234"/>
      <c r="C476" s="217"/>
      <c r="D476" s="233"/>
      <c r="E476" s="234"/>
      <c r="F476" s="217"/>
      <c r="G476" s="233"/>
      <c r="H476" s="234"/>
      <c r="I476" s="217"/>
      <c r="J476" s="233"/>
      <c r="K476" s="234"/>
      <c r="L476" s="223"/>
      <c r="M476" s="233"/>
      <c r="N476" s="235"/>
    </row>
    <row r="477">
      <c r="A477" s="233"/>
      <c r="B477" s="234"/>
      <c r="C477" s="217"/>
      <c r="D477" s="233"/>
      <c r="E477" s="234"/>
      <c r="F477" s="217"/>
      <c r="G477" s="233"/>
      <c r="H477" s="234"/>
      <c r="I477" s="217"/>
      <c r="J477" s="233"/>
      <c r="K477" s="234"/>
      <c r="L477" s="223"/>
      <c r="M477" s="233"/>
      <c r="N477" s="235"/>
    </row>
    <row r="478">
      <c r="A478" s="233"/>
      <c r="B478" s="234"/>
      <c r="C478" s="217"/>
      <c r="D478" s="233"/>
      <c r="E478" s="234"/>
      <c r="F478" s="217"/>
      <c r="G478" s="233"/>
      <c r="H478" s="234"/>
      <c r="I478" s="217"/>
      <c r="J478" s="233"/>
      <c r="K478" s="234"/>
      <c r="L478" s="223"/>
      <c r="M478" s="233"/>
      <c r="N478" s="235"/>
    </row>
    <row r="479">
      <c r="A479" s="233"/>
      <c r="B479" s="234"/>
      <c r="C479" s="217"/>
      <c r="D479" s="233"/>
      <c r="E479" s="234"/>
      <c r="F479" s="217"/>
      <c r="G479" s="233"/>
      <c r="H479" s="234"/>
      <c r="I479" s="217"/>
      <c r="J479" s="233"/>
      <c r="K479" s="234"/>
      <c r="L479" s="223"/>
      <c r="M479" s="233"/>
      <c r="N479" s="235"/>
    </row>
    <row r="480">
      <c r="A480" s="233"/>
      <c r="B480" s="234"/>
      <c r="C480" s="217"/>
      <c r="D480" s="233"/>
      <c r="E480" s="234"/>
      <c r="F480" s="217"/>
      <c r="G480" s="233"/>
      <c r="H480" s="234"/>
      <c r="I480" s="217"/>
      <c r="J480" s="233"/>
      <c r="K480" s="234"/>
      <c r="L480" s="223"/>
      <c r="M480" s="233"/>
      <c r="N480" s="235"/>
    </row>
    <row r="481">
      <c r="A481" s="233"/>
      <c r="B481" s="234"/>
      <c r="C481" s="217"/>
      <c r="D481" s="233"/>
      <c r="E481" s="234"/>
      <c r="F481" s="217"/>
      <c r="G481" s="233"/>
      <c r="H481" s="234"/>
      <c r="I481" s="217"/>
      <c r="J481" s="233"/>
      <c r="K481" s="234"/>
      <c r="L481" s="223"/>
      <c r="M481" s="233"/>
      <c r="N481" s="235"/>
    </row>
    <row r="482">
      <c r="A482" s="233"/>
      <c r="B482" s="234"/>
      <c r="C482" s="217"/>
      <c r="D482" s="233"/>
      <c r="E482" s="234"/>
      <c r="F482" s="217"/>
      <c r="G482" s="233"/>
      <c r="H482" s="234"/>
      <c r="I482" s="217"/>
      <c r="J482" s="233"/>
      <c r="K482" s="234"/>
      <c r="L482" s="223"/>
      <c r="M482" s="233"/>
      <c r="N482" s="235"/>
    </row>
    <row r="483">
      <c r="A483" s="233"/>
      <c r="B483" s="234"/>
      <c r="C483" s="217"/>
      <c r="D483" s="233"/>
      <c r="E483" s="234"/>
      <c r="F483" s="217"/>
      <c r="G483" s="233"/>
      <c r="H483" s="234"/>
      <c r="I483" s="217"/>
      <c r="J483" s="233"/>
      <c r="K483" s="234"/>
      <c r="L483" s="223"/>
      <c r="M483" s="233"/>
      <c r="N483" s="235"/>
    </row>
    <row r="484">
      <c r="A484" s="233"/>
      <c r="B484" s="234"/>
      <c r="C484" s="217"/>
      <c r="D484" s="233"/>
      <c r="E484" s="234"/>
      <c r="F484" s="217"/>
      <c r="G484" s="233"/>
      <c r="H484" s="234"/>
      <c r="I484" s="217"/>
      <c r="J484" s="233"/>
      <c r="K484" s="234"/>
      <c r="L484" s="223"/>
      <c r="M484" s="233"/>
      <c r="N484" s="235"/>
    </row>
    <row r="485">
      <c r="A485" s="233"/>
      <c r="B485" s="234"/>
      <c r="C485" s="217"/>
      <c r="D485" s="233"/>
      <c r="E485" s="234"/>
      <c r="F485" s="217"/>
      <c r="G485" s="233"/>
      <c r="H485" s="234"/>
      <c r="I485" s="217"/>
      <c r="J485" s="233"/>
      <c r="K485" s="234"/>
      <c r="L485" s="223"/>
      <c r="M485" s="233"/>
      <c r="N485" s="235"/>
    </row>
    <row r="486">
      <c r="A486" s="233"/>
      <c r="B486" s="234"/>
      <c r="C486" s="217"/>
      <c r="D486" s="233"/>
      <c r="E486" s="234"/>
      <c r="F486" s="217"/>
      <c r="G486" s="233"/>
      <c r="H486" s="234"/>
      <c r="I486" s="217"/>
      <c r="J486" s="233"/>
      <c r="K486" s="234"/>
      <c r="L486" s="223"/>
      <c r="M486" s="233"/>
      <c r="N486" s="235"/>
    </row>
    <row r="487">
      <c r="A487" s="233"/>
      <c r="B487" s="234"/>
      <c r="C487" s="217"/>
      <c r="D487" s="233"/>
      <c r="E487" s="234"/>
      <c r="F487" s="217"/>
      <c r="G487" s="233"/>
      <c r="H487" s="234"/>
      <c r="I487" s="217"/>
      <c r="J487" s="233"/>
      <c r="K487" s="234"/>
      <c r="L487" s="223"/>
      <c r="M487" s="233"/>
      <c r="N487" s="235"/>
    </row>
    <row r="488">
      <c r="A488" s="233"/>
      <c r="B488" s="234"/>
      <c r="C488" s="217"/>
      <c r="D488" s="233"/>
      <c r="E488" s="234"/>
      <c r="F488" s="217"/>
      <c r="G488" s="233"/>
      <c r="H488" s="234"/>
      <c r="I488" s="217"/>
      <c r="J488" s="233"/>
      <c r="K488" s="234"/>
      <c r="L488" s="223"/>
      <c r="M488" s="233"/>
      <c r="N488" s="235"/>
    </row>
    <row r="489">
      <c r="A489" s="233"/>
      <c r="B489" s="234"/>
      <c r="C489" s="217"/>
      <c r="D489" s="233"/>
      <c r="E489" s="234"/>
      <c r="F489" s="217"/>
      <c r="G489" s="233"/>
      <c r="H489" s="234"/>
      <c r="I489" s="217"/>
      <c r="J489" s="233"/>
      <c r="K489" s="234"/>
      <c r="L489" s="223"/>
      <c r="M489" s="233"/>
      <c r="N489" s="235"/>
    </row>
    <row r="490">
      <c r="A490" s="233"/>
      <c r="B490" s="234"/>
      <c r="C490" s="217"/>
      <c r="D490" s="233"/>
      <c r="E490" s="234"/>
      <c r="F490" s="217"/>
      <c r="G490" s="233"/>
      <c r="H490" s="234"/>
      <c r="I490" s="217"/>
      <c r="J490" s="233"/>
      <c r="K490" s="234"/>
      <c r="L490" s="223"/>
      <c r="M490" s="233"/>
      <c r="N490" s="235"/>
    </row>
    <row r="491">
      <c r="A491" s="233"/>
      <c r="B491" s="234"/>
      <c r="C491" s="217"/>
      <c r="D491" s="233"/>
      <c r="E491" s="234"/>
      <c r="F491" s="217"/>
      <c r="G491" s="233"/>
      <c r="H491" s="234"/>
      <c r="I491" s="217"/>
      <c r="J491" s="233"/>
      <c r="K491" s="234"/>
      <c r="L491" s="223"/>
      <c r="M491" s="233"/>
      <c r="N491" s="235"/>
    </row>
    <row r="492">
      <c r="A492" s="233"/>
      <c r="B492" s="234"/>
      <c r="C492" s="217"/>
      <c r="D492" s="233"/>
      <c r="E492" s="234"/>
      <c r="F492" s="217"/>
      <c r="G492" s="233"/>
      <c r="H492" s="234"/>
      <c r="I492" s="217"/>
      <c r="J492" s="233"/>
      <c r="K492" s="234"/>
      <c r="L492" s="223"/>
      <c r="M492" s="233"/>
      <c r="N492" s="235"/>
    </row>
    <row r="493">
      <c r="A493" s="233"/>
      <c r="B493" s="234"/>
      <c r="C493" s="217"/>
      <c r="D493" s="233"/>
      <c r="E493" s="234"/>
      <c r="F493" s="217"/>
      <c r="G493" s="233"/>
      <c r="H493" s="234"/>
      <c r="I493" s="217"/>
      <c r="J493" s="233"/>
      <c r="K493" s="234"/>
      <c r="L493" s="223"/>
      <c r="M493" s="233"/>
      <c r="N493" s="235"/>
    </row>
    <row r="494">
      <c r="A494" s="233"/>
      <c r="B494" s="234"/>
      <c r="C494" s="217"/>
      <c r="D494" s="233"/>
      <c r="E494" s="234"/>
      <c r="F494" s="217"/>
      <c r="G494" s="233"/>
      <c r="H494" s="234"/>
      <c r="I494" s="217"/>
      <c r="J494" s="233"/>
      <c r="K494" s="234"/>
      <c r="L494" s="223"/>
      <c r="M494" s="233"/>
      <c r="N494" s="235"/>
    </row>
    <row r="495">
      <c r="A495" s="233"/>
      <c r="B495" s="234"/>
      <c r="C495" s="217"/>
      <c r="D495" s="233"/>
      <c r="E495" s="234"/>
      <c r="F495" s="217"/>
      <c r="G495" s="233"/>
      <c r="H495" s="234"/>
      <c r="I495" s="217"/>
      <c r="J495" s="233"/>
      <c r="K495" s="234"/>
      <c r="L495" s="223"/>
      <c r="M495" s="233"/>
      <c r="N495" s="235"/>
    </row>
    <row r="496">
      <c r="A496" s="233"/>
      <c r="B496" s="234"/>
      <c r="C496" s="217"/>
      <c r="D496" s="233"/>
      <c r="E496" s="234"/>
      <c r="F496" s="217"/>
      <c r="G496" s="233"/>
      <c r="H496" s="234"/>
      <c r="I496" s="217"/>
      <c r="J496" s="233"/>
      <c r="K496" s="234"/>
      <c r="L496" s="223"/>
      <c r="M496" s="233"/>
      <c r="N496" s="235"/>
    </row>
    <row r="497">
      <c r="A497" s="233"/>
      <c r="B497" s="234"/>
      <c r="C497" s="217"/>
      <c r="D497" s="233"/>
      <c r="E497" s="234"/>
      <c r="F497" s="217"/>
      <c r="G497" s="233"/>
      <c r="H497" s="234"/>
      <c r="I497" s="217"/>
      <c r="J497" s="233"/>
      <c r="K497" s="234"/>
      <c r="L497" s="223"/>
      <c r="M497" s="233"/>
      <c r="N497" s="235"/>
    </row>
    <row r="498">
      <c r="A498" s="233"/>
      <c r="B498" s="234"/>
      <c r="C498" s="217"/>
      <c r="D498" s="233"/>
      <c r="E498" s="234"/>
      <c r="F498" s="217"/>
      <c r="G498" s="233"/>
      <c r="H498" s="234"/>
      <c r="I498" s="217"/>
      <c r="J498" s="233"/>
      <c r="K498" s="234"/>
      <c r="L498" s="223"/>
      <c r="M498" s="233"/>
      <c r="N498" s="235"/>
    </row>
    <row r="499">
      <c r="A499" s="233"/>
      <c r="B499" s="234"/>
      <c r="C499" s="217"/>
      <c r="D499" s="233"/>
      <c r="E499" s="234"/>
      <c r="F499" s="217"/>
      <c r="G499" s="233"/>
      <c r="H499" s="234"/>
      <c r="I499" s="217"/>
      <c r="J499" s="233"/>
      <c r="K499" s="234"/>
      <c r="L499" s="223"/>
      <c r="M499" s="233"/>
      <c r="N499" s="235"/>
    </row>
    <row r="500">
      <c r="A500" s="233"/>
      <c r="B500" s="234"/>
      <c r="C500" s="217"/>
      <c r="D500" s="233"/>
      <c r="E500" s="234"/>
      <c r="F500" s="217"/>
      <c r="G500" s="233"/>
      <c r="H500" s="234"/>
      <c r="I500" s="217"/>
      <c r="J500" s="233"/>
      <c r="K500" s="234"/>
      <c r="L500" s="223"/>
      <c r="M500" s="233"/>
      <c r="N500" s="235"/>
    </row>
    <row r="501">
      <c r="A501" s="233"/>
      <c r="B501" s="234"/>
      <c r="C501" s="217"/>
      <c r="D501" s="233"/>
      <c r="E501" s="234"/>
      <c r="F501" s="217"/>
      <c r="G501" s="233"/>
      <c r="H501" s="234"/>
      <c r="I501" s="217"/>
      <c r="J501" s="233"/>
      <c r="K501" s="234"/>
      <c r="L501" s="223"/>
      <c r="M501" s="233"/>
      <c r="N501" s="235"/>
    </row>
    <row r="502">
      <c r="A502" s="233"/>
      <c r="B502" s="234"/>
      <c r="C502" s="217"/>
      <c r="D502" s="233"/>
      <c r="E502" s="234"/>
      <c r="F502" s="217"/>
      <c r="G502" s="233"/>
      <c r="H502" s="234"/>
      <c r="I502" s="217"/>
      <c r="J502" s="233"/>
      <c r="K502" s="234"/>
      <c r="L502" s="223"/>
      <c r="M502" s="233"/>
      <c r="N502" s="235"/>
    </row>
    <row r="503">
      <c r="A503" s="233"/>
      <c r="B503" s="234"/>
      <c r="C503" s="217"/>
      <c r="D503" s="233"/>
      <c r="E503" s="234"/>
      <c r="F503" s="217"/>
      <c r="G503" s="233"/>
      <c r="H503" s="234"/>
      <c r="I503" s="217"/>
      <c r="J503" s="233"/>
      <c r="K503" s="234"/>
      <c r="L503" s="223"/>
      <c r="M503" s="233"/>
      <c r="N503" s="235"/>
    </row>
    <row r="504">
      <c r="A504" s="233"/>
      <c r="B504" s="234"/>
      <c r="C504" s="217"/>
      <c r="D504" s="233"/>
      <c r="E504" s="234"/>
      <c r="F504" s="217"/>
      <c r="G504" s="233"/>
      <c r="H504" s="234"/>
      <c r="I504" s="217"/>
      <c r="J504" s="233"/>
      <c r="K504" s="234"/>
      <c r="L504" s="223"/>
      <c r="M504" s="233"/>
      <c r="N504" s="235"/>
    </row>
    <row r="505">
      <c r="A505" s="233"/>
      <c r="B505" s="234"/>
      <c r="C505" s="217"/>
      <c r="D505" s="233"/>
      <c r="E505" s="234"/>
      <c r="F505" s="217"/>
      <c r="G505" s="233"/>
      <c r="H505" s="234"/>
      <c r="I505" s="217"/>
      <c r="J505" s="233"/>
      <c r="K505" s="234"/>
      <c r="L505" s="223"/>
      <c r="M505" s="233"/>
      <c r="N505" s="235"/>
    </row>
    <row r="506">
      <c r="A506" s="233"/>
      <c r="B506" s="234"/>
      <c r="C506" s="217"/>
      <c r="D506" s="233"/>
      <c r="E506" s="234"/>
      <c r="F506" s="217"/>
      <c r="G506" s="233"/>
      <c r="H506" s="234"/>
      <c r="I506" s="217"/>
      <c r="J506" s="233"/>
      <c r="K506" s="234"/>
      <c r="L506" s="223"/>
      <c r="M506" s="233"/>
      <c r="N506" s="235"/>
    </row>
    <row r="507">
      <c r="A507" s="233"/>
      <c r="B507" s="234"/>
      <c r="C507" s="217"/>
      <c r="D507" s="233"/>
      <c r="E507" s="234"/>
      <c r="F507" s="217"/>
      <c r="G507" s="233"/>
      <c r="H507" s="234"/>
      <c r="I507" s="217"/>
      <c r="J507" s="233"/>
      <c r="K507" s="234"/>
      <c r="L507" s="223"/>
      <c r="M507" s="233"/>
      <c r="N507" s="235"/>
    </row>
    <row r="508">
      <c r="A508" s="233"/>
      <c r="B508" s="234"/>
      <c r="C508" s="217"/>
      <c r="D508" s="233"/>
      <c r="E508" s="234"/>
      <c r="F508" s="217"/>
      <c r="G508" s="233"/>
      <c r="H508" s="234"/>
      <c r="I508" s="217"/>
      <c r="J508" s="233"/>
      <c r="K508" s="234"/>
      <c r="L508" s="223"/>
      <c r="M508" s="233"/>
      <c r="N508" s="235"/>
    </row>
    <row r="509">
      <c r="A509" s="233"/>
      <c r="B509" s="234"/>
      <c r="C509" s="217"/>
      <c r="D509" s="233"/>
      <c r="E509" s="234"/>
      <c r="F509" s="217"/>
      <c r="G509" s="233"/>
      <c r="H509" s="234"/>
      <c r="I509" s="217"/>
      <c r="J509" s="233"/>
      <c r="K509" s="234"/>
      <c r="L509" s="223"/>
      <c r="M509" s="233"/>
      <c r="N509" s="235"/>
    </row>
    <row r="510">
      <c r="A510" s="233"/>
      <c r="B510" s="234"/>
      <c r="C510" s="217"/>
      <c r="D510" s="233"/>
      <c r="E510" s="234"/>
      <c r="F510" s="217"/>
      <c r="G510" s="233"/>
      <c r="H510" s="234"/>
      <c r="I510" s="217"/>
      <c r="J510" s="233"/>
      <c r="K510" s="234"/>
      <c r="L510" s="223"/>
      <c r="M510" s="233"/>
      <c r="N510" s="235"/>
    </row>
    <row r="511">
      <c r="A511" s="233"/>
      <c r="B511" s="234"/>
      <c r="C511" s="217"/>
      <c r="D511" s="233"/>
      <c r="E511" s="234"/>
      <c r="F511" s="217"/>
      <c r="G511" s="233"/>
      <c r="H511" s="234"/>
      <c r="I511" s="217"/>
      <c r="J511" s="233"/>
      <c r="K511" s="234"/>
      <c r="L511" s="223"/>
      <c r="M511" s="233"/>
      <c r="N511" s="235"/>
    </row>
    <row r="512">
      <c r="A512" s="233"/>
      <c r="B512" s="234"/>
      <c r="C512" s="217"/>
      <c r="D512" s="233"/>
      <c r="E512" s="234"/>
      <c r="F512" s="217"/>
      <c r="G512" s="233"/>
      <c r="H512" s="234"/>
      <c r="I512" s="217"/>
      <c r="J512" s="233"/>
      <c r="K512" s="234"/>
      <c r="L512" s="223"/>
      <c r="M512" s="233"/>
      <c r="N512" s="235"/>
    </row>
    <row r="513">
      <c r="A513" s="233"/>
      <c r="B513" s="234"/>
      <c r="C513" s="217"/>
      <c r="D513" s="233"/>
      <c r="E513" s="234"/>
      <c r="F513" s="217"/>
      <c r="G513" s="233"/>
      <c r="H513" s="234"/>
      <c r="I513" s="217"/>
      <c r="J513" s="233"/>
      <c r="K513" s="234"/>
      <c r="L513" s="223"/>
      <c r="M513" s="233"/>
      <c r="N513" s="235"/>
    </row>
    <row r="514">
      <c r="A514" s="233"/>
      <c r="B514" s="234"/>
      <c r="C514" s="217"/>
      <c r="D514" s="233"/>
      <c r="E514" s="234"/>
      <c r="F514" s="217"/>
      <c r="G514" s="233"/>
      <c r="H514" s="234"/>
      <c r="I514" s="217"/>
      <c r="J514" s="233"/>
      <c r="K514" s="234"/>
      <c r="L514" s="223"/>
      <c r="M514" s="233"/>
      <c r="N514" s="235"/>
    </row>
    <row r="515">
      <c r="A515" s="233"/>
      <c r="B515" s="234"/>
      <c r="C515" s="217"/>
      <c r="D515" s="233"/>
      <c r="E515" s="234"/>
      <c r="F515" s="217"/>
      <c r="G515" s="233"/>
      <c r="H515" s="234"/>
      <c r="I515" s="217"/>
      <c r="J515" s="233"/>
      <c r="K515" s="234"/>
      <c r="L515" s="223"/>
      <c r="M515" s="233"/>
      <c r="N515" s="235"/>
    </row>
    <row r="516">
      <c r="A516" s="233"/>
      <c r="B516" s="234"/>
      <c r="C516" s="217"/>
      <c r="D516" s="233"/>
      <c r="E516" s="234"/>
      <c r="F516" s="217"/>
      <c r="G516" s="233"/>
      <c r="H516" s="234"/>
      <c r="I516" s="217"/>
      <c r="J516" s="233"/>
      <c r="K516" s="234"/>
      <c r="L516" s="223"/>
      <c r="M516" s="233"/>
      <c r="N516" s="235"/>
    </row>
    <row r="517">
      <c r="A517" s="233"/>
      <c r="B517" s="234"/>
      <c r="C517" s="217"/>
      <c r="D517" s="233"/>
      <c r="E517" s="234"/>
      <c r="F517" s="217"/>
      <c r="G517" s="233"/>
      <c r="H517" s="234"/>
      <c r="I517" s="217"/>
      <c r="J517" s="233"/>
      <c r="K517" s="234"/>
      <c r="L517" s="223"/>
      <c r="M517" s="233"/>
      <c r="N517" s="235"/>
    </row>
    <row r="518">
      <c r="A518" s="233"/>
      <c r="B518" s="234"/>
      <c r="C518" s="217"/>
      <c r="D518" s="233"/>
      <c r="E518" s="234"/>
      <c r="F518" s="217"/>
      <c r="G518" s="233"/>
      <c r="H518" s="234"/>
      <c r="I518" s="217"/>
      <c r="J518" s="233"/>
      <c r="K518" s="234"/>
      <c r="L518" s="223"/>
      <c r="M518" s="233"/>
      <c r="N518" s="235"/>
    </row>
    <row r="519">
      <c r="A519" s="233"/>
      <c r="B519" s="234"/>
      <c r="C519" s="217"/>
      <c r="D519" s="233"/>
      <c r="E519" s="234"/>
      <c r="F519" s="217"/>
      <c r="G519" s="233"/>
      <c r="H519" s="234"/>
      <c r="I519" s="217"/>
      <c r="J519" s="233"/>
      <c r="K519" s="234"/>
      <c r="L519" s="223"/>
      <c r="M519" s="233"/>
      <c r="N519" s="235"/>
    </row>
    <row r="520">
      <c r="A520" s="233"/>
      <c r="B520" s="234"/>
      <c r="C520" s="217"/>
      <c r="D520" s="233"/>
      <c r="E520" s="234"/>
      <c r="F520" s="217"/>
      <c r="G520" s="233"/>
      <c r="H520" s="234"/>
      <c r="I520" s="217"/>
      <c r="J520" s="233"/>
      <c r="K520" s="234"/>
      <c r="L520" s="223"/>
      <c r="M520" s="233"/>
      <c r="N520" s="235"/>
    </row>
    <row r="521">
      <c r="A521" s="233"/>
      <c r="B521" s="234"/>
      <c r="C521" s="217"/>
      <c r="D521" s="233"/>
      <c r="E521" s="234"/>
      <c r="F521" s="217"/>
      <c r="G521" s="233"/>
      <c r="H521" s="234"/>
      <c r="I521" s="217"/>
      <c r="J521" s="233"/>
      <c r="K521" s="234"/>
      <c r="L521" s="223"/>
      <c r="M521" s="233"/>
      <c r="N521" s="235"/>
    </row>
    <row r="522">
      <c r="A522" s="233"/>
      <c r="B522" s="234"/>
      <c r="C522" s="217"/>
      <c r="D522" s="233"/>
      <c r="E522" s="234"/>
      <c r="F522" s="217"/>
      <c r="G522" s="233"/>
      <c r="H522" s="234"/>
      <c r="I522" s="217"/>
      <c r="J522" s="233"/>
      <c r="K522" s="234"/>
      <c r="L522" s="223"/>
      <c r="M522" s="233"/>
      <c r="N522" s="235"/>
    </row>
    <row r="523">
      <c r="A523" s="233"/>
      <c r="B523" s="234"/>
      <c r="C523" s="217"/>
      <c r="D523" s="233"/>
      <c r="E523" s="234"/>
      <c r="F523" s="217"/>
      <c r="G523" s="233"/>
      <c r="H523" s="234"/>
      <c r="I523" s="217"/>
      <c r="J523" s="233"/>
      <c r="K523" s="234"/>
      <c r="L523" s="223"/>
      <c r="M523" s="233"/>
      <c r="N523" s="235"/>
    </row>
    <row r="524">
      <c r="A524" s="233"/>
      <c r="B524" s="234"/>
      <c r="C524" s="217"/>
      <c r="D524" s="233"/>
      <c r="E524" s="234"/>
      <c r="F524" s="217"/>
      <c r="G524" s="233"/>
      <c r="H524" s="234"/>
      <c r="I524" s="217"/>
      <c r="J524" s="233"/>
      <c r="K524" s="234"/>
      <c r="L524" s="223"/>
      <c r="M524" s="233"/>
      <c r="N524" s="235"/>
    </row>
    <row r="525">
      <c r="A525" s="233"/>
      <c r="B525" s="234"/>
      <c r="C525" s="217"/>
      <c r="D525" s="233"/>
      <c r="E525" s="234"/>
      <c r="F525" s="217"/>
      <c r="G525" s="233"/>
      <c r="H525" s="234"/>
      <c r="I525" s="217"/>
      <c r="J525" s="233"/>
      <c r="K525" s="234"/>
      <c r="L525" s="223"/>
      <c r="M525" s="233"/>
      <c r="N525" s="235"/>
    </row>
    <row r="526">
      <c r="A526" s="233"/>
      <c r="B526" s="234"/>
      <c r="C526" s="217"/>
      <c r="D526" s="233"/>
      <c r="E526" s="234"/>
      <c r="F526" s="217"/>
      <c r="G526" s="233"/>
      <c r="H526" s="234"/>
      <c r="I526" s="217"/>
      <c r="J526" s="233"/>
      <c r="K526" s="234"/>
      <c r="L526" s="223"/>
      <c r="M526" s="233"/>
      <c r="N526" s="235"/>
    </row>
    <row r="527">
      <c r="A527" s="233"/>
      <c r="B527" s="234"/>
      <c r="C527" s="217"/>
      <c r="D527" s="233"/>
      <c r="E527" s="234"/>
      <c r="F527" s="217"/>
      <c r="G527" s="233"/>
      <c r="H527" s="234"/>
      <c r="I527" s="217"/>
      <c r="J527" s="233"/>
      <c r="K527" s="234"/>
      <c r="L527" s="223"/>
      <c r="M527" s="233"/>
      <c r="N527" s="235"/>
    </row>
    <row r="528">
      <c r="A528" s="233"/>
      <c r="B528" s="234"/>
      <c r="C528" s="217"/>
      <c r="D528" s="233"/>
      <c r="E528" s="234"/>
      <c r="F528" s="217"/>
      <c r="G528" s="233"/>
      <c r="H528" s="234"/>
      <c r="I528" s="217"/>
      <c r="J528" s="233"/>
      <c r="K528" s="234"/>
      <c r="L528" s="223"/>
      <c r="M528" s="233"/>
      <c r="N528" s="235"/>
    </row>
    <row r="529">
      <c r="A529" s="233"/>
      <c r="B529" s="234"/>
      <c r="C529" s="217"/>
      <c r="D529" s="233"/>
      <c r="E529" s="234"/>
      <c r="F529" s="217"/>
      <c r="G529" s="233"/>
      <c r="H529" s="234"/>
      <c r="I529" s="217"/>
      <c r="J529" s="233"/>
      <c r="K529" s="234"/>
      <c r="L529" s="223"/>
      <c r="M529" s="233"/>
      <c r="N529" s="235"/>
    </row>
    <row r="530">
      <c r="A530" s="233"/>
      <c r="B530" s="234"/>
      <c r="C530" s="217"/>
      <c r="D530" s="233"/>
      <c r="E530" s="234"/>
      <c r="F530" s="217"/>
      <c r="G530" s="233"/>
      <c r="H530" s="234"/>
      <c r="I530" s="217"/>
      <c r="J530" s="233"/>
      <c r="K530" s="234"/>
      <c r="L530" s="223"/>
      <c r="M530" s="233"/>
      <c r="N530" s="235"/>
    </row>
    <row r="531">
      <c r="A531" s="233"/>
      <c r="B531" s="234"/>
      <c r="C531" s="217"/>
      <c r="D531" s="233"/>
      <c r="E531" s="234"/>
      <c r="F531" s="217"/>
      <c r="G531" s="233"/>
      <c r="H531" s="234"/>
      <c r="I531" s="217"/>
      <c r="J531" s="233"/>
      <c r="K531" s="234"/>
      <c r="L531" s="223"/>
      <c r="M531" s="233"/>
      <c r="N531" s="235"/>
    </row>
    <row r="532">
      <c r="A532" s="233"/>
      <c r="B532" s="234"/>
      <c r="C532" s="217"/>
      <c r="D532" s="233"/>
      <c r="E532" s="234"/>
      <c r="F532" s="217"/>
      <c r="G532" s="233"/>
      <c r="H532" s="234"/>
      <c r="I532" s="217"/>
      <c r="J532" s="233"/>
      <c r="K532" s="234"/>
      <c r="L532" s="223"/>
      <c r="M532" s="233"/>
      <c r="N532" s="235"/>
    </row>
    <row r="533">
      <c r="A533" s="233"/>
      <c r="B533" s="234"/>
      <c r="C533" s="217"/>
      <c r="D533" s="233"/>
      <c r="E533" s="234"/>
      <c r="F533" s="217"/>
      <c r="G533" s="233"/>
      <c r="H533" s="234"/>
      <c r="I533" s="217"/>
      <c r="J533" s="233"/>
      <c r="K533" s="234"/>
      <c r="L533" s="223"/>
      <c r="M533" s="233"/>
      <c r="N533" s="235"/>
    </row>
    <row r="534">
      <c r="A534" s="233"/>
      <c r="B534" s="234"/>
      <c r="C534" s="217"/>
      <c r="D534" s="233"/>
      <c r="E534" s="234"/>
      <c r="F534" s="217"/>
      <c r="G534" s="233"/>
      <c r="H534" s="234"/>
      <c r="I534" s="217"/>
      <c r="J534" s="233"/>
      <c r="K534" s="234"/>
      <c r="L534" s="223"/>
      <c r="M534" s="233"/>
      <c r="N534" s="235"/>
    </row>
    <row r="535">
      <c r="A535" s="233"/>
      <c r="B535" s="234"/>
      <c r="C535" s="217"/>
      <c r="D535" s="233"/>
      <c r="E535" s="234"/>
      <c r="F535" s="217"/>
      <c r="G535" s="233"/>
      <c r="H535" s="234"/>
      <c r="I535" s="217"/>
      <c r="J535" s="233"/>
      <c r="K535" s="234"/>
      <c r="L535" s="223"/>
      <c r="M535" s="233"/>
      <c r="N535" s="235"/>
    </row>
  </sheetData>
  <mergeCells count="5">
    <mergeCell ref="A1:B1"/>
    <mergeCell ref="D1:E1"/>
    <mergeCell ref="G1:H1"/>
    <mergeCell ref="J1:K1"/>
    <mergeCell ref="M1:N1"/>
  </mergeCells>
  <drawing r:id="rId5"/>
  <tableParts count="2">
    <tablePart r:id="rId8"/>
    <tablePart r:id="rId9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.5"/>
    <col customWidth="1" min="3" max="3" width="25.63"/>
    <col customWidth="1" min="4" max="4" width="7.13"/>
    <col customWidth="1" min="5" max="5" width="7.38"/>
    <col customWidth="1" min="6" max="6" width="14.63"/>
    <col customWidth="1" min="7" max="7" width="11.63"/>
  </cols>
  <sheetData>
    <row r="1">
      <c r="A1" s="236" t="s">
        <v>51</v>
      </c>
      <c r="B1" s="236" t="s">
        <v>52</v>
      </c>
      <c r="C1" s="237"/>
      <c r="D1" s="237"/>
      <c r="E1" s="237"/>
      <c r="F1" s="238" t="s">
        <v>53</v>
      </c>
      <c r="G1" s="237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</row>
    <row r="2">
      <c r="A2" s="91"/>
      <c r="B2" s="91"/>
      <c r="C2" s="236" t="s">
        <v>55</v>
      </c>
      <c r="D2" s="240" t="s">
        <v>56</v>
      </c>
      <c r="E2" s="236" t="s">
        <v>57</v>
      </c>
      <c r="F2" s="238" t="s">
        <v>58</v>
      </c>
      <c r="G2" s="241" t="s">
        <v>59</v>
      </c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</row>
    <row r="3">
      <c r="A3" s="242" t="s">
        <v>9</v>
      </c>
      <c r="B3" s="243">
        <v>1.0</v>
      </c>
      <c r="C3" s="243" t="s">
        <v>60</v>
      </c>
      <c r="D3" s="244">
        <v>70.0</v>
      </c>
      <c r="E3" s="243" t="s">
        <v>61</v>
      </c>
      <c r="F3" s="245">
        <f>VLOOKUP(A3, 'Rekap Data Penjualan'!$M$3:$N$33, 2, )</f>
        <v>170</v>
      </c>
      <c r="G3" s="246">
        <f>D3*F3</f>
        <v>11900</v>
      </c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</row>
    <row r="4">
      <c r="A4" s="36"/>
      <c r="B4" s="243">
        <v>2.0</v>
      </c>
      <c r="C4" s="243" t="s">
        <v>62</v>
      </c>
      <c r="D4" s="244">
        <v>1.0</v>
      </c>
      <c r="E4" s="243" t="s">
        <v>63</v>
      </c>
      <c r="F4" s="36"/>
      <c r="G4" s="246">
        <f>D4*F3</f>
        <v>170</v>
      </c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</row>
    <row r="5">
      <c r="A5" s="36"/>
      <c r="B5" s="243">
        <v>3.0</v>
      </c>
      <c r="C5" s="243" t="s">
        <v>64</v>
      </c>
      <c r="D5" s="244">
        <v>1.0</v>
      </c>
      <c r="E5" s="243" t="s">
        <v>63</v>
      </c>
      <c r="F5" s="36"/>
      <c r="G5" s="246">
        <f>D5*F3</f>
        <v>170</v>
      </c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</row>
    <row r="6">
      <c r="A6" s="36"/>
      <c r="B6" s="243">
        <v>4.0</v>
      </c>
      <c r="C6" s="243" t="s">
        <v>65</v>
      </c>
      <c r="D6" s="244">
        <v>1.0</v>
      </c>
      <c r="E6" s="243" t="s">
        <v>63</v>
      </c>
      <c r="F6" s="36"/>
      <c r="G6" s="246">
        <f>D6*F3</f>
        <v>170</v>
      </c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</row>
    <row r="7">
      <c r="A7" s="36"/>
      <c r="B7" s="243">
        <v>5.0</v>
      </c>
      <c r="C7" s="247" t="s">
        <v>95</v>
      </c>
      <c r="D7" s="248">
        <v>72.9</v>
      </c>
      <c r="E7" s="132" t="s">
        <v>61</v>
      </c>
      <c r="F7" s="36"/>
      <c r="G7" s="246">
        <f>D7*F3</f>
        <v>12393</v>
      </c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</row>
    <row r="8">
      <c r="A8" s="36"/>
      <c r="B8" s="243">
        <v>6.0</v>
      </c>
      <c r="C8" s="247" t="s">
        <v>96</v>
      </c>
      <c r="D8" s="248">
        <v>8.1</v>
      </c>
      <c r="E8" s="132" t="s">
        <v>61</v>
      </c>
      <c r="F8" s="36"/>
      <c r="G8" s="246">
        <f>D8*F3</f>
        <v>1377</v>
      </c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</row>
    <row r="9">
      <c r="A9" s="36"/>
      <c r="B9" s="243">
        <v>7.0</v>
      </c>
      <c r="C9" s="247" t="s">
        <v>85</v>
      </c>
      <c r="D9" s="131">
        <v>117.0</v>
      </c>
      <c r="E9" s="132" t="s">
        <v>61</v>
      </c>
      <c r="F9" s="36"/>
      <c r="G9" s="246">
        <f>D9*F3</f>
        <v>19890</v>
      </c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</row>
    <row r="10">
      <c r="A10" s="91"/>
      <c r="B10" s="243">
        <v>8.0</v>
      </c>
      <c r="C10" s="129" t="s">
        <v>97</v>
      </c>
      <c r="D10" s="131">
        <v>1.25</v>
      </c>
      <c r="E10" s="132" t="s">
        <v>61</v>
      </c>
      <c r="F10" s="91"/>
      <c r="G10" s="246">
        <f>D10*F3</f>
        <v>212.5</v>
      </c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</row>
    <row r="11">
      <c r="A11" s="242" t="s">
        <v>10</v>
      </c>
      <c r="B11" s="243">
        <v>1.0</v>
      </c>
      <c r="C11" s="243" t="s">
        <v>67</v>
      </c>
      <c r="D11" s="244">
        <v>130.0</v>
      </c>
      <c r="E11" s="243" t="s">
        <v>61</v>
      </c>
      <c r="F11" s="245">
        <f>VLOOKUP(A11, 'Rekap Data Penjualan'!$M$3:$N$33, 2, )</f>
        <v>280</v>
      </c>
      <c r="G11" s="246">
        <f>D11*F11</f>
        <v>36400</v>
      </c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</row>
    <row r="12">
      <c r="A12" s="36"/>
      <c r="B12" s="243">
        <v>2.0</v>
      </c>
      <c r="C12" s="243" t="s">
        <v>62</v>
      </c>
      <c r="D12" s="244">
        <v>1.0</v>
      </c>
      <c r="E12" s="243" t="s">
        <v>63</v>
      </c>
      <c r="F12" s="36"/>
      <c r="G12" s="246">
        <f>D12*F11</f>
        <v>280</v>
      </c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</row>
    <row r="13">
      <c r="A13" s="36"/>
      <c r="B13" s="243">
        <v>3.0</v>
      </c>
      <c r="C13" s="243" t="s">
        <v>64</v>
      </c>
      <c r="D13" s="244">
        <v>1.0</v>
      </c>
      <c r="E13" s="243" t="s">
        <v>63</v>
      </c>
      <c r="F13" s="36"/>
      <c r="G13" s="246">
        <f>D13*F11</f>
        <v>280</v>
      </c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</row>
    <row r="14">
      <c r="A14" s="36"/>
      <c r="B14" s="243">
        <v>4.0</v>
      </c>
      <c r="C14" s="247" t="s">
        <v>95</v>
      </c>
      <c r="D14" s="248">
        <v>72.9</v>
      </c>
      <c r="E14" s="132" t="s">
        <v>61</v>
      </c>
      <c r="F14" s="36"/>
      <c r="G14" s="246">
        <f>D14*F11</f>
        <v>20412</v>
      </c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</row>
    <row r="15">
      <c r="A15" s="36"/>
      <c r="B15" s="243">
        <v>5.0</v>
      </c>
      <c r="C15" s="247" t="s">
        <v>96</v>
      </c>
      <c r="D15" s="248">
        <v>8.1</v>
      </c>
      <c r="E15" s="132" t="s">
        <v>61</v>
      </c>
      <c r="F15" s="36"/>
      <c r="G15" s="246">
        <f>D15*F11</f>
        <v>2268</v>
      </c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</row>
    <row r="16">
      <c r="A16" s="36"/>
      <c r="B16" s="243">
        <v>6.0</v>
      </c>
      <c r="C16" s="247" t="s">
        <v>85</v>
      </c>
      <c r="D16" s="131">
        <v>117.0</v>
      </c>
      <c r="E16" s="132" t="s">
        <v>61</v>
      </c>
      <c r="F16" s="36"/>
      <c r="G16" s="246">
        <f>D16*F11</f>
        <v>32760</v>
      </c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</row>
    <row r="17">
      <c r="A17" s="91"/>
      <c r="B17" s="243">
        <v>7.0</v>
      </c>
      <c r="C17" s="129" t="s">
        <v>97</v>
      </c>
      <c r="D17" s="131">
        <v>1.25</v>
      </c>
      <c r="E17" s="132" t="s">
        <v>61</v>
      </c>
      <c r="F17" s="91"/>
      <c r="G17" s="246">
        <f>D17*F11</f>
        <v>350</v>
      </c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</row>
    <row r="18">
      <c r="A18" s="242" t="s">
        <v>11</v>
      </c>
      <c r="B18" s="243">
        <v>1.0</v>
      </c>
      <c r="C18" s="243" t="s">
        <v>67</v>
      </c>
      <c r="D18" s="244">
        <v>130.0</v>
      </c>
      <c r="E18" s="243" t="s">
        <v>61</v>
      </c>
      <c r="F18" s="245">
        <f>VLOOKUP(A18, 'Rekap Data Penjualan'!$M$3:$N$33, 2, )</f>
        <v>139</v>
      </c>
      <c r="G18" s="246">
        <f>D18*F18</f>
        <v>18070</v>
      </c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</row>
    <row r="19">
      <c r="A19" s="36"/>
      <c r="B19" s="243">
        <v>2.0</v>
      </c>
      <c r="C19" s="243" t="s">
        <v>62</v>
      </c>
      <c r="D19" s="244">
        <v>1.0</v>
      </c>
      <c r="E19" s="243" t="s">
        <v>63</v>
      </c>
      <c r="F19" s="36"/>
      <c r="G19" s="246">
        <f>D19*F18</f>
        <v>139</v>
      </c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</row>
    <row r="20">
      <c r="A20" s="36"/>
      <c r="B20" s="243">
        <v>3.0</v>
      </c>
      <c r="C20" s="243" t="s">
        <v>64</v>
      </c>
      <c r="D20" s="244">
        <v>1.0</v>
      </c>
      <c r="E20" s="243" t="s">
        <v>63</v>
      </c>
      <c r="F20" s="36"/>
      <c r="G20" s="246">
        <f>D20*F18</f>
        <v>139</v>
      </c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</row>
    <row r="21">
      <c r="A21" s="36"/>
      <c r="B21" s="243">
        <v>4.0</v>
      </c>
      <c r="C21" s="247" t="s">
        <v>95</v>
      </c>
      <c r="D21" s="248">
        <v>72.9</v>
      </c>
      <c r="E21" s="132" t="s">
        <v>61</v>
      </c>
      <c r="F21" s="36"/>
      <c r="G21" s="246">
        <f>D21*F18</f>
        <v>10133.1</v>
      </c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</row>
    <row r="22">
      <c r="A22" s="36"/>
      <c r="B22" s="243">
        <v>5.0</v>
      </c>
      <c r="C22" s="247" t="s">
        <v>96</v>
      </c>
      <c r="D22" s="248">
        <v>8.1</v>
      </c>
      <c r="E22" s="132" t="s">
        <v>61</v>
      </c>
      <c r="F22" s="36"/>
      <c r="G22" s="246">
        <f>D22*F18</f>
        <v>1125.9</v>
      </c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</row>
    <row r="23">
      <c r="A23" s="36"/>
      <c r="B23" s="243">
        <v>6.0</v>
      </c>
      <c r="C23" s="247" t="s">
        <v>85</v>
      </c>
      <c r="D23" s="131">
        <v>117.0</v>
      </c>
      <c r="E23" s="132" t="s">
        <v>61</v>
      </c>
      <c r="F23" s="36"/>
      <c r="G23" s="246">
        <f>D23*F18</f>
        <v>16263</v>
      </c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</row>
    <row r="24">
      <c r="A24" s="36"/>
      <c r="B24" s="243">
        <v>7.0</v>
      </c>
      <c r="C24" s="129" t="s">
        <v>97</v>
      </c>
      <c r="D24" s="131">
        <v>1.25</v>
      </c>
      <c r="E24" s="132" t="s">
        <v>61</v>
      </c>
      <c r="F24" s="36"/>
      <c r="G24" s="246">
        <f>D24*F18</f>
        <v>173.75</v>
      </c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</row>
    <row r="25">
      <c r="A25" s="91"/>
      <c r="B25" s="243">
        <v>8.0</v>
      </c>
      <c r="C25" s="243" t="s">
        <v>68</v>
      </c>
      <c r="D25" s="244">
        <v>20.0</v>
      </c>
      <c r="E25" s="243" t="s">
        <v>61</v>
      </c>
      <c r="F25" s="91"/>
      <c r="G25" s="246">
        <f>D25*F18</f>
        <v>2780</v>
      </c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</row>
    <row r="26">
      <c r="A26" s="242" t="s">
        <v>13</v>
      </c>
      <c r="B26" s="243">
        <v>1.0</v>
      </c>
      <c r="C26" s="243" t="s">
        <v>60</v>
      </c>
      <c r="D26" s="249">
        <v>140.0</v>
      </c>
      <c r="E26" s="243" t="s">
        <v>61</v>
      </c>
      <c r="F26" s="245">
        <f>VLOOKUP(A26, 'Rekap Data Penjualan'!$M$3:$N$33, 2, )</f>
        <v>27</v>
      </c>
      <c r="G26" s="246">
        <f>D26*F26</f>
        <v>3780</v>
      </c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</row>
    <row r="27">
      <c r="A27" s="91"/>
      <c r="B27" s="243">
        <v>2.0</v>
      </c>
      <c r="C27" s="243" t="s">
        <v>69</v>
      </c>
      <c r="D27" s="244">
        <v>1.0</v>
      </c>
      <c r="E27" s="243" t="s">
        <v>63</v>
      </c>
      <c r="F27" s="91"/>
      <c r="G27" s="246">
        <f>D27*F26</f>
        <v>27</v>
      </c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</row>
    <row r="28">
      <c r="A28" s="242" t="s">
        <v>14</v>
      </c>
      <c r="B28" s="243">
        <v>1.0</v>
      </c>
      <c r="C28" s="243" t="s">
        <v>67</v>
      </c>
      <c r="D28" s="244">
        <v>260.0</v>
      </c>
      <c r="E28" s="243" t="s">
        <v>61</v>
      </c>
      <c r="F28" s="245">
        <f>VLOOKUP(A28, 'Rekap Data Penjualan'!$M$3:$N$33, 2, )</f>
        <v>57</v>
      </c>
      <c r="G28" s="246">
        <f>D28*F28</f>
        <v>14820</v>
      </c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</row>
    <row r="29">
      <c r="A29" s="36"/>
      <c r="B29" s="243">
        <v>2.0</v>
      </c>
      <c r="C29" s="243" t="s">
        <v>62</v>
      </c>
      <c r="D29" s="244">
        <v>1.0</v>
      </c>
      <c r="E29" s="243" t="s">
        <v>63</v>
      </c>
      <c r="F29" s="36"/>
      <c r="G29" s="246">
        <f>D29*F28</f>
        <v>57</v>
      </c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</row>
    <row r="30">
      <c r="A30" s="91"/>
      <c r="B30" s="243">
        <v>3.0</v>
      </c>
      <c r="C30" s="243" t="s">
        <v>64</v>
      </c>
      <c r="D30" s="244">
        <v>1.0</v>
      </c>
      <c r="E30" s="243" t="s">
        <v>63</v>
      </c>
      <c r="F30" s="91"/>
      <c r="G30" s="246">
        <f>D30*F28</f>
        <v>57</v>
      </c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</row>
    <row r="31">
      <c r="A31" s="242" t="s">
        <v>15</v>
      </c>
      <c r="B31" s="243">
        <v>1.0</v>
      </c>
      <c r="C31" s="243" t="s">
        <v>67</v>
      </c>
      <c r="D31" s="244">
        <v>260.0</v>
      </c>
      <c r="E31" s="243" t="s">
        <v>61</v>
      </c>
      <c r="F31" s="245">
        <f>VLOOKUP(A31, 'Rekap Data Penjualan'!$M$3:$N$33, 2, )</f>
        <v>45</v>
      </c>
      <c r="G31" s="246">
        <f>D31*F31</f>
        <v>11700</v>
      </c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</row>
    <row r="32">
      <c r="A32" s="36"/>
      <c r="B32" s="243">
        <v>2.0</v>
      </c>
      <c r="C32" s="243" t="s">
        <v>62</v>
      </c>
      <c r="D32" s="244">
        <v>1.0</v>
      </c>
      <c r="E32" s="243" t="s">
        <v>63</v>
      </c>
      <c r="F32" s="36"/>
      <c r="G32" s="246">
        <f>D32*F31</f>
        <v>45</v>
      </c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</row>
    <row r="33">
      <c r="A33" s="36"/>
      <c r="B33" s="243">
        <v>3.0</v>
      </c>
      <c r="C33" s="243" t="s">
        <v>64</v>
      </c>
      <c r="D33" s="244">
        <v>1.0</v>
      </c>
      <c r="E33" s="243" t="s">
        <v>63</v>
      </c>
      <c r="F33" s="36"/>
      <c r="G33" s="246">
        <f>D33*F31</f>
        <v>45</v>
      </c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</row>
    <row r="34">
      <c r="A34" s="91"/>
      <c r="B34" s="243">
        <v>4.0</v>
      </c>
      <c r="C34" s="243" t="s">
        <v>68</v>
      </c>
      <c r="D34" s="244">
        <v>40.0</v>
      </c>
      <c r="E34" s="243" t="s">
        <v>61</v>
      </c>
      <c r="F34" s="91"/>
      <c r="G34" s="246">
        <f>D34*F31</f>
        <v>1800</v>
      </c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</row>
    <row r="35">
      <c r="A35" s="242" t="s">
        <v>17</v>
      </c>
      <c r="B35" s="243">
        <v>1.0</v>
      </c>
      <c r="C35" s="243" t="s">
        <v>67</v>
      </c>
      <c r="D35" s="244">
        <v>130.0</v>
      </c>
      <c r="E35" s="243" t="s">
        <v>70</v>
      </c>
      <c r="F35" s="245">
        <f>VLOOKUP(A35, 'Rekap Data Penjualan'!$M$3:$N$33, 2, )</f>
        <v>49</v>
      </c>
      <c r="G35" s="246">
        <f>D35*F35</f>
        <v>6370</v>
      </c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</row>
    <row r="36">
      <c r="A36" s="36"/>
      <c r="B36" s="243">
        <v>2.0</v>
      </c>
      <c r="C36" s="243" t="s">
        <v>62</v>
      </c>
      <c r="D36" s="244">
        <v>1.0</v>
      </c>
      <c r="E36" s="243" t="s">
        <v>63</v>
      </c>
      <c r="F36" s="36"/>
      <c r="G36" s="246">
        <f>D36*F35</f>
        <v>49</v>
      </c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</row>
    <row r="37">
      <c r="A37" s="36"/>
      <c r="B37" s="243">
        <v>3.0</v>
      </c>
      <c r="C37" s="243" t="s">
        <v>64</v>
      </c>
      <c r="D37" s="244">
        <v>1.0</v>
      </c>
      <c r="E37" s="243" t="s">
        <v>63</v>
      </c>
      <c r="F37" s="36"/>
      <c r="G37" s="246">
        <f>D37*F35</f>
        <v>49</v>
      </c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</row>
    <row r="38">
      <c r="A38" s="36"/>
      <c r="B38" s="243">
        <v>4.0</v>
      </c>
      <c r="C38" s="247" t="s">
        <v>95</v>
      </c>
      <c r="D38" s="248">
        <v>72.9</v>
      </c>
      <c r="E38" s="132" t="s">
        <v>61</v>
      </c>
      <c r="F38" s="36"/>
      <c r="G38" s="246">
        <f>D38*F35</f>
        <v>3572.1</v>
      </c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</row>
    <row r="39">
      <c r="A39" s="36"/>
      <c r="B39" s="243">
        <v>5.0</v>
      </c>
      <c r="C39" s="247" t="s">
        <v>96</v>
      </c>
      <c r="D39" s="248">
        <v>8.1</v>
      </c>
      <c r="E39" s="132" t="s">
        <v>61</v>
      </c>
      <c r="F39" s="36"/>
      <c r="G39" s="246">
        <f>D39*F35</f>
        <v>396.9</v>
      </c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</row>
    <row r="40">
      <c r="A40" s="36"/>
      <c r="B40" s="243">
        <v>6.0</v>
      </c>
      <c r="C40" s="247" t="s">
        <v>85</v>
      </c>
      <c r="D40" s="131">
        <v>117.0</v>
      </c>
      <c r="E40" s="132" t="s">
        <v>61</v>
      </c>
      <c r="F40" s="36"/>
      <c r="G40" s="246">
        <f>D40*F35</f>
        <v>5733</v>
      </c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</row>
    <row r="41">
      <c r="A41" s="36"/>
      <c r="B41" s="243">
        <v>7.0</v>
      </c>
      <c r="C41" s="129" t="s">
        <v>97</v>
      </c>
      <c r="D41" s="131">
        <v>1.25</v>
      </c>
      <c r="E41" s="132" t="s">
        <v>61</v>
      </c>
      <c r="F41" s="36"/>
      <c r="G41" s="246">
        <f>D41*F35</f>
        <v>61.25</v>
      </c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</row>
    <row r="42">
      <c r="A42" s="91"/>
      <c r="B42" s="243">
        <v>8.0</v>
      </c>
      <c r="C42" s="243" t="s">
        <v>20</v>
      </c>
      <c r="D42" s="244">
        <v>1.0</v>
      </c>
      <c r="E42" s="243" t="s">
        <v>63</v>
      </c>
      <c r="F42" s="91"/>
      <c r="G42" s="246">
        <f>D42*F35</f>
        <v>49</v>
      </c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</row>
    <row r="43">
      <c r="A43" s="242" t="s">
        <v>16</v>
      </c>
      <c r="B43" s="243">
        <v>1.0</v>
      </c>
      <c r="C43" s="243" t="s">
        <v>71</v>
      </c>
      <c r="D43" s="244">
        <v>2.0</v>
      </c>
      <c r="E43" s="243" t="s">
        <v>63</v>
      </c>
      <c r="F43" s="245">
        <f>VLOOKUP(A43, 'Rekap Data Penjualan'!$M$3:$N$33, 2, )</f>
        <v>58</v>
      </c>
      <c r="G43" s="246">
        <f>D43*F43</f>
        <v>116</v>
      </c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</row>
    <row r="44">
      <c r="A44" s="36"/>
      <c r="B44" s="243">
        <v>2.0</v>
      </c>
      <c r="C44" s="243" t="s">
        <v>62</v>
      </c>
      <c r="D44" s="244">
        <v>1.0</v>
      </c>
      <c r="E44" s="243" t="s">
        <v>63</v>
      </c>
      <c r="F44" s="36"/>
      <c r="G44" s="246">
        <f>D44*F43</f>
        <v>58</v>
      </c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</row>
    <row r="45">
      <c r="A45" s="36"/>
      <c r="B45" s="243">
        <v>3.0</v>
      </c>
      <c r="C45" s="243" t="s">
        <v>64</v>
      </c>
      <c r="D45" s="244">
        <v>1.0</v>
      </c>
      <c r="E45" s="243" t="s">
        <v>63</v>
      </c>
      <c r="F45" s="36"/>
      <c r="G45" s="246">
        <f>D45*F43</f>
        <v>58</v>
      </c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</row>
    <row r="46">
      <c r="A46" s="36"/>
      <c r="B46" s="243">
        <v>4.0</v>
      </c>
      <c r="C46" s="247" t="s">
        <v>95</v>
      </c>
      <c r="D46" s="248">
        <v>72.9</v>
      </c>
      <c r="E46" s="132" t="s">
        <v>61</v>
      </c>
      <c r="F46" s="36"/>
      <c r="G46" s="246">
        <f>D46*F43</f>
        <v>4228.2</v>
      </c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</row>
    <row r="47">
      <c r="A47" s="36"/>
      <c r="B47" s="243">
        <v>5.0</v>
      </c>
      <c r="C47" s="247" t="s">
        <v>96</v>
      </c>
      <c r="D47" s="248">
        <v>8.1</v>
      </c>
      <c r="E47" s="132" t="s">
        <v>61</v>
      </c>
      <c r="F47" s="36"/>
      <c r="G47" s="246">
        <f>D47*F43</f>
        <v>469.8</v>
      </c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</row>
    <row r="48">
      <c r="A48" s="36"/>
      <c r="B48" s="243">
        <v>6.0</v>
      </c>
      <c r="C48" s="247" t="s">
        <v>85</v>
      </c>
      <c r="D48" s="131">
        <v>117.0</v>
      </c>
      <c r="E48" s="132" t="s">
        <v>61</v>
      </c>
      <c r="F48" s="36"/>
      <c r="G48" s="246">
        <f>D48*F43</f>
        <v>6786</v>
      </c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</row>
    <row r="49">
      <c r="A49" s="36"/>
      <c r="B49" s="243">
        <v>7.0</v>
      </c>
      <c r="C49" s="129" t="s">
        <v>97</v>
      </c>
      <c r="D49" s="131">
        <v>1.25</v>
      </c>
      <c r="E49" s="132" t="s">
        <v>61</v>
      </c>
      <c r="F49" s="36"/>
      <c r="G49" s="246">
        <f>D49*F43</f>
        <v>72.5</v>
      </c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</row>
    <row r="50">
      <c r="A50" s="36"/>
      <c r="B50" s="243">
        <v>8.0</v>
      </c>
      <c r="C50" s="243" t="s">
        <v>20</v>
      </c>
      <c r="D50" s="244">
        <v>1.0</v>
      </c>
      <c r="E50" s="243" t="s">
        <v>63</v>
      </c>
      <c r="F50" s="36"/>
      <c r="G50" s="246">
        <f>D50*F43</f>
        <v>58</v>
      </c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</row>
    <row r="51">
      <c r="A51" s="36"/>
      <c r="B51" s="243">
        <v>9.0</v>
      </c>
      <c r="C51" s="243" t="s">
        <v>72</v>
      </c>
      <c r="D51" s="244">
        <v>3.0</v>
      </c>
      <c r="E51" s="243" t="s">
        <v>61</v>
      </c>
      <c r="F51" s="36"/>
      <c r="G51" s="246">
        <f>D51*F43</f>
        <v>174</v>
      </c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</row>
    <row r="52">
      <c r="A52" s="36"/>
      <c r="B52" s="243">
        <v>10.0</v>
      </c>
      <c r="C52" s="243" t="s">
        <v>73</v>
      </c>
      <c r="D52" s="244">
        <v>3.0</v>
      </c>
      <c r="E52" s="243" t="s">
        <v>61</v>
      </c>
      <c r="F52" s="36"/>
      <c r="G52" s="246">
        <f>D52*F43</f>
        <v>174</v>
      </c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</row>
    <row r="53">
      <c r="A53" s="91"/>
      <c r="B53" s="243">
        <v>11.0</v>
      </c>
      <c r="C53" s="243" t="s">
        <v>74</v>
      </c>
      <c r="D53" s="244">
        <v>5.0</v>
      </c>
      <c r="E53" s="243" t="s">
        <v>61</v>
      </c>
      <c r="F53" s="91"/>
      <c r="G53" s="246">
        <f>D53*F43</f>
        <v>290</v>
      </c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</row>
    <row r="54">
      <c r="A54" s="242" t="s">
        <v>19</v>
      </c>
      <c r="B54" s="243">
        <v>1.0</v>
      </c>
      <c r="C54" s="243" t="s">
        <v>75</v>
      </c>
      <c r="D54" s="244">
        <v>1.0</v>
      </c>
      <c r="E54" s="243" t="s">
        <v>70</v>
      </c>
      <c r="F54" s="245">
        <f>VLOOKUP(A54, 'Rekap Data Penjualan'!$M$3:$N$33, 2, )</f>
        <v>235</v>
      </c>
      <c r="G54" s="246">
        <f>D54*F54</f>
        <v>235</v>
      </c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</row>
    <row r="55">
      <c r="A55" s="36"/>
      <c r="B55" s="243">
        <v>2.0</v>
      </c>
      <c r="C55" s="243" t="s">
        <v>76</v>
      </c>
      <c r="D55" s="244">
        <v>1.0</v>
      </c>
      <c r="E55" s="243" t="s">
        <v>77</v>
      </c>
      <c r="F55" s="36"/>
      <c r="G55" s="246">
        <f>D55*F54</f>
        <v>235</v>
      </c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</row>
    <row r="56">
      <c r="A56" s="36"/>
      <c r="B56" s="243">
        <v>3.0</v>
      </c>
      <c r="C56" s="243" t="s">
        <v>78</v>
      </c>
      <c r="D56" s="244">
        <v>0.5</v>
      </c>
      <c r="E56" s="243" t="s">
        <v>61</v>
      </c>
      <c r="F56" s="36"/>
      <c r="G56" s="246">
        <f>D56*F54</f>
        <v>117.5</v>
      </c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</row>
    <row r="57">
      <c r="A57" s="91"/>
      <c r="B57" s="243">
        <v>4.0</v>
      </c>
      <c r="C57" s="243" t="s">
        <v>79</v>
      </c>
      <c r="D57" s="244">
        <v>1.0</v>
      </c>
      <c r="E57" s="243" t="s">
        <v>70</v>
      </c>
      <c r="F57" s="91"/>
      <c r="G57" s="246">
        <f>D57*F54</f>
        <v>235</v>
      </c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</row>
    <row r="58">
      <c r="A58" s="242" t="s">
        <v>23</v>
      </c>
      <c r="B58" s="243">
        <v>1.0</v>
      </c>
      <c r="C58" s="247" t="s">
        <v>95</v>
      </c>
      <c r="D58" s="248">
        <v>72.9</v>
      </c>
      <c r="E58" s="132" t="s">
        <v>61</v>
      </c>
      <c r="F58" s="245">
        <f>VLOOKUP(A58, 'Rekap Data Penjualan'!$M$3:$N$33, 2, )</f>
        <v>23</v>
      </c>
      <c r="G58" s="246">
        <f>D58*F58</f>
        <v>1676.7</v>
      </c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</row>
    <row r="59">
      <c r="A59" s="36"/>
      <c r="B59" s="243">
        <v>2.0</v>
      </c>
      <c r="C59" s="247" t="s">
        <v>96</v>
      </c>
      <c r="D59" s="248">
        <v>8.1</v>
      </c>
      <c r="E59" s="132" t="s">
        <v>61</v>
      </c>
      <c r="F59" s="36"/>
      <c r="G59" s="246">
        <f>D59*F58</f>
        <v>186.3</v>
      </c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</row>
    <row r="60">
      <c r="A60" s="36"/>
      <c r="B60" s="243">
        <v>3.0</v>
      </c>
      <c r="C60" s="247" t="s">
        <v>85</v>
      </c>
      <c r="D60" s="131">
        <v>117.0</v>
      </c>
      <c r="E60" s="132" t="s">
        <v>61</v>
      </c>
      <c r="F60" s="36"/>
      <c r="G60" s="246">
        <f>D60*F58</f>
        <v>2691</v>
      </c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</row>
    <row r="61">
      <c r="A61" s="36"/>
      <c r="B61" s="243">
        <v>4.0</v>
      </c>
      <c r="C61" s="129" t="s">
        <v>97</v>
      </c>
      <c r="D61" s="131">
        <v>1.25</v>
      </c>
      <c r="E61" s="132" t="s">
        <v>61</v>
      </c>
      <c r="F61" s="36"/>
      <c r="G61" s="246">
        <f>D61*F58</f>
        <v>28.75</v>
      </c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</row>
    <row r="62">
      <c r="A62" s="91"/>
      <c r="B62" s="243">
        <v>5.0</v>
      </c>
      <c r="C62" s="243" t="s">
        <v>79</v>
      </c>
      <c r="D62" s="244">
        <v>1.0</v>
      </c>
      <c r="E62" s="243" t="s">
        <v>63</v>
      </c>
      <c r="F62" s="91"/>
      <c r="G62" s="246">
        <f>D62*F58</f>
        <v>23</v>
      </c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</row>
    <row r="63">
      <c r="A63" s="243" t="s">
        <v>20</v>
      </c>
      <c r="B63" s="243">
        <v>1.0</v>
      </c>
      <c r="C63" s="243" t="s">
        <v>20</v>
      </c>
      <c r="D63" s="244">
        <v>1.0</v>
      </c>
      <c r="E63" s="243" t="s">
        <v>70</v>
      </c>
      <c r="F63" s="244">
        <f>VLOOKUP(A63, 'Rekap Data Penjualan'!$M$3:$N$33, 2, )</f>
        <v>11</v>
      </c>
      <c r="G63" s="246">
        <f t="shared" ref="G63:G67" si="1">D63*F63</f>
        <v>11</v>
      </c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</row>
    <row r="64">
      <c r="A64" s="243" t="s">
        <v>21</v>
      </c>
      <c r="B64" s="243">
        <v>1.0</v>
      </c>
      <c r="C64" s="243" t="s">
        <v>80</v>
      </c>
      <c r="D64" s="244">
        <v>1.0</v>
      </c>
      <c r="E64" s="243" t="s">
        <v>58</v>
      </c>
      <c r="F64" s="244">
        <f>VLOOKUP(A64, 'Rekap Data Penjualan'!$M$3:$N$33, 2, )</f>
        <v>55</v>
      </c>
      <c r="G64" s="246">
        <f t="shared" si="1"/>
        <v>55</v>
      </c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</row>
    <row r="65">
      <c r="A65" s="137" t="s">
        <v>28</v>
      </c>
      <c r="B65" s="243">
        <v>1.0</v>
      </c>
      <c r="C65" s="243" t="s">
        <v>67</v>
      </c>
      <c r="D65" s="244">
        <v>65.0</v>
      </c>
      <c r="E65" s="243" t="s">
        <v>61</v>
      </c>
      <c r="F65" s="244">
        <f>VLOOKUP(A65, 'Rekap Data Penjualan'!$M$3:$N$33, 2, )</f>
        <v>22</v>
      </c>
      <c r="G65" s="246">
        <f t="shared" si="1"/>
        <v>1430</v>
      </c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</row>
    <row r="66">
      <c r="A66" s="137" t="s">
        <v>29</v>
      </c>
      <c r="B66" s="243">
        <v>1.0</v>
      </c>
      <c r="C66" s="243" t="s">
        <v>60</v>
      </c>
      <c r="D66" s="244">
        <v>35.0</v>
      </c>
      <c r="E66" s="243" t="s">
        <v>61</v>
      </c>
      <c r="F66" s="245">
        <f>VLOOKUP(A66, 'Rekap Data Penjualan'!$M$3:$N$33, 2, )</f>
        <v>2</v>
      </c>
      <c r="G66" s="246">
        <f t="shared" si="1"/>
        <v>70</v>
      </c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</row>
    <row r="67">
      <c r="A67" s="242" t="s">
        <v>12</v>
      </c>
      <c r="B67" s="243">
        <v>1.0</v>
      </c>
      <c r="C67" s="243" t="s">
        <v>81</v>
      </c>
      <c r="D67" s="244">
        <v>1.0</v>
      </c>
      <c r="E67" s="243" t="s">
        <v>58</v>
      </c>
      <c r="F67" s="245">
        <f>VLOOKUP(A67, 'Rekap Data Penjualan'!$M$3:$N$33, 2, )</f>
        <v>946</v>
      </c>
      <c r="G67" s="246">
        <f t="shared" si="1"/>
        <v>946</v>
      </c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</row>
    <row r="68">
      <c r="A68" s="36"/>
      <c r="B68" s="243">
        <v>2.0</v>
      </c>
      <c r="C68" s="243" t="s">
        <v>82</v>
      </c>
      <c r="D68" s="244">
        <v>10.0</v>
      </c>
      <c r="E68" s="243" t="s">
        <v>61</v>
      </c>
      <c r="F68" s="36"/>
      <c r="G68" s="246">
        <f>D68*F67</f>
        <v>9460</v>
      </c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</row>
    <row r="69">
      <c r="A69" s="36"/>
      <c r="B69" s="243">
        <v>3.0</v>
      </c>
      <c r="C69" s="243" t="s">
        <v>62</v>
      </c>
      <c r="D69" s="244">
        <v>1.0</v>
      </c>
      <c r="E69" s="243" t="s">
        <v>63</v>
      </c>
      <c r="F69" s="36"/>
      <c r="G69" s="246">
        <f>D69*F67</f>
        <v>946</v>
      </c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</row>
    <row r="70">
      <c r="A70" s="36"/>
      <c r="B70" s="243">
        <v>4.0</v>
      </c>
      <c r="C70" s="243" t="s">
        <v>64</v>
      </c>
      <c r="D70" s="244">
        <v>1.0</v>
      </c>
      <c r="E70" s="243" t="s">
        <v>63</v>
      </c>
      <c r="F70" s="36"/>
      <c r="G70" s="246">
        <f>D70*F67</f>
        <v>946</v>
      </c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</row>
    <row r="71">
      <c r="A71" s="36"/>
      <c r="B71" s="243">
        <v>5.0</v>
      </c>
      <c r="C71" s="247" t="s">
        <v>95</v>
      </c>
      <c r="D71" s="248">
        <v>72.9</v>
      </c>
      <c r="E71" s="132" t="s">
        <v>61</v>
      </c>
      <c r="F71" s="36"/>
      <c r="G71" s="246">
        <f>D71*F67</f>
        <v>68963.4</v>
      </c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</row>
    <row r="72">
      <c r="A72" s="36"/>
      <c r="B72" s="243">
        <v>6.0</v>
      </c>
      <c r="C72" s="247" t="s">
        <v>96</v>
      </c>
      <c r="D72" s="248">
        <v>8.1</v>
      </c>
      <c r="E72" s="132" t="s">
        <v>61</v>
      </c>
      <c r="F72" s="36"/>
      <c r="G72" s="246">
        <f>D72*F67</f>
        <v>7662.6</v>
      </c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</row>
    <row r="73">
      <c r="A73" s="36"/>
      <c r="B73" s="243">
        <v>7.0</v>
      </c>
      <c r="C73" s="247" t="s">
        <v>85</v>
      </c>
      <c r="D73" s="131">
        <v>117.0</v>
      </c>
      <c r="E73" s="132" t="s">
        <v>61</v>
      </c>
      <c r="F73" s="36"/>
      <c r="G73" s="246">
        <f>D73*F67</f>
        <v>110682</v>
      </c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</row>
    <row r="74">
      <c r="A74" s="36"/>
      <c r="B74" s="243">
        <v>8.0</v>
      </c>
      <c r="C74" s="129" t="s">
        <v>97</v>
      </c>
      <c r="D74" s="131">
        <v>1.25</v>
      </c>
      <c r="E74" s="132" t="s">
        <v>61</v>
      </c>
      <c r="F74" s="36"/>
      <c r="G74" s="246">
        <f>D74*F67</f>
        <v>1182.5</v>
      </c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</row>
    <row r="75">
      <c r="A75" s="91"/>
      <c r="B75" s="243">
        <v>9.0</v>
      </c>
      <c r="C75" s="243" t="s">
        <v>76</v>
      </c>
      <c r="D75" s="244">
        <v>1.0</v>
      </c>
      <c r="E75" s="243" t="s">
        <v>61</v>
      </c>
      <c r="F75" s="91"/>
      <c r="G75" s="246">
        <f>D75*F67</f>
        <v>946</v>
      </c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</row>
    <row r="76">
      <c r="A76" s="242" t="s">
        <v>18</v>
      </c>
      <c r="B76" s="243">
        <v>1.0</v>
      </c>
      <c r="C76" s="243" t="s">
        <v>81</v>
      </c>
      <c r="D76" s="244">
        <v>1.0</v>
      </c>
      <c r="E76" s="243" t="s">
        <v>58</v>
      </c>
      <c r="F76" s="245">
        <f>VLOOKUP(A76, 'Rekap Data Penjualan'!$M$3:$N$33, 2, )</f>
        <v>145</v>
      </c>
      <c r="G76" s="246">
        <f>D76*F76</f>
        <v>145</v>
      </c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</row>
    <row r="77">
      <c r="A77" s="36"/>
      <c r="B77" s="243">
        <v>2.0</v>
      </c>
      <c r="C77" s="243" t="s">
        <v>20</v>
      </c>
      <c r="D77" s="244">
        <v>1.0</v>
      </c>
      <c r="E77" s="243" t="s">
        <v>63</v>
      </c>
      <c r="F77" s="36"/>
      <c r="G77" s="246">
        <f>D77*F76</f>
        <v>145</v>
      </c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</row>
    <row r="78">
      <c r="A78" s="36"/>
      <c r="B78" s="243">
        <v>3.0</v>
      </c>
      <c r="C78" s="243" t="s">
        <v>62</v>
      </c>
      <c r="D78" s="244">
        <v>1.0</v>
      </c>
      <c r="E78" s="243" t="s">
        <v>63</v>
      </c>
      <c r="F78" s="36"/>
      <c r="G78" s="246">
        <f>D78*F76</f>
        <v>145</v>
      </c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</row>
    <row r="79">
      <c r="A79" s="36"/>
      <c r="B79" s="243">
        <v>4.0</v>
      </c>
      <c r="C79" s="243" t="s">
        <v>64</v>
      </c>
      <c r="D79" s="244">
        <v>1.0</v>
      </c>
      <c r="E79" s="243" t="s">
        <v>63</v>
      </c>
      <c r="F79" s="36"/>
      <c r="G79" s="246">
        <f>D79*F76</f>
        <v>145</v>
      </c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</row>
    <row r="80">
      <c r="A80" s="36"/>
      <c r="B80" s="243">
        <v>5.0</v>
      </c>
      <c r="C80" s="247" t="s">
        <v>95</v>
      </c>
      <c r="D80" s="248">
        <v>72.9</v>
      </c>
      <c r="E80" s="132" t="s">
        <v>61</v>
      </c>
      <c r="F80" s="36"/>
      <c r="G80" s="246">
        <f>D80*F76</f>
        <v>10570.5</v>
      </c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</row>
    <row r="81">
      <c r="A81" s="36"/>
      <c r="B81" s="243">
        <v>6.0</v>
      </c>
      <c r="C81" s="247" t="s">
        <v>96</v>
      </c>
      <c r="D81" s="248">
        <v>8.1</v>
      </c>
      <c r="E81" s="132" t="s">
        <v>61</v>
      </c>
      <c r="F81" s="36"/>
      <c r="G81" s="246">
        <f>D81*F76</f>
        <v>1174.5</v>
      </c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</row>
    <row r="82">
      <c r="A82" s="36"/>
      <c r="B82" s="243">
        <v>7.0</v>
      </c>
      <c r="C82" s="247" t="s">
        <v>85</v>
      </c>
      <c r="D82" s="131">
        <v>117.0</v>
      </c>
      <c r="E82" s="132" t="s">
        <v>61</v>
      </c>
      <c r="F82" s="36"/>
      <c r="G82" s="246">
        <f>D82*F76</f>
        <v>16965</v>
      </c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>
      <c r="A83" s="36"/>
      <c r="B83" s="243">
        <v>8.0</v>
      </c>
      <c r="C83" s="129" t="s">
        <v>97</v>
      </c>
      <c r="D83" s="131">
        <v>1.25</v>
      </c>
      <c r="E83" s="132" t="s">
        <v>61</v>
      </c>
      <c r="F83" s="36"/>
      <c r="G83" s="246">
        <f>D83*F76</f>
        <v>181.25</v>
      </c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</row>
    <row r="84">
      <c r="A84" s="91"/>
      <c r="B84" s="243">
        <v>9.0</v>
      </c>
      <c r="C84" s="243" t="s">
        <v>76</v>
      </c>
      <c r="D84" s="244">
        <v>1.0</v>
      </c>
      <c r="E84" s="243" t="s">
        <v>61</v>
      </c>
      <c r="F84" s="91"/>
      <c r="G84" s="246">
        <f>D84*F76</f>
        <v>145</v>
      </c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</row>
    <row r="85">
      <c r="A85" s="242" t="s">
        <v>4</v>
      </c>
      <c r="B85" s="243">
        <v>1.0</v>
      </c>
      <c r="C85" s="243" t="s">
        <v>83</v>
      </c>
      <c r="D85" s="244">
        <v>4.0</v>
      </c>
      <c r="E85" s="243" t="s">
        <v>61</v>
      </c>
      <c r="F85" s="245">
        <f>VLOOKUP(A85, 'Rekap Data Penjualan'!$M$3:$N$33, 2, )</f>
        <v>25</v>
      </c>
      <c r="G85" s="246">
        <f>D85*F85</f>
        <v>100</v>
      </c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</row>
    <row r="86">
      <c r="A86" s="36"/>
      <c r="B86" s="243">
        <v>2.0</v>
      </c>
      <c r="C86" s="243" t="s">
        <v>84</v>
      </c>
      <c r="D86" s="244">
        <v>15.0</v>
      </c>
      <c r="E86" s="243" t="s">
        <v>61</v>
      </c>
      <c r="F86" s="36"/>
      <c r="G86" s="246">
        <f>D86*F85</f>
        <v>375</v>
      </c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</row>
    <row r="87">
      <c r="A87" s="36"/>
      <c r="B87" s="243">
        <v>3.0</v>
      </c>
      <c r="C87" s="243" t="s">
        <v>85</v>
      </c>
      <c r="D87" s="244">
        <v>50.0</v>
      </c>
      <c r="E87" s="243" t="s">
        <v>86</v>
      </c>
      <c r="F87" s="36"/>
      <c r="G87" s="246">
        <f>D87*F85</f>
        <v>1250</v>
      </c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</row>
    <row r="88">
      <c r="A88" s="36"/>
      <c r="B88" s="243">
        <v>4.0</v>
      </c>
      <c r="C88" s="243" t="s">
        <v>87</v>
      </c>
      <c r="D88" s="244">
        <v>180.0</v>
      </c>
      <c r="E88" s="243" t="s">
        <v>61</v>
      </c>
      <c r="F88" s="36"/>
      <c r="G88" s="246">
        <f>D88*F85</f>
        <v>4500</v>
      </c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>
      <c r="A89" s="36"/>
      <c r="B89" s="243">
        <v>5.0</v>
      </c>
      <c r="C89" s="243" t="s">
        <v>88</v>
      </c>
      <c r="D89" s="244">
        <v>125.0</v>
      </c>
      <c r="E89" s="243" t="s">
        <v>86</v>
      </c>
      <c r="F89" s="36"/>
      <c r="G89" s="246">
        <f>D89*F85</f>
        <v>3125</v>
      </c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</row>
    <row r="90">
      <c r="A90" s="36"/>
      <c r="B90" s="243">
        <v>6.0</v>
      </c>
      <c r="C90" s="243" t="s">
        <v>89</v>
      </c>
      <c r="D90" s="244">
        <v>1.0</v>
      </c>
      <c r="E90" s="243" t="s">
        <v>63</v>
      </c>
      <c r="F90" s="36"/>
      <c r="G90" s="246">
        <f>D90*F85</f>
        <v>25</v>
      </c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</row>
    <row r="91">
      <c r="A91" s="91"/>
      <c r="B91" s="243">
        <v>7.0</v>
      </c>
      <c r="C91" s="243" t="s">
        <v>90</v>
      </c>
      <c r="D91" s="244">
        <v>1.0</v>
      </c>
      <c r="E91" s="243" t="s">
        <v>63</v>
      </c>
      <c r="F91" s="91"/>
      <c r="G91" s="246">
        <f>D91*F85</f>
        <v>25</v>
      </c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</row>
    <row r="92">
      <c r="A92" s="242" t="s">
        <v>5</v>
      </c>
      <c r="B92" s="243">
        <v>1.0</v>
      </c>
      <c r="C92" s="243" t="s">
        <v>91</v>
      </c>
      <c r="D92" s="244">
        <v>5.0</v>
      </c>
      <c r="E92" s="243" t="s">
        <v>61</v>
      </c>
      <c r="F92" s="245">
        <f>VLOOKUP(A92, 'Rekap Data Penjualan'!$M$3:$N$33, 2, )</f>
        <v>4</v>
      </c>
      <c r="G92" s="246">
        <f>D92*F92</f>
        <v>20</v>
      </c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</row>
    <row r="93">
      <c r="A93" s="36"/>
      <c r="B93" s="243">
        <v>2.0</v>
      </c>
      <c r="C93" s="243" t="s">
        <v>84</v>
      </c>
      <c r="D93" s="244">
        <v>15.0</v>
      </c>
      <c r="E93" s="243" t="s">
        <v>61</v>
      </c>
      <c r="F93" s="36"/>
      <c r="G93" s="246">
        <f>D93*F92</f>
        <v>60</v>
      </c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</row>
    <row r="94">
      <c r="A94" s="36"/>
      <c r="B94" s="243">
        <v>3.0</v>
      </c>
      <c r="C94" s="243" t="s">
        <v>85</v>
      </c>
      <c r="D94" s="244">
        <v>50.0</v>
      </c>
      <c r="E94" s="243" t="s">
        <v>86</v>
      </c>
      <c r="F94" s="36"/>
      <c r="G94" s="246">
        <f>D94*F92</f>
        <v>200</v>
      </c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</row>
    <row r="95">
      <c r="A95" s="36"/>
      <c r="B95" s="243">
        <v>4.0</v>
      </c>
      <c r="C95" s="243" t="s">
        <v>87</v>
      </c>
      <c r="D95" s="244">
        <v>180.0</v>
      </c>
      <c r="E95" s="243" t="s">
        <v>61</v>
      </c>
      <c r="F95" s="36"/>
      <c r="G95" s="246">
        <f>D95*F92</f>
        <v>720</v>
      </c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</row>
    <row r="96">
      <c r="A96" s="36"/>
      <c r="B96" s="243">
        <v>5.0</v>
      </c>
      <c r="C96" s="243" t="s">
        <v>88</v>
      </c>
      <c r="D96" s="244">
        <v>125.0</v>
      </c>
      <c r="E96" s="243" t="s">
        <v>86</v>
      </c>
      <c r="F96" s="36"/>
      <c r="G96" s="246">
        <f>D96*F92</f>
        <v>500</v>
      </c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</row>
    <row r="97">
      <c r="A97" s="36"/>
      <c r="B97" s="243">
        <v>6.0</v>
      </c>
      <c r="C97" s="243" t="s">
        <v>89</v>
      </c>
      <c r="D97" s="244">
        <v>1.0</v>
      </c>
      <c r="E97" s="243" t="s">
        <v>63</v>
      </c>
      <c r="F97" s="36"/>
      <c r="G97" s="246">
        <f>D97*F92</f>
        <v>4</v>
      </c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</row>
    <row r="98">
      <c r="A98" s="91"/>
      <c r="B98" s="243">
        <v>7.0</v>
      </c>
      <c r="C98" s="243" t="s">
        <v>90</v>
      </c>
      <c r="D98" s="244">
        <v>1.0</v>
      </c>
      <c r="E98" s="243" t="s">
        <v>63</v>
      </c>
      <c r="F98" s="91"/>
      <c r="G98" s="246">
        <f>D98*F92</f>
        <v>4</v>
      </c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</row>
    <row r="99">
      <c r="A99" s="250" t="s">
        <v>6</v>
      </c>
      <c r="B99" s="246">
        <v>1.0</v>
      </c>
      <c r="C99" s="243" t="s">
        <v>6</v>
      </c>
      <c r="D99" s="244">
        <v>16.0</v>
      </c>
      <c r="E99" s="251" t="s">
        <v>61</v>
      </c>
      <c r="F99" s="245">
        <f>VLOOKUP(A99, 'Rekap Data Penjualan'!$M$3:$N$33, 2, )</f>
        <v>41</v>
      </c>
      <c r="G99" s="246">
        <f>D99*F99</f>
        <v>656</v>
      </c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</row>
    <row r="100">
      <c r="A100" s="36"/>
      <c r="B100" s="246">
        <v>2.0</v>
      </c>
      <c r="C100" s="246" t="s">
        <v>92</v>
      </c>
      <c r="D100" s="244">
        <v>15.0</v>
      </c>
      <c r="E100" s="251" t="s">
        <v>61</v>
      </c>
      <c r="F100" s="36"/>
      <c r="G100" s="246">
        <f>D100*F99</f>
        <v>615</v>
      </c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>
      <c r="A101" s="36"/>
      <c r="B101" s="246">
        <v>3.0</v>
      </c>
      <c r="C101" s="246" t="s">
        <v>84</v>
      </c>
      <c r="D101" s="244">
        <v>8.0</v>
      </c>
      <c r="E101" s="251" t="s">
        <v>61</v>
      </c>
      <c r="F101" s="36"/>
      <c r="G101" s="246">
        <f>D101*F99</f>
        <v>328</v>
      </c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>
      <c r="A102" s="36"/>
      <c r="B102" s="246">
        <v>4.0</v>
      </c>
      <c r="C102" s="246" t="s">
        <v>85</v>
      </c>
      <c r="D102" s="244">
        <v>50.0</v>
      </c>
      <c r="E102" s="251" t="s">
        <v>86</v>
      </c>
      <c r="F102" s="36"/>
      <c r="G102" s="246">
        <f>D102*F99</f>
        <v>2050</v>
      </c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>
      <c r="A103" s="36"/>
      <c r="B103" s="246">
        <v>5.0</v>
      </c>
      <c r="C103" s="246" t="s">
        <v>88</v>
      </c>
      <c r="D103" s="244">
        <v>125.0</v>
      </c>
      <c r="E103" s="251" t="s">
        <v>86</v>
      </c>
      <c r="F103" s="36"/>
      <c r="G103" s="246">
        <f>D103*F99</f>
        <v>5125</v>
      </c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</row>
    <row r="104">
      <c r="A104" s="36"/>
      <c r="B104" s="246">
        <v>6.0</v>
      </c>
      <c r="C104" s="246" t="s">
        <v>87</v>
      </c>
      <c r="D104" s="244">
        <v>180.0</v>
      </c>
      <c r="E104" s="251" t="s">
        <v>61</v>
      </c>
      <c r="F104" s="36"/>
      <c r="G104" s="246">
        <f>D104*F99</f>
        <v>7380</v>
      </c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>
      <c r="A105" s="36"/>
      <c r="B105" s="243">
        <v>7.0</v>
      </c>
      <c r="C105" s="243" t="s">
        <v>89</v>
      </c>
      <c r="D105" s="244">
        <v>1.0</v>
      </c>
      <c r="E105" s="243" t="s">
        <v>63</v>
      </c>
      <c r="F105" s="36"/>
      <c r="G105" s="246">
        <f>D105*F99</f>
        <v>41</v>
      </c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>
      <c r="A106" s="91"/>
      <c r="B106" s="243">
        <v>8.0</v>
      </c>
      <c r="C106" s="243" t="s">
        <v>90</v>
      </c>
      <c r="D106" s="244">
        <v>1.0</v>
      </c>
      <c r="E106" s="243" t="s">
        <v>63</v>
      </c>
      <c r="F106" s="91"/>
      <c r="G106" s="246">
        <f>D106*F99</f>
        <v>41</v>
      </c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</row>
    <row r="107">
      <c r="A107" s="252" t="s">
        <v>7</v>
      </c>
      <c r="B107" s="243">
        <v>1.0</v>
      </c>
      <c r="C107" s="243" t="s">
        <v>83</v>
      </c>
      <c r="D107" s="244">
        <v>1.5</v>
      </c>
      <c r="E107" s="243" t="s">
        <v>61</v>
      </c>
      <c r="F107" s="245">
        <f>VLOOKUP(A107, 'Rekap Data Penjualan'!$M$3:$N$33, 2, )</f>
        <v>70</v>
      </c>
      <c r="G107" s="246">
        <f>D107*F107</f>
        <v>105</v>
      </c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>
      <c r="A108" s="36"/>
      <c r="B108" s="243">
        <v>2.0</v>
      </c>
      <c r="C108" s="243" t="s">
        <v>84</v>
      </c>
      <c r="D108" s="244">
        <v>25.0</v>
      </c>
      <c r="E108" s="243" t="s">
        <v>61</v>
      </c>
      <c r="F108" s="36"/>
      <c r="G108" s="246">
        <f>D108*F107</f>
        <v>1750</v>
      </c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</row>
    <row r="109">
      <c r="A109" s="36"/>
      <c r="B109" s="243">
        <v>3.0</v>
      </c>
      <c r="C109" s="243" t="s">
        <v>85</v>
      </c>
      <c r="D109" s="244">
        <v>50.0</v>
      </c>
      <c r="E109" s="243" t="s">
        <v>86</v>
      </c>
      <c r="F109" s="36"/>
      <c r="G109" s="246">
        <f>D109*F107</f>
        <v>3500</v>
      </c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>
      <c r="A110" s="36"/>
      <c r="B110" s="243">
        <v>4.0</v>
      </c>
      <c r="C110" s="243" t="s">
        <v>87</v>
      </c>
      <c r="D110" s="244">
        <v>180.0</v>
      </c>
      <c r="E110" s="243" t="s">
        <v>61</v>
      </c>
      <c r="F110" s="36"/>
      <c r="G110" s="246">
        <f>D110*F107</f>
        <v>12600</v>
      </c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</row>
    <row r="111">
      <c r="A111" s="36"/>
      <c r="B111" s="243">
        <v>5.0</v>
      </c>
      <c r="C111" s="137" t="s">
        <v>85</v>
      </c>
      <c r="D111" s="244">
        <v>125.0</v>
      </c>
      <c r="E111" s="251" t="s">
        <v>86</v>
      </c>
      <c r="F111" s="36"/>
      <c r="G111" s="246">
        <f>D111*F107</f>
        <v>8750</v>
      </c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</row>
    <row r="112">
      <c r="A112" s="36"/>
      <c r="B112" s="243">
        <v>6.0</v>
      </c>
      <c r="C112" s="137" t="s">
        <v>89</v>
      </c>
      <c r="D112" s="244">
        <v>1.0</v>
      </c>
      <c r="E112" s="251" t="s">
        <v>63</v>
      </c>
      <c r="F112" s="36"/>
      <c r="G112" s="246">
        <f>D112*F107</f>
        <v>70</v>
      </c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</row>
    <row r="113">
      <c r="A113" s="91"/>
      <c r="B113" s="243">
        <v>7.0</v>
      </c>
      <c r="C113" s="137" t="s">
        <v>90</v>
      </c>
      <c r="D113" s="244">
        <v>1.0</v>
      </c>
      <c r="E113" s="251" t="s">
        <v>63</v>
      </c>
      <c r="F113" s="91"/>
      <c r="G113" s="246">
        <f>D113*F107</f>
        <v>70</v>
      </c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</row>
    <row r="114">
      <c r="A114" s="252" t="s">
        <v>22</v>
      </c>
      <c r="B114" s="243">
        <v>1.0</v>
      </c>
      <c r="C114" s="137" t="s">
        <v>6</v>
      </c>
      <c r="D114" s="244">
        <v>16.0</v>
      </c>
      <c r="E114" s="251" t="s">
        <v>61</v>
      </c>
      <c r="F114" s="245">
        <f>VLOOKUP(A114, 'Rekap Data Penjualan'!$M$3:$N$33, 2, )</f>
        <v>24</v>
      </c>
      <c r="G114" s="246">
        <f>D114*F114</f>
        <v>384</v>
      </c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</row>
    <row r="115">
      <c r="A115" s="36"/>
      <c r="B115" s="243">
        <v>2.0</v>
      </c>
      <c r="C115" s="137" t="s">
        <v>92</v>
      </c>
      <c r="D115" s="244">
        <v>15.0</v>
      </c>
      <c r="E115" s="243" t="s">
        <v>61</v>
      </c>
      <c r="F115" s="36"/>
      <c r="G115" s="246">
        <f>D115*F114</f>
        <v>360</v>
      </c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</row>
    <row r="116">
      <c r="A116" s="36"/>
      <c r="B116" s="243">
        <v>3.0</v>
      </c>
      <c r="C116" s="137" t="s">
        <v>84</v>
      </c>
      <c r="D116" s="244">
        <v>8.0</v>
      </c>
      <c r="E116" s="243" t="s">
        <v>61</v>
      </c>
      <c r="F116" s="36"/>
      <c r="G116" s="246">
        <f>D116*F114</f>
        <v>192</v>
      </c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</row>
    <row r="117">
      <c r="A117" s="36"/>
      <c r="B117" s="243">
        <v>4.0</v>
      </c>
      <c r="C117" s="137" t="s">
        <v>93</v>
      </c>
      <c r="D117" s="244">
        <v>20.0</v>
      </c>
      <c r="E117" s="243" t="s">
        <v>61</v>
      </c>
      <c r="F117" s="36"/>
      <c r="G117" s="246">
        <f>D117*F114</f>
        <v>480</v>
      </c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</row>
    <row r="118">
      <c r="A118" s="36"/>
      <c r="B118" s="243">
        <v>5.0</v>
      </c>
      <c r="C118" s="137" t="s">
        <v>85</v>
      </c>
      <c r="D118" s="244">
        <v>50.0</v>
      </c>
      <c r="E118" s="243" t="s">
        <v>86</v>
      </c>
      <c r="F118" s="36"/>
      <c r="G118" s="246">
        <f>D118*F114</f>
        <v>1200</v>
      </c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</row>
    <row r="119">
      <c r="A119" s="36"/>
      <c r="B119" s="243">
        <v>6.0</v>
      </c>
      <c r="C119" s="137" t="s">
        <v>88</v>
      </c>
      <c r="D119" s="244">
        <v>125.0</v>
      </c>
      <c r="E119" s="243" t="s">
        <v>86</v>
      </c>
      <c r="F119" s="36"/>
      <c r="G119" s="246">
        <f>D119*F114</f>
        <v>3000</v>
      </c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</row>
    <row r="120">
      <c r="A120" s="36"/>
      <c r="B120" s="243">
        <v>7.0</v>
      </c>
      <c r="C120" s="137" t="s">
        <v>87</v>
      </c>
      <c r="D120" s="244">
        <v>180.0</v>
      </c>
      <c r="E120" s="243" t="s">
        <v>61</v>
      </c>
      <c r="F120" s="36"/>
      <c r="G120" s="246">
        <f>D120*F114</f>
        <v>4320</v>
      </c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</row>
    <row r="121">
      <c r="A121" s="36"/>
      <c r="B121" s="243">
        <v>8.0</v>
      </c>
      <c r="C121" s="137" t="s">
        <v>89</v>
      </c>
      <c r="D121" s="244">
        <v>1.0</v>
      </c>
      <c r="E121" s="243" t="s">
        <v>63</v>
      </c>
      <c r="F121" s="36"/>
      <c r="G121" s="246">
        <f>D121*F114</f>
        <v>24</v>
      </c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</row>
    <row r="122">
      <c r="A122" s="91"/>
      <c r="B122" s="243">
        <v>9.0</v>
      </c>
      <c r="C122" s="137" t="s">
        <v>90</v>
      </c>
      <c r="D122" s="244">
        <v>1.0</v>
      </c>
      <c r="E122" s="243" t="s">
        <v>63</v>
      </c>
      <c r="F122" s="91"/>
      <c r="G122" s="246">
        <f>D122*F114</f>
        <v>24</v>
      </c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</row>
    <row r="123">
      <c r="A123" s="253" t="s">
        <v>8</v>
      </c>
      <c r="B123" s="254">
        <v>1.0</v>
      </c>
      <c r="C123" s="255" t="s">
        <v>94</v>
      </c>
      <c r="D123" s="256">
        <v>0.0667</v>
      </c>
      <c r="E123" s="257" t="s">
        <v>77</v>
      </c>
      <c r="F123" s="133">
        <f>VLOOKUP(A123, 'Rekap Data Penjualan'!$M$3:$N$33, 2, )</f>
        <v>493</v>
      </c>
      <c r="G123" s="16">
        <f>D123*F123</f>
        <v>32.8831</v>
      </c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</row>
    <row r="124">
      <c r="A124" s="36"/>
      <c r="B124" s="258">
        <v>2.0</v>
      </c>
      <c r="C124" s="130" t="s">
        <v>84</v>
      </c>
      <c r="D124" s="259">
        <v>20.0</v>
      </c>
      <c r="E124" s="132" t="s">
        <v>61</v>
      </c>
      <c r="F124" s="36"/>
      <c r="G124" s="16">
        <f>D124*F123</f>
        <v>9860</v>
      </c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</row>
    <row r="125">
      <c r="A125" s="36"/>
      <c r="B125" s="258">
        <v>3.0</v>
      </c>
      <c r="C125" s="130" t="s">
        <v>85</v>
      </c>
      <c r="D125" s="259">
        <v>50.0</v>
      </c>
      <c r="E125" s="132" t="s">
        <v>86</v>
      </c>
      <c r="F125" s="36"/>
      <c r="G125" s="16">
        <f>D125*F123</f>
        <v>24650</v>
      </c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</row>
    <row r="126">
      <c r="A126" s="36"/>
      <c r="B126" s="258">
        <v>4.0</v>
      </c>
      <c r="C126" s="130" t="s">
        <v>87</v>
      </c>
      <c r="D126" s="259">
        <v>180.0</v>
      </c>
      <c r="E126" s="132" t="s">
        <v>61</v>
      </c>
      <c r="F126" s="36"/>
      <c r="G126" s="16">
        <f>D126*F123</f>
        <v>88740</v>
      </c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</row>
    <row r="127">
      <c r="A127" s="36"/>
      <c r="B127" s="258">
        <v>6.0</v>
      </c>
      <c r="C127" s="130" t="s">
        <v>89</v>
      </c>
      <c r="D127" s="259">
        <v>1.0</v>
      </c>
      <c r="E127" s="132" t="s">
        <v>63</v>
      </c>
      <c r="F127" s="36"/>
      <c r="G127" s="16">
        <f>D127*F123</f>
        <v>493</v>
      </c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</row>
    <row r="128">
      <c r="A128" s="91"/>
      <c r="B128" s="258">
        <v>7.0</v>
      </c>
      <c r="C128" s="130" t="s">
        <v>90</v>
      </c>
      <c r="D128" s="259">
        <v>1.0</v>
      </c>
      <c r="E128" s="132" t="s">
        <v>63</v>
      </c>
      <c r="F128" s="91"/>
      <c r="G128" s="16">
        <f>D128*F123</f>
        <v>493</v>
      </c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</row>
    <row r="129">
      <c r="A129" s="252" t="s">
        <v>31</v>
      </c>
      <c r="B129" s="129">
        <v>1.0</v>
      </c>
      <c r="C129" s="135" t="s">
        <v>60</v>
      </c>
      <c r="D129" s="136">
        <v>70.0</v>
      </c>
      <c r="E129" s="260" t="s">
        <v>61</v>
      </c>
      <c r="F129" s="133">
        <f>VLOOKUP(A129, 'Rekap Data Penjualan'!$M$3:$N$33, 2, )</f>
        <v>30</v>
      </c>
      <c r="G129" s="16">
        <f>D129*F129</f>
        <v>2100</v>
      </c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</row>
    <row r="130">
      <c r="A130" s="36"/>
      <c r="B130" s="129">
        <v>2.0</v>
      </c>
      <c r="C130" s="135" t="s">
        <v>20</v>
      </c>
      <c r="D130" s="136">
        <v>1.0</v>
      </c>
      <c r="E130" s="129" t="s">
        <v>63</v>
      </c>
      <c r="F130" s="36"/>
      <c r="G130" s="16">
        <f>D130*F129</f>
        <v>30</v>
      </c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</row>
    <row r="131">
      <c r="A131" s="36"/>
      <c r="B131" s="129">
        <v>3.0</v>
      </c>
      <c r="C131" s="137" t="s">
        <v>62</v>
      </c>
      <c r="D131" s="244">
        <v>1.0</v>
      </c>
      <c r="E131" s="243" t="s">
        <v>63</v>
      </c>
      <c r="F131" s="36"/>
      <c r="G131" s="16">
        <f>D131*F129</f>
        <v>30</v>
      </c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</row>
    <row r="132">
      <c r="A132" s="36"/>
      <c r="B132" s="129">
        <v>4.0</v>
      </c>
      <c r="C132" s="137" t="s">
        <v>64</v>
      </c>
      <c r="D132" s="244">
        <v>1.0</v>
      </c>
      <c r="E132" s="243" t="s">
        <v>63</v>
      </c>
      <c r="F132" s="36"/>
      <c r="G132" s="16">
        <f>D132*F129</f>
        <v>30</v>
      </c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</row>
    <row r="133">
      <c r="A133" s="36"/>
      <c r="B133" s="129">
        <v>5.0</v>
      </c>
      <c r="C133" s="130" t="s">
        <v>95</v>
      </c>
      <c r="D133" s="248">
        <v>72.9</v>
      </c>
      <c r="E133" s="132" t="s">
        <v>61</v>
      </c>
      <c r="F133" s="36"/>
      <c r="G133" s="16">
        <f>D133*F129</f>
        <v>2187</v>
      </c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</row>
    <row r="134">
      <c r="A134" s="36"/>
      <c r="B134" s="129">
        <v>6.0</v>
      </c>
      <c r="C134" s="130" t="s">
        <v>96</v>
      </c>
      <c r="D134" s="248">
        <v>8.1</v>
      </c>
      <c r="E134" s="132" t="s">
        <v>61</v>
      </c>
      <c r="F134" s="36"/>
      <c r="G134" s="16">
        <f>D134*F129</f>
        <v>243</v>
      </c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</row>
    <row r="135">
      <c r="A135" s="36"/>
      <c r="B135" s="129">
        <v>7.0</v>
      </c>
      <c r="C135" s="130" t="s">
        <v>85</v>
      </c>
      <c r="D135" s="131">
        <v>117.0</v>
      </c>
      <c r="E135" s="132" t="s">
        <v>61</v>
      </c>
      <c r="F135" s="36"/>
      <c r="G135" s="16">
        <f>D135*F129</f>
        <v>3510</v>
      </c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</row>
    <row r="136">
      <c r="A136" s="36"/>
      <c r="B136" s="129">
        <v>8.0</v>
      </c>
      <c r="C136" s="135" t="s">
        <v>97</v>
      </c>
      <c r="D136" s="131">
        <v>1.25</v>
      </c>
      <c r="E136" s="132" t="s">
        <v>61</v>
      </c>
      <c r="F136" s="36"/>
      <c r="G136" s="16">
        <f>D136*F129</f>
        <v>37.5</v>
      </c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</row>
    <row r="137">
      <c r="A137" s="91"/>
      <c r="B137" s="129">
        <v>9.0</v>
      </c>
      <c r="C137" s="135" t="s">
        <v>65</v>
      </c>
      <c r="D137" s="136">
        <v>1.0</v>
      </c>
      <c r="E137" s="129" t="s">
        <v>63</v>
      </c>
      <c r="F137" s="91"/>
      <c r="G137" s="16">
        <f>D137*F129</f>
        <v>30</v>
      </c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</row>
    <row r="138">
      <c r="A138" s="261" t="s">
        <v>33</v>
      </c>
      <c r="B138" s="129">
        <v>1.0</v>
      </c>
      <c r="C138" s="130" t="s">
        <v>95</v>
      </c>
      <c r="D138" s="248">
        <v>72.9</v>
      </c>
      <c r="E138" s="132" t="s">
        <v>61</v>
      </c>
      <c r="F138" s="133">
        <f>VLOOKUP(A138, 'Rekap Data Penjualan'!$M$3:$N$33, 2, )</f>
        <v>21</v>
      </c>
      <c r="G138" s="16">
        <f>D138*F138</f>
        <v>1530.9</v>
      </c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>
      <c r="A139" s="36"/>
      <c r="B139" s="129">
        <v>2.0</v>
      </c>
      <c r="C139" s="130" t="s">
        <v>96</v>
      </c>
      <c r="D139" s="248">
        <v>8.1</v>
      </c>
      <c r="E139" s="132" t="s">
        <v>61</v>
      </c>
      <c r="F139" s="36"/>
      <c r="G139" s="16">
        <f>D139*F138</f>
        <v>170.1</v>
      </c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</row>
    <row r="140">
      <c r="A140" s="36"/>
      <c r="B140" s="129">
        <v>3.0</v>
      </c>
      <c r="C140" s="130" t="s">
        <v>85</v>
      </c>
      <c r="D140" s="131">
        <v>117.0</v>
      </c>
      <c r="E140" s="132" t="s">
        <v>61</v>
      </c>
      <c r="F140" s="36"/>
      <c r="G140" s="16">
        <f>D140*F138</f>
        <v>2457</v>
      </c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</row>
    <row r="141">
      <c r="A141" s="36"/>
      <c r="B141" s="129">
        <v>4.0</v>
      </c>
      <c r="C141" s="135" t="s">
        <v>97</v>
      </c>
      <c r="D141" s="131">
        <v>1.25</v>
      </c>
      <c r="E141" s="132" t="s">
        <v>61</v>
      </c>
      <c r="F141" s="36"/>
      <c r="G141" s="16">
        <f>D141*F138</f>
        <v>26.25</v>
      </c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</row>
    <row r="142">
      <c r="A142" s="36"/>
      <c r="B142" s="129">
        <v>5.0</v>
      </c>
      <c r="C142" s="135" t="s">
        <v>67</v>
      </c>
      <c r="D142" s="136">
        <v>1.0</v>
      </c>
      <c r="E142" s="260" t="s">
        <v>58</v>
      </c>
      <c r="F142" s="36"/>
      <c r="G142" s="16">
        <f>D142*F138</f>
        <v>21</v>
      </c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</row>
    <row r="143">
      <c r="A143" s="36"/>
      <c r="B143" s="129">
        <v>6.0</v>
      </c>
      <c r="C143" s="135" t="s">
        <v>98</v>
      </c>
      <c r="D143" s="136">
        <v>2.0</v>
      </c>
      <c r="E143" s="260" t="s">
        <v>77</v>
      </c>
      <c r="F143" s="36"/>
      <c r="G143" s="16">
        <f>D143*F138</f>
        <v>42</v>
      </c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</row>
    <row r="144">
      <c r="A144" s="36"/>
      <c r="B144" s="129">
        <v>7.0</v>
      </c>
      <c r="C144" s="135" t="s">
        <v>99</v>
      </c>
      <c r="D144" s="136">
        <v>1.0</v>
      </c>
      <c r="E144" s="260" t="s">
        <v>77</v>
      </c>
      <c r="F144" s="36"/>
      <c r="G144" s="16">
        <f>D144*F138</f>
        <v>21</v>
      </c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</row>
    <row r="145">
      <c r="A145" s="36"/>
      <c r="B145" s="129">
        <v>8.0</v>
      </c>
      <c r="C145" s="135" t="s">
        <v>100</v>
      </c>
      <c r="D145" s="136">
        <v>10.0</v>
      </c>
      <c r="E145" s="260" t="s">
        <v>101</v>
      </c>
      <c r="F145" s="36"/>
      <c r="G145" s="16">
        <f>D145*F138</f>
        <v>210</v>
      </c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</row>
    <row r="146">
      <c r="A146" s="36"/>
      <c r="B146" s="129">
        <v>9.0</v>
      </c>
      <c r="C146" s="135" t="s">
        <v>102</v>
      </c>
      <c r="D146" s="136">
        <v>5.0</v>
      </c>
      <c r="E146" s="129" t="s">
        <v>101</v>
      </c>
      <c r="F146" s="36"/>
      <c r="G146" s="16">
        <f>D146*F138</f>
        <v>105</v>
      </c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</row>
    <row r="147">
      <c r="A147" s="36"/>
      <c r="B147" s="129">
        <v>10.0</v>
      </c>
      <c r="C147" s="137" t="s">
        <v>85</v>
      </c>
      <c r="D147" s="136">
        <v>100.0</v>
      </c>
      <c r="E147" s="129" t="s">
        <v>103</v>
      </c>
      <c r="F147" s="36"/>
      <c r="G147" s="16">
        <f>D147*F138</f>
        <v>2100</v>
      </c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</row>
    <row r="148">
      <c r="A148" s="36"/>
      <c r="B148" s="129">
        <v>11.0</v>
      </c>
      <c r="C148" s="135" t="s">
        <v>104</v>
      </c>
      <c r="D148" s="136">
        <v>15.0</v>
      </c>
      <c r="E148" s="129" t="s">
        <v>61</v>
      </c>
      <c r="F148" s="36"/>
      <c r="G148" s="16">
        <f>D148*F138</f>
        <v>315</v>
      </c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</row>
    <row r="149">
      <c r="A149" s="36"/>
      <c r="B149" s="129">
        <v>12.0</v>
      </c>
      <c r="C149" s="135" t="s">
        <v>105</v>
      </c>
      <c r="D149" s="136">
        <v>15.0</v>
      </c>
      <c r="E149" s="129" t="s">
        <v>61</v>
      </c>
      <c r="F149" s="36"/>
      <c r="G149" s="16">
        <f>D149*F138</f>
        <v>315</v>
      </c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</row>
    <row r="150">
      <c r="A150" s="36"/>
      <c r="B150" s="129">
        <v>13.0</v>
      </c>
      <c r="C150" s="137" t="s">
        <v>85</v>
      </c>
      <c r="D150" s="136">
        <v>10.0</v>
      </c>
      <c r="E150" s="129" t="s">
        <v>86</v>
      </c>
      <c r="F150" s="36"/>
      <c r="G150" s="16">
        <f>D150*F138</f>
        <v>210</v>
      </c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</row>
    <row r="151">
      <c r="A151" s="36"/>
      <c r="B151" s="129">
        <v>14.0</v>
      </c>
      <c r="C151" s="135" t="s">
        <v>97</v>
      </c>
      <c r="D151" s="136">
        <v>5.0</v>
      </c>
      <c r="E151" s="129" t="s">
        <v>61</v>
      </c>
      <c r="F151" s="36"/>
      <c r="G151" s="16">
        <f>D151*F138</f>
        <v>105</v>
      </c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</row>
    <row r="152">
      <c r="A152" s="91"/>
      <c r="B152" s="129">
        <v>16.0</v>
      </c>
      <c r="C152" s="135" t="s">
        <v>106</v>
      </c>
      <c r="D152" s="136">
        <v>10.0</v>
      </c>
      <c r="E152" s="129" t="s">
        <v>61</v>
      </c>
      <c r="F152" s="91"/>
      <c r="G152" s="16">
        <f>D152*F138</f>
        <v>210</v>
      </c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</row>
    <row r="153">
      <c r="A153" s="261" t="s">
        <v>34</v>
      </c>
      <c r="B153" s="129">
        <v>1.0</v>
      </c>
      <c r="C153" s="130" t="s">
        <v>95</v>
      </c>
      <c r="D153" s="248">
        <v>72.9</v>
      </c>
      <c r="E153" s="132" t="s">
        <v>61</v>
      </c>
      <c r="F153" s="133">
        <f>VLOOKUP(A153, 'Rekap Data Penjualan'!$M$3:$N$33, 2, )</f>
        <v>51</v>
      </c>
      <c r="G153" s="16">
        <f>D153*F153</f>
        <v>3717.9</v>
      </c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</row>
    <row r="154">
      <c r="A154" s="36"/>
      <c r="B154" s="129">
        <v>2.0</v>
      </c>
      <c r="C154" s="130" t="s">
        <v>96</v>
      </c>
      <c r="D154" s="248">
        <v>8.1</v>
      </c>
      <c r="E154" s="132" t="s">
        <v>61</v>
      </c>
      <c r="F154" s="36"/>
      <c r="G154" s="16">
        <f>D154*F153</f>
        <v>413.1</v>
      </c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</row>
    <row r="155">
      <c r="A155" s="36"/>
      <c r="B155" s="129">
        <v>3.0</v>
      </c>
      <c r="C155" s="130" t="s">
        <v>85</v>
      </c>
      <c r="D155" s="131">
        <v>117.0</v>
      </c>
      <c r="E155" s="132" t="s">
        <v>61</v>
      </c>
      <c r="F155" s="36"/>
      <c r="G155" s="16">
        <f>D155*F153</f>
        <v>5967</v>
      </c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</row>
    <row r="156">
      <c r="A156" s="36"/>
      <c r="B156" s="129">
        <v>4.0</v>
      </c>
      <c r="C156" s="135" t="s">
        <v>97</v>
      </c>
      <c r="D156" s="131">
        <v>1.25</v>
      </c>
      <c r="E156" s="132" t="s">
        <v>61</v>
      </c>
      <c r="F156" s="36"/>
      <c r="G156" s="16">
        <f>D156*F153</f>
        <v>63.75</v>
      </c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</row>
    <row r="157">
      <c r="A157" s="36"/>
      <c r="B157" s="129">
        <v>5.0</v>
      </c>
      <c r="C157" s="135" t="s">
        <v>60</v>
      </c>
      <c r="D157" s="262">
        <v>70.0</v>
      </c>
      <c r="E157" s="17" t="s">
        <v>61</v>
      </c>
      <c r="F157" s="36"/>
      <c r="G157" s="16">
        <f>D157*F153</f>
        <v>3570</v>
      </c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</row>
    <row r="158">
      <c r="A158" s="36"/>
      <c r="B158" s="129">
        <v>6.0</v>
      </c>
      <c r="C158" s="135" t="s">
        <v>98</v>
      </c>
      <c r="D158" s="136">
        <v>2.0</v>
      </c>
      <c r="E158" s="129" t="s">
        <v>63</v>
      </c>
      <c r="F158" s="36"/>
      <c r="G158" s="16">
        <f>D158*F153</f>
        <v>102</v>
      </c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</row>
    <row r="159">
      <c r="A159" s="36"/>
      <c r="B159" s="129">
        <v>7.0</v>
      </c>
      <c r="C159" s="135" t="s">
        <v>99</v>
      </c>
      <c r="D159" s="136">
        <v>1.0</v>
      </c>
      <c r="E159" s="129" t="s">
        <v>77</v>
      </c>
      <c r="F159" s="36"/>
      <c r="G159" s="16">
        <f>D159*F153</f>
        <v>51</v>
      </c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</row>
    <row r="160">
      <c r="A160" s="36"/>
      <c r="B160" s="129">
        <v>8.0</v>
      </c>
      <c r="C160" s="135" t="s">
        <v>100</v>
      </c>
      <c r="D160" s="136">
        <v>10.0</v>
      </c>
      <c r="E160" s="129" t="s">
        <v>101</v>
      </c>
      <c r="F160" s="36"/>
      <c r="G160" s="16">
        <f>D160*F153</f>
        <v>510</v>
      </c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</row>
    <row r="161">
      <c r="A161" s="36"/>
      <c r="B161" s="129">
        <v>9.0</v>
      </c>
      <c r="C161" s="135" t="s">
        <v>102</v>
      </c>
      <c r="D161" s="136">
        <v>5.0</v>
      </c>
      <c r="E161" s="129" t="s">
        <v>101</v>
      </c>
      <c r="F161" s="36"/>
      <c r="G161" s="16">
        <f>D161*F153</f>
        <v>255</v>
      </c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</row>
    <row r="162">
      <c r="A162" s="36"/>
      <c r="B162" s="129">
        <v>10.0</v>
      </c>
      <c r="C162" s="137" t="s">
        <v>85</v>
      </c>
      <c r="D162" s="136">
        <v>100.0</v>
      </c>
      <c r="E162" s="129" t="s">
        <v>103</v>
      </c>
      <c r="F162" s="36"/>
      <c r="G162" s="16">
        <f>D162*F153</f>
        <v>5100</v>
      </c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</row>
    <row r="163">
      <c r="A163" s="36"/>
      <c r="B163" s="129">
        <v>11.0</v>
      </c>
      <c r="C163" s="135" t="s">
        <v>104</v>
      </c>
      <c r="D163" s="136">
        <v>15.0</v>
      </c>
      <c r="E163" s="129" t="s">
        <v>61</v>
      </c>
      <c r="F163" s="36"/>
      <c r="G163" s="16">
        <f>D163*F153</f>
        <v>765</v>
      </c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</row>
    <row r="164">
      <c r="A164" s="36"/>
      <c r="B164" s="129">
        <v>12.0</v>
      </c>
      <c r="C164" s="135" t="s">
        <v>105</v>
      </c>
      <c r="D164" s="136">
        <v>15.0</v>
      </c>
      <c r="E164" s="129" t="s">
        <v>61</v>
      </c>
      <c r="F164" s="36"/>
      <c r="G164" s="16">
        <f>D164*F153</f>
        <v>765</v>
      </c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</row>
    <row r="165">
      <c r="A165" s="36"/>
      <c r="B165" s="129">
        <v>13.0</v>
      </c>
      <c r="C165" s="137" t="s">
        <v>85</v>
      </c>
      <c r="D165" s="136">
        <v>10.0</v>
      </c>
      <c r="E165" s="129" t="s">
        <v>86</v>
      </c>
      <c r="F165" s="36"/>
      <c r="G165" s="16">
        <f>D165*F153</f>
        <v>510</v>
      </c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</row>
    <row r="166">
      <c r="A166" s="36"/>
      <c r="B166" s="129">
        <v>14.0</v>
      </c>
      <c r="C166" s="135" t="s">
        <v>87</v>
      </c>
      <c r="D166" s="136">
        <v>5.0</v>
      </c>
      <c r="E166" s="129" t="s">
        <v>61</v>
      </c>
      <c r="F166" s="36"/>
      <c r="G166" s="16">
        <f>D166*F153</f>
        <v>255</v>
      </c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</row>
    <row r="167">
      <c r="A167" s="36"/>
      <c r="B167" s="129">
        <v>15.0</v>
      </c>
      <c r="C167" s="135" t="s">
        <v>97</v>
      </c>
      <c r="D167" s="136">
        <v>1.0</v>
      </c>
      <c r="E167" s="129" t="s">
        <v>61</v>
      </c>
      <c r="F167" s="36"/>
      <c r="G167" s="16">
        <f>D167*F153</f>
        <v>51</v>
      </c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</row>
    <row r="168">
      <c r="A168" s="91"/>
      <c r="B168" s="129">
        <v>16.0</v>
      </c>
      <c r="C168" s="135" t="s">
        <v>106</v>
      </c>
      <c r="D168" s="136">
        <v>10.0</v>
      </c>
      <c r="E168" s="129" t="s">
        <v>61</v>
      </c>
      <c r="F168" s="91"/>
      <c r="G168" s="16">
        <f>D168*F153</f>
        <v>510</v>
      </c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</row>
    <row r="169">
      <c r="A169" s="261" t="s">
        <v>32</v>
      </c>
      <c r="B169" s="129">
        <v>1.0</v>
      </c>
      <c r="C169" s="130" t="s">
        <v>95</v>
      </c>
      <c r="D169" s="248">
        <v>72.9</v>
      </c>
      <c r="E169" s="132" t="s">
        <v>61</v>
      </c>
      <c r="F169" s="133">
        <f>VLOOKUP(A169, 'Rekap Data Penjualan'!$M$3:$N$33, 2, )</f>
        <v>128</v>
      </c>
      <c r="G169" s="16">
        <f>D169*F169</f>
        <v>9331.2</v>
      </c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</row>
    <row r="170">
      <c r="A170" s="36"/>
      <c r="B170" s="129">
        <v>2.0</v>
      </c>
      <c r="C170" s="130" t="s">
        <v>96</v>
      </c>
      <c r="D170" s="248">
        <v>8.1</v>
      </c>
      <c r="E170" s="132" t="s">
        <v>61</v>
      </c>
      <c r="F170" s="36"/>
      <c r="G170" s="16">
        <f>D170*F169</f>
        <v>1036.8</v>
      </c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</row>
    <row r="171">
      <c r="A171" s="36"/>
      <c r="B171" s="129">
        <v>3.0</v>
      </c>
      <c r="C171" s="130" t="s">
        <v>85</v>
      </c>
      <c r="D171" s="131">
        <v>117.0</v>
      </c>
      <c r="E171" s="132" t="s">
        <v>61</v>
      </c>
      <c r="F171" s="36"/>
      <c r="G171" s="16">
        <f>D171*F169</f>
        <v>14976</v>
      </c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</row>
    <row r="172">
      <c r="A172" s="36"/>
      <c r="B172" s="129">
        <v>4.0</v>
      </c>
      <c r="C172" s="135" t="s">
        <v>97</v>
      </c>
      <c r="D172" s="131">
        <v>1.25</v>
      </c>
      <c r="E172" s="132" t="s">
        <v>61</v>
      </c>
      <c r="F172" s="36"/>
      <c r="G172" s="16">
        <f>D172*F169</f>
        <v>160</v>
      </c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</row>
    <row r="173">
      <c r="A173" s="36"/>
      <c r="B173" s="129">
        <v>5.0</v>
      </c>
      <c r="C173" s="135" t="s">
        <v>81</v>
      </c>
      <c r="D173" s="136">
        <v>1.0</v>
      </c>
      <c r="E173" s="129" t="s">
        <v>58</v>
      </c>
      <c r="F173" s="36"/>
      <c r="G173" s="16">
        <f>D173*F169</f>
        <v>128</v>
      </c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</row>
    <row r="174">
      <c r="A174" s="36"/>
      <c r="B174" s="129">
        <v>6.0</v>
      </c>
      <c r="C174" s="135" t="s">
        <v>98</v>
      </c>
      <c r="D174" s="136">
        <v>2.0</v>
      </c>
      <c r="E174" s="129" t="s">
        <v>77</v>
      </c>
      <c r="F174" s="36"/>
      <c r="G174" s="16">
        <f>D174*F169</f>
        <v>256</v>
      </c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</row>
    <row r="175">
      <c r="A175" s="36"/>
      <c r="B175" s="129">
        <v>7.0</v>
      </c>
      <c r="C175" s="135" t="s">
        <v>99</v>
      </c>
      <c r="D175" s="136">
        <v>1.0</v>
      </c>
      <c r="E175" s="129" t="s">
        <v>77</v>
      </c>
      <c r="F175" s="36"/>
      <c r="G175" s="16">
        <f>D175*F169</f>
        <v>128</v>
      </c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</row>
    <row r="176">
      <c r="A176" s="36"/>
      <c r="B176" s="129">
        <v>8.0</v>
      </c>
      <c r="C176" s="135" t="s">
        <v>100</v>
      </c>
      <c r="D176" s="136">
        <v>10.0</v>
      </c>
      <c r="E176" s="129" t="s">
        <v>101</v>
      </c>
      <c r="F176" s="36"/>
      <c r="G176" s="16">
        <f>D176*F169</f>
        <v>1280</v>
      </c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</row>
    <row r="177">
      <c r="A177" s="36"/>
      <c r="B177" s="129">
        <v>9.0</v>
      </c>
      <c r="C177" s="135" t="s">
        <v>102</v>
      </c>
      <c r="D177" s="136">
        <v>5.0</v>
      </c>
      <c r="E177" s="129" t="s">
        <v>101</v>
      </c>
      <c r="F177" s="36"/>
      <c r="G177" s="16">
        <f>D177*F169</f>
        <v>640</v>
      </c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</row>
    <row r="178">
      <c r="A178" s="36"/>
      <c r="B178" s="129">
        <v>10.0</v>
      </c>
      <c r="C178" s="137" t="s">
        <v>85</v>
      </c>
      <c r="D178" s="136">
        <v>100.0</v>
      </c>
      <c r="E178" s="129" t="s">
        <v>103</v>
      </c>
      <c r="F178" s="36"/>
      <c r="G178" s="16">
        <f>D178*F169</f>
        <v>12800</v>
      </c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</row>
    <row r="179">
      <c r="A179" s="36"/>
      <c r="B179" s="129">
        <v>11.0</v>
      </c>
      <c r="C179" s="135" t="s">
        <v>104</v>
      </c>
      <c r="D179" s="136">
        <v>15.0</v>
      </c>
      <c r="E179" s="129" t="s">
        <v>61</v>
      </c>
      <c r="F179" s="36"/>
      <c r="G179" s="16">
        <f>D179*F169</f>
        <v>1920</v>
      </c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</row>
    <row r="180">
      <c r="A180" s="36"/>
      <c r="B180" s="129">
        <v>12.0</v>
      </c>
      <c r="C180" s="135" t="s">
        <v>105</v>
      </c>
      <c r="D180" s="136">
        <v>15.0</v>
      </c>
      <c r="E180" s="129" t="s">
        <v>61</v>
      </c>
      <c r="F180" s="36"/>
      <c r="G180" s="16">
        <f>D180*F169</f>
        <v>1920</v>
      </c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</row>
    <row r="181">
      <c r="A181" s="36"/>
      <c r="B181" s="129">
        <v>13.0</v>
      </c>
      <c r="C181" s="137" t="s">
        <v>85</v>
      </c>
      <c r="D181" s="136">
        <v>10.0</v>
      </c>
      <c r="E181" s="129" t="s">
        <v>86</v>
      </c>
      <c r="F181" s="36"/>
      <c r="G181" s="16">
        <f>D181*F169</f>
        <v>1280</v>
      </c>
      <c r="H181" s="239"/>
      <c r="I181" s="239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</row>
    <row r="182">
      <c r="A182" s="36"/>
      <c r="B182" s="129">
        <v>14.0</v>
      </c>
      <c r="C182" s="135" t="s">
        <v>87</v>
      </c>
      <c r="D182" s="136">
        <v>5.0</v>
      </c>
      <c r="E182" s="129" t="s">
        <v>61</v>
      </c>
      <c r="F182" s="36"/>
      <c r="G182" s="16">
        <f>D182*F169</f>
        <v>640</v>
      </c>
      <c r="H182" s="239"/>
      <c r="I182" s="239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</row>
    <row r="183">
      <c r="A183" s="36"/>
      <c r="B183" s="129">
        <v>15.0</v>
      </c>
      <c r="C183" s="135" t="s">
        <v>97</v>
      </c>
      <c r="D183" s="136">
        <v>1.0</v>
      </c>
      <c r="E183" s="129" t="s">
        <v>61</v>
      </c>
      <c r="F183" s="36"/>
      <c r="G183" s="16">
        <f>D183*F169</f>
        <v>128</v>
      </c>
      <c r="H183" s="239"/>
      <c r="I183" s="239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</row>
    <row r="184">
      <c r="A184" s="91"/>
      <c r="B184" s="129">
        <v>16.0</v>
      </c>
      <c r="C184" s="135" t="s">
        <v>106</v>
      </c>
      <c r="D184" s="136">
        <v>10.0</v>
      </c>
      <c r="E184" s="129" t="s">
        <v>61</v>
      </c>
      <c r="F184" s="91"/>
      <c r="G184" s="16">
        <f>D184*F169</f>
        <v>1280</v>
      </c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</row>
    <row r="185">
      <c r="A185" s="263"/>
      <c r="B185" s="264"/>
      <c r="C185" s="263"/>
      <c r="D185" s="265"/>
      <c r="E185" s="264"/>
      <c r="F185" s="265"/>
      <c r="G185" s="239"/>
      <c r="H185" s="239"/>
      <c r="I185" s="239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</row>
    <row r="186">
      <c r="A186" s="263"/>
      <c r="B186" s="264"/>
      <c r="C186" s="263"/>
      <c r="D186" s="265"/>
      <c r="E186" s="264"/>
      <c r="F186" s="265"/>
      <c r="G186" s="239"/>
      <c r="H186" s="239"/>
      <c r="I186" s="239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</row>
    <row r="187">
      <c r="A187" s="263"/>
      <c r="B187" s="264"/>
      <c r="C187" s="263"/>
      <c r="D187" s="265"/>
      <c r="E187" s="264"/>
      <c r="F187" s="265"/>
      <c r="G187" s="239"/>
      <c r="H187" s="239"/>
      <c r="I187" s="239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</row>
    <row r="188">
      <c r="A188" s="263"/>
      <c r="B188" s="264"/>
      <c r="C188" s="263"/>
      <c r="D188" s="265"/>
      <c r="E188" s="264"/>
      <c r="F188" s="265"/>
      <c r="G188" s="239"/>
      <c r="H188" s="239"/>
      <c r="I188" s="239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</row>
    <row r="189">
      <c r="A189" s="263"/>
      <c r="B189" s="264"/>
      <c r="C189" s="263"/>
      <c r="D189" s="265"/>
      <c r="E189" s="264"/>
      <c r="F189" s="265"/>
      <c r="G189" s="239"/>
      <c r="H189" s="239"/>
      <c r="I189" s="239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</row>
    <row r="190">
      <c r="A190" s="263"/>
      <c r="B190" s="264"/>
      <c r="C190" s="263"/>
      <c r="D190" s="265"/>
      <c r="E190" s="264"/>
      <c r="F190" s="265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</row>
    <row r="191">
      <c r="A191" s="263"/>
      <c r="B191" s="264"/>
      <c r="C191" s="263"/>
      <c r="D191" s="265"/>
      <c r="E191" s="264"/>
      <c r="F191" s="265"/>
      <c r="G191" s="239"/>
      <c r="H191" s="239"/>
      <c r="I191" s="239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</row>
    <row r="192">
      <c r="A192" s="263"/>
      <c r="B192" s="264"/>
      <c r="C192" s="263"/>
      <c r="D192" s="265"/>
      <c r="E192" s="264"/>
      <c r="F192" s="265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</row>
    <row r="193">
      <c r="A193" s="263"/>
      <c r="B193" s="264"/>
      <c r="C193" s="263"/>
      <c r="D193" s="265"/>
      <c r="E193" s="264"/>
      <c r="F193" s="265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</row>
    <row r="194">
      <c r="A194" s="263"/>
      <c r="B194" s="264"/>
      <c r="C194" s="263"/>
      <c r="D194" s="265"/>
      <c r="E194" s="264"/>
      <c r="F194" s="265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</row>
    <row r="195">
      <c r="A195" s="263"/>
      <c r="B195" s="264"/>
      <c r="C195" s="263"/>
      <c r="D195" s="265"/>
      <c r="E195" s="264"/>
      <c r="F195" s="265"/>
      <c r="G195" s="239"/>
      <c r="H195" s="239"/>
      <c r="I195" s="239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</row>
    <row r="196">
      <c r="A196" s="263"/>
      <c r="B196" s="264"/>
      <c r="C196" s="263"/>
      <c r="D196" s="265"/>
      <c r="E196" s="264"/>
      <c r="F196" s="265"/>
      <c r="G196" s="239"/>
      <c r="H196" s="239"/>
      <c r="I196" s="239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</row>
    <row r="197">
      <c r="A197" s="263"/>
      <c r="B197" s="264"/>
      <c r="C197" s="263"/>
      <c r="D197" s="265"/>
      <c r="E197" s="264"/>
      <c r="F197" s="265"/>
      <c r="G197" s="239"/>
      <c r="H197" s="239"/>
      <c r="I197" s="239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</row>
    <row r="198">
      <c r="A198" s="263"/>
      <c r="B198" s="264"/>
      <c r="C198" s="263"/>
      <c r="D198" s="265"/>
      <c r="E198" s="264"/>
      <c r="F198" s="265"/>
      <c r="G198" s="239"/>
      <c r="H198" s="239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</row>
    <row r="199">
      <c r="A199" s="263"/>
      <c r="B199" s="264"/>
      <c r="C199" s="263"/>
      <c r="D199" s="265"/>
      <c r="E199" s="264"/>
      <c r="F199" s="265"/>
      <c r="G199" s="239"/>
      <c r="H199" s="239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</row>
    <row r="200">
      <c r="A200" s="263"/>
      <c r="B200" s="264"/>
      <c r="C200" s="263"/>
      <c r="D200" s="265"/>
      <c r="E200" s="264"/>
      <c r="F200" s="265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</row>
    <row r="201">
      <c r="A201" s="263"/>
      <c r="B201" s="264"/>
      <c r="C201" s="263"/>
      <c r="D201" s="265"/>
      <c r="E201" s="264"/>
      <c r="F201" s="265"/>
      <c r="G201" s="239"/>
      <c r="H201" s="239"/>
      <c r="I201" s="239"/>
      <c r="J201" s="239"/>
      <c r="K201" s="239"/>
      <c r="L201" s="239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</row>
    <row r="202">
      <c r="A202" s="263"/>
      <c r="B202" s="264"/>
      <c r="C202" s="263"/>
      <c r="D202" s="265"/>
      <c r="E202" s="264"/>
      <c r="F202" s="265"/>
      <c r="G202" s="239"/>
      <c r="H202" s="239"/>
      <c r="I202" s="239"/>
      <c r="J202" s="239"/>
      <c r="K202" s="239"/>
      <c r="L202" s="239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</row>
    <row r="203">
      <c r="A203" s="263"/>
      <c r="B203" s="264"/>
      <c r="C203" s="263"/>
      <c r="D203" s="265"/>
      <c r="E203" s="264"/>
      <c r="F203" s="265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</row>
    <row r="204">
      <c r="A204" s="263"/>
      <c r="B204" s="264"/>
      <c r="C204" s="263"/>
      <c r="D204" s="265"/>
      <c r="E204" s="264"/>
      <c r="F204" s="265"/>
      <c r="G204" s="239"/>
      <c r="H204" s="239"/>
      <c r="I204" s="239"/>
      <c r="J204" s="239"/>
      <c r="K204" s="239"/>
      <c r="L204" s="239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</row>
    <row r="205">
      <c r="A205" s="263"/>
      <c r="B205" s="264"/>
      <c r="C205" s="263"/>
      <c r="D205" s="265"/>
      <c r="E205" s="264"/>
      <c r="F205" s="265"/>
      <c r="G205" s="239"/>
      <c r="H205" s="239"/>
      <c r="I205" s="239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</row>
    <row r="206">
      <c r="A206" s="263"/>
      <c r="B206" s="264"/>
      <c r="C206" s="263"/>
      <c r="D206" s="265"/>
      <c r="E206" s="264"/>
      <c r="F206" s="265"/>
      <c r="G206" s="239"/>
      <c r="H206" s="239"/>
      <c r="I206" s="239"/>
      <c r="J206" s="239"/>
      <c r="K206" s="239"/>
      <c r="L206" s="239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</row>
    <row r="207">
      <c r="A207" s="263"/>
      <c r="B207" s="264"/>
      <c r="C207" s="263"/>
      <c r="D207" s="265"/>
      <c r="E207" s="264"/>
      <c r="F207" s="265"/>
      <c r="G207" s="239"/>
      <c r="H207" s="239"/>
      <c r="I207" s="239"/>
      <c r="J207" s="239"/>
      <c r="K207" s="239"/>
      <c r="L207" s="239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</row>
    <row r="208">
      <c r="A208" s="263"/>
      <c r="B208" s="264"/>
      <c r="C208" s="263"/>
      <c r="D208" s="265"/>
      <c r="E208" s="264"/>
      <c r="F208" s="265"/>
      <c r="G208" s="239"/>
      <c r="H208" s="239"/>
      <c r="I208" s="239"/>
      <c r="J208" s="239"/>
      <c r="K208" s="239"/>
      <c r="L208" s="239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</row>
    <row r="209">
      <c r="A209" s="263"/>
      <c r="B209" s="264"/>
      <c r="C209" s="263"/>
      <c r="D209" s="265"/>
      <c r="E209" s="264"/>
      <c r="F209" s="265"/>
      <c r="G209" s="239"/>
      <c r="H209" s="239"/>
      <c r="I209" s="239"/>
      <c r="J209" s="239"/>
      <c r="K209" s="239"/>
      <c r="L209" s="239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</row>
    <row r="210">
      <c r="A210" s="263"/>
      <c r="B210" s="264"/>
      <c r="C210" s="263"/>
      <c r="D210" s="265"/>
      <c r="E210" s="264"/>
      <c r="F210" s="265"/>
      <c r="G210" s="239"/>
      <c r="H210" s="239"/>
      <c r="I210" s="239"/>
      <c r="J210" s="239"/>
      <c r="K210" s="239"/>
      <c r="L210" s="239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</row>
    <row r="211">
      <c r="A211" s="263"/>
      <c r="B211" s="264"/>
      <c r="C211" s="263"/>
      <c r="D211" s="265"/>
      <c r="E211" s="264"/>
      <c r="F211" s="265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</row>
    <row r="212">
      <c r="A212" s="263"/>
      <c r="B212" s="264"/>
      <c r="C212" s="263"/>
      <c r="D212" s="265"/>
      <c r="E212" s="264"/>
      <c r="F212" s="265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</row>
    <row r="213">
      <c r="A213" s="263"/>
      <c r="B213" s="264"/>
      <c r="C213" s="263"/>
      <c r="D213" s="265"/>
      <c r="E213" s="264"/>
      <c r="F213" s="265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</row>
    <row r="214">
      <c r="A214" s="263"/>
      <c r="B214" s="264"/>
      <c r="C214" s="263"/>
      <c r="D214" s="265"/>
      <c r="E214" s="264"/>
      <c r="F214" s="265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</row>
    <row r="215">
      <c r="A215" s="263"/>
      <c r="B215" s="264"/>
      <c r="C215" s="263"/>
      <c r="D215" s="265"/>
      <c r="E215" s="264"/>
      <c r="F215" s="265"/>
      <c r="G215" s="239"/>
      <c r="H215" s="239"/>
      <c r="I215" s="239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</row>
    <row r="216">
      <c r="A216" s="263"/>
      <c r="B216" s="264"/>
      <c r="C216" s="263"/>
      <c r="D216" s="265"/>
      <c r="E216" s="264"/>
      <c r="F216" s="265"/>
      <c r="G216" s="239"/>
      <c r="H216" s="239"/>
      <c r="I216" s="239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</row>
    <row r="217">
      <c r="A217" s="263"/>
      <c r="B217" s="264"/>
      <c r="C217" s="263"/>
      <c r="D217" s="265"/>
      <c r="E217" s="264"/>
      <c r="F217" s="265"/>
      <c r="G217" s="239"/>
      <c r="H217" s="239"/>
      <c r="I217" s="239"/>
      <c r="J217" s="239"/>
      <c r="K217" s="239"/>
      <c r="L217" s="239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</row>
    <row r="218">
      <c r="A218" s="263"/>
      <c r="B218" s="264"/>
      <c r="C218" s="263"/>
      <c r="D218" s="265"/>
      <c r="E218" s="264"/>
      <c r="F218" s="265"/>
      <c r="G218" s="239"/>
      <c r="H218" s="239"/>
      <c r="I218" s="239"/>
      <c r="J218" s="239"/>
      <c r="K218" s="239"/>
      <c r="L218" s="239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</row>
    <row r="219">
      <c r="A219" s="263"/>
      <c r="B219" s="264"/>
      <c r="C219" s="263"/>
      <c r="D219" s="265"/>
      <c r="E219" s="264"/>
      <c r="F219" s="265"/>
      <c r="G219" s="239"/>
      <c r="H219" s="239"/>
      <c r="I219" s="239"/>
      <c r="J219" s="239"/>
      <c r="K219" s="239"/>
      <c r="L219" s="239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</row>
    <row r="220">
      <c r="A220" s="263"/>
      <c r="B220" s="264"/>
      <c r="C220" s="263"/>
      <c r="D220" s="265"/>
      <c r="E220" s="264"/>
      <c r="F220" s="265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</row>
    <row r="221">
      <c r="A221" s="263"/>
      <c r="B221" s="264"/>
      <c r="C221" s="263"/>
      <c r="D221" s="265"/>
      <c r="E221" s="264"/>
      <c r="F221" s="265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>
      <c r="A222" s="263"/>
      <c r="B222" s="264"/>
      <c r="C222" s="263"/>
      <c r="D222" s="265"/>
      <c r="E222" s="264"/>
      <c r="F222" s="265"/>
      <c r="G222" s="239"/>
      <c r="H222" s="239"/>
      <c r="I222" s="239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>
      <c r="A223" s="263"/>
      <c r="B223" s="264"/>
      <c r="C223" s="263"/>
      <c r="D223" s="265"/>
      <c r="E223" s="264"/>
      <c r="F223" s="265"/>
      <c r="G223" s="239"/>
      <c r="H223" s="239"/>
      <c r="I223" s="239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>
      <c r="A224" s="263"/>
      <c r="B224" s="264"/>
      <c r="C224" s="263"/>
      <c r="D224" s="265"/>
      <c r="E224" s="264"/>
      <c r="F224" s="265"/>
      <c r="G224" s="239"/>
      <c r="H224" s="239"/>
      <c r="I224" s="239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>
      <c r="A225" s="263"/>
      <c r="B225" s="264"/>
      <c r="C225" s="263"/>
      <c r="D225" s="265"/>
      <c r="E225" s="264"/>
      <c r="F225" s="265"/>
      <c r="G225" s="239"/>
      <c r="H225" s="239"/>
      <c r="I225" s="239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>
      <c r="A226" s="263"/>
      <c r="B226" s="264"/>
      <c r="C226" s="263"/>
      <c r="D226" s="265"/>
      <c r="E226" s="264"/>
      <c r="F226" s="265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>
      <c r="A227" s="263"/>
      <c r="B227" s="264"/>
      <c r="C227" s="263"/>
      <c r="D227" s="265"/>
      <c r="E227" s="264"/>
      <c r="F227" s="265"/>
      <c r="G227" s="239"/>
      <c r="H227" s="239"/>
      <c r="I227" s="239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>
      <c r="A228" s="263"/>
      <c r="B228" s="264"/>
      <c r="C228" s="263"/>
      <c r="D228" s="265"/>
      <c r="E228" s="264"/>
      <c r="F228" s="265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>
      <c r="A229" s="263"/>
      <c r="B229" s="264"/>
      <c r="C229" s="263"/>
      <c r="D229" s="265"/>
      <c r="E229" s="264"/>
      <c r="F229" s="265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>
      <c r="A230" s="263"/>
      <c r="B230" s="264"/>
      <c r="C230" s="263"/>
      <c r="D230" s="265"/>
      <c r="E230" s="264"/>
      <c r="F230" s="265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>
      <c r="A231" s="263"/>
      <c r="B231" s="264"/>
      <c r="C231" s="263"/>
      <c r="D231" s="265"/>
      <c r="E231" s="264"/>
      <c r="F231" s="265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>
      <c r="A232" s="263"/>
      <c r="B232" s="264"/>
      <c r="C232" s="263"/>
      <c r="D232" s="265"/>
      <c r="E232" s="264"/>
      <c r="F232" s="265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>
      <c r="A233" s="263"/>
      <c r="B233" s="264"/>
      <c r="C233" s="263"/>
      <c r="D233" s="265"/>
      <c r="E233" s="264"/>
      <c r="F233" s="265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>
      <c r="A234" s="263"/>
      <c r="B234" s="264"/>
      <c r="C234" s="263"/>
      <c r="D234" s="265"/>
      <c r="E234" s="264"/>
      <c r="F234" s="265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>
      <c r="A235" s="263"/>
      <c r="B235" s="264"/>
      <c r="C235" s="263"/>
      <c r="D235" s="265"/>
      <c r="E235" s="264"/>
      <c r="F235" s="265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>
      <c r="A236" s="263"/>
      <c r="B236" s="264"/>
      <c r="C236" s="263"/>
      <c r="D236" s="265"/>
      <c r="E236" s="264"/>
      <c r="F236" s="265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>
      <c r="A237" s="263"/>
      <c r="B237" s="264"/>
      <c r="C237" s="263"/>
      <c r="D237" s="265"/>
      <c r="E237" s="264"/>
      <c r="F237" s="265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>
      <c r="A238" s="263"/>
      <c r="B238" s="264"/>
      <c r="C238" s="263"/>
      <c r="D238" s="265"/>
      <c r="E238" s="264"/>
      <c r="F238" s="265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>
      <c r="A239" s="263"/>
      <c r="B239" s="264"/>
      <c r="C239" s="263"/>
      <c r="D239" s="265"/>
      <c r="E239" s="264"/>
      <c r="F239" s="265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>
      <c r="A240" s="263"/>
      <c r="B240" s="264"/>
      <c r="C240" s="263"/>
      <c r="D240" s="265"/>
      <c r="E240" s="264"/>
      <c r="F240" s="265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>
      <c r="A241" s="263"/>
      <c r="B241" s="264"/>
      <c r="C241" s="263"/>
      <c r="D241" s="265"/>
      <c r="E241" s="264"/>
      <c r="F241" s="265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>
      <c r="A242" s="263"/>
      <c r="B242" s="264"/>
      <c r="C242" s="263"/>
      <c r="D242" s="265"/>
      <c r="E242" s="264"/>
      <c r="F242" s="265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>
      <c r="A243" s="263"/>
      <c r="B243" s="264"/>
      <c r="C243" s="263"/>
      <c r="D243" s="265"/>
      <c r="E243" s="264"/>
      <c r="F243" s="265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>
      <c r="A244" s="263"/>
      <c r="B244" s="264"/>
      <c r="C244" s="263"/>
      <c r="D244" s="265"/>
      <c r="E244" s="264"/>
      <c r="F244" s="265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>
      <c r="A245" s="263"/>
      <c r="B245" s="264"/>
      <c r="C245" s="263"/>
      <c r="D245" s="265"/>
      <c r="E245" s="264"/>
      <c r="F245" s="265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>
      <c r="A246" s="263"/>
      <c r="B246" s="264"/>
      <c r="C246" s="263"/>
      <c r="D246" s="265"/>
      <c r="E246" s="264"/>
      <c r="F246" s="265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>
      <c r="A247" s="263"/>
      <c r="B247" s="264"/>
      <c r="C247" s="263"/>
      <c r="D247" s="265"/>
      <c r="E247" s="264"/>
      <c r="F247" s="265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>
      <c r="A248" s="263"/>
      <c r="B248" s="264"/>
      <c r="C248" s="263"/>
      <c r="D248" s="265"/>
      <c r="E248" s="264"/>
      <c r="F248" s="265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>
      <c r="A249" s="263"/>
      <c r="B249" s="264"/>
      <c r="C249" s="263"/>
      <c r="D249" s="265"/>
      <c r="E249" s="264"/>
      <c r="F249" s="265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>
      <c r="A250" s="263"/>
      <c r="B250" s="264"/>
      <c r="C250" s="263"/>
      <c r="D250" s="265"/>
      <c r="E250" s="264"/>
      <c r="F250" s="265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>
      <c r="A251" s="263"/>
      <c r="B251" s="264"/>
      <c r="C251" s="263"/>
      <c r="D251" s="265"/>
      <c r="E251" s="264"/>
      <c r="F251" s="265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>
      <c r="A252" s="263"/>
      <c r="B252" s="264"/>
      <c r="C252" s="263"/>
      <c r="D252" s="265"/>
      <c r="E252" s="264"/>
      <c r="F252" s="265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>
      <c r="A253" s="263"/>
      <c r="B253" s="264"/>
      <c r="C253" s="263"/>
      <c r="D253" s="265"/>
      <c r="E253" s="264"/>
      <c r="F253" s="265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>
      <c r="A254" s="263"/>
      <c r="B254" s="264"/>
      <c r="C254" s="263"/>
      <c r="D254" s="265"/>
      <c r="E254" s="264"/>
      <c r="F254" s="265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>
      <c r="A255" s="263"/>
      <c r="B255" s="264"/>
      <c r="C255" s="263"/>
      <c r="D255" s="265"/>
      <c r="E255" s="264"/>
      <c r="F255" s="265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>
      <c r="A256" s="263"/>
      <c r="B256" s="264"/>
      <c r="C256" s="263"/>
      <c r="D256" s="265"/>
      <c r="E256" s="264"/>
      <c r="F256" s="265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>
      <c r="A257" s="263"/>
      <c r="B257" s="264"/>
      <c r="C257" s="263"/>
      <c r="D257" s="265"/>
      <c r="E257" s="264"/>
      <c r="F257" s="265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>
      <c r="A258" s="263"/>
      <c r="B258" s="264"/>
      <c r="C258" s="263"/>
      <c r="D258" s="265"/>
      <c r="E258" s="264"/>
      <c r="F258" s="265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>
      <c r="A259" s="263"/>
      <c r="B259" s="264"/>
      <c r="C259" s="263"/>
      <c r="D259" s="265"/>
      <c r="E259" s="264"/>
      <c r="F259" s="265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>
      <c r="A260" s="263"/>
      <c r="B260" s="264"/>
      <c r="C260" s="263"/>
      <c r="D260" s="265"/>
      <c r="E260" s="264"/>
      <c r="F260" s="265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>
      <c r="A261" s="263"/>
      <c r="B261" s="264"/>
      <c r="C261" s="263"/>
      <c r="D261" s="265"/>
      <c r="E261" s="264"/>
      <c r="F261" s="265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>
      <c r="A262" s="263"/>
      <c r="B262" s="264"/>
      <c r="C262" s="263"/>
      <c r="D262" s="265"/>
      <c r="E262" s="264"/>
      <c r="F262" s="265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>
      <c r="A263" s="263"/>
      <c r="B263" s="264"/>
      <c r="C263" s="263"/>
      <c r="D263" s="265"/>
      <c r="E263" s="264"/>
      <c r="F263" s="265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>
      <c r="A264" s="263"/>
      <c r="B264" s="264"/>
      <c r="C264" s="263"/>
      <c r="D264" s="265"/>
      <c r="E264" s="264"/>
      <c r="F264" s="265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>
      <c r="A265" s="263"/>
      <c r="B265" s="264"/>
      <c r="C265" s="263"/>
      <c r="D265" s="265"/>
      <c r="E265" s="264"/>
      <c r="F265" s="265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>
      <c r="A266" s="263"/>
      <c r="B266" s="264"/>
      <c r="C266" s="263"/>
      <c r="D266" s="265"/>
      <c r="E266" s="264"/>
      <c r="F266" s="265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>
      <c r="A267" s="263"/>
      <c r="B267" s="264"/>
      <c r="C267" s="263"/>
      <c r="D267" s="265"/>
      <c r="E267" s="264"/>
      <c r="F267" s="265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>
      <c r="A268" s="263"/>
      <c r="B268" s="264"/>
      <c r="C268" s="263"/>
      <c r="D268" s="265"/>
      <c r="E268" s="264"/>
      <c r="F268" s="265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>
      <c r="A269" s="263"/>
      <c r="B269" s="264"/>
      <c r="C269" s="263"/>
      <c r="D269" s="265"/>
      <c r="E269" s="264"/>
      <c r="F269" s="265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>
      <c r="A270" s="263"/>
      <c r="B270" s="264"/>
      <c r="C270" s="263"/>
      <c r="D270" s="265"/>
      <c r="E270" s="264"/>
      <c r="F270" s="265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>
      <c r="A271" s="263"/>
      <c r="B271" s="264"/>
      <c r="C271" s="263"/>
      <c r="D271" s="265"/>
      <c r="E271" s="264"/>
      <c r="F271" s="265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>
      <c r="A272" s="263"/>
      <c r="B272" s="264"/>
      <c r="C272" s="263"/>
      <c r="D272" s="265"/>
      <c r="E272" s="264"/>
      <c r="F272" s="265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>
      <c r="A273" s="263"/>
      <c r="B273" s="264"/>
      <c r="C273" s="263"/>
      <c r="D273" s="265"/>
      <c r="E273" s="264"/>
      <c r="F273" s="265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>
      <c r="A274" s="263"/>
      <c r="B274" s="264"/>
      <c r="C274" s="263"/>
      <c r="D274" s="265"/>
      <c r="E274" s="264"/>
      <c r="F274" s="265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>
      <c r="A275" s="263"/>
      <c r="B275" s="264"/>
      <c r="C275" s="263"/>
      <c r="D275" s="265"/>
      <c r="E275" s="264"/>
      <c r="F275" s="265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>
      <c r="A276" s="263"/>
      <c r="B276" s="264"/>
      <c r="C276" s="263"/>
      <c r="D276" s="265"/>
      <c r="E276" s="264"/>
      <c r="F276" s="265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>
      <c r="A277" s="263"/>
      <c r="B277" s="264"/>
      <c r="C277" s="263"/>
      <c r="D277" s="265"/>
      <c r="E277" s="264"/>
      <c r="F277" s="265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>
      <c r="A278" s="263"/>
      <c r="B278" s="264"/>
      <c r="C278" s="263"/>
      <c r="D278" s="265"/>
      <c r="E278" s="264"/>
      <c r="F278" s="265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>
      <c r="A279" s="263"/>
      <c r="B279" s="264"/>
      <c r="C279" s="263"/>
      <c r="D279" s="265"/>
      <c r="E279" s="264"/>
      <c r="F279" s="265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>
      <c r="A280" s="263"/>
      <c r="B280" s="264"/>
      <c r="C280" s="263"/>
      <c r="D280" s="265"/>
      <c r="E280" s="264"/>
      <c r="F280" s="265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>
      <c r="A281" s="263"/>
      <c r="B281" s="264"/>
      <c r="C281" s="263"/>
      <c r="D281" s="265"/>
      <c r="E281" s="264"/>
      <c r="F281" s="265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>
      <c r="A282" s="263"/>
      <c r="B282" s="264"/>
      <c r="C282" s="263"/>
      <c r="D282" s="265"/>
      <c r="E282" s="264"/>
      <c r="F282" s="265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>
      <c r="A283" s="263"/>
      <c r="B283" s="264"/>
      <c r="C283" s="263"/>
      <c r="D283" s="265"/>
      <c r="E283" s="264"/>
      <c r="F283" s="265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>
      <c r="A284" s="263"/>
      <c r="B284" s="264"/>
      <c r="C284" s="263"/>
      <c r="D284" s="265"/>
      <c r="E284" s="264"/>
      <c r="F284" s="265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>
      <c r="A285" s="263"/>
      <c r="B285" s="264"/>
      <c r="C285" s="263"/>
      <c r="D285" s="265"/>
      <c r="E285" s="264"/>
      <c r="F285" s="265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>
      <c r="A286" s="263"/>
      <c r="B286" s="264"/>
      <c r="C286" s="263"/>
      <c r="D286" s="265"/>
      <c r="E286" s="264"/>
      <c r="F286" s="265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>
      <c r="A287" s="263"/>
      <c r="B287" s="264"/>
      <c r="C287" s="263"/>
      <c r="D287" s="265"/>
      <c r="E287" s="264"/>
      <c r="F287" s="265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>
      <c r="A288" s="263"/>
      <c r="B288" s="264"/>
      <c r="C288" s="263"/>
      <c r="D288" s="265"/>
      <c r="E288" s="264"/>
      <c r="F288" s="265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>
      <c r="A289" s="263"/>
      <c r="B289" s="264"/>
      <c r="C289" s="263"/>
      <c r="D289" s="265"/>
      <c r="E289" s="264"/>
      <c r="F289" s="265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>
      <c r="A290" s="263"/>
      <c r="B290" s="264"/>
      <c r="C290" s="263"/>
      <c r="D290" s="265"/>
      <c r="E290" s="264"/>
      <c r="F290" s="265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>
      <c r="A291" s="263"/>
      <c r="B291" s="264"/>
      <c r="C291" s="263"/>
      <c r="D291" s="265"/>
      <c r="E291" s="264"/>
      <c r="F291" s="265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>
      <c r="A292" s="263"/>
      <c r="B292" s="264"/>
      <c r="C292" s="263"/>
      <c r="D292" s="265"/>
      <c r="E292" s="264"/>
      <c r="F292" s="265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>
      <c r="A293" s="263"/>
      <c r="B293" s="264"/>
      <c r="C293" s="263"/>
      <c r="D293" s="265"/>
      <c r="E293" s="264"/>
      <c r="F293" s="265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>
      <c r="A294" s="263"/>
      <c r="B294" s="264"/>
      <c r="C294" s="263"/>
      <c r="D294" s="265"/>
      <c r="E294" s="264"/>
      <c r="F294" s="265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>
      <c r="A295" s="263"/>
      <c r="B295" s="264"/>
      <c r="C295" s="263"/>
      <c r="D295" s="265"/>
      <c r="E295" s="264"/>
      <c r="F295" s="265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>
      <c r="A296" s="263"/>
      <c r="B296" s="264"/>
      <c r="C296" s="263"/>
      <c r="D296" s="265"/>
      <c r="E296" s="264"/>
      <c r="F296" s="265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>
      <c r="A297" s="263"/>
      <c r="B297" s="264"/>
      <c r="C297" s="263"/>
      <c r="D297" s="265"/>
      <c r="E297" s="264"/>
      <c r="F297" s="265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>
      <c r="A298" s="263"/>
      <c r="B298" s="264"/>
      <c r="C298" s="263"/>
      <c r="D298" s="265"/>
      <c r="E298" s="264"/>
      <c r="F298" s="265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>
      <c r="A299" s="263"/>
      <c r="B299" s="264"/>
      <c r="C299" s="263"/>
      <c r="D299" s="265"/>
      <c r="E299" s="264"/>
      <c r="F299" s="265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>
      <c r="A300" s="263"/>
      <c r="B300" s="264"/>
      <c r="C300" s="263"/>
      <c r="D300" s="265"/>
      <c r="E300" s="264"/>
      <c r="F300" s="265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>
      <c r="A301" s="263"/>
      <c r="B301" s="264"/>
      <c r="C301" s="263"/>
      <c r="D301" s="265"/>
      <c r="E301" s="264"/>
      <c r="F301" s="265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>
      <c r="A302" s="263"/>
      <c r="B302" s="264"/>
      <c r="C302" s="263"/>
      <c r="D302" s="265"/>
      <c r="E302" s="264"/>
      <c r="F302" s="265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>
      <c r="A303" s="263"/>
      <c r="B303" s="264"/>
      <c r="C303" s="263"/>
      <c r="D303" s="265"/>
      <c r="E303" s="264"/>
      <c r="F303" s="265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>
      <c r="A304" s="263"/>
      <c r="B304" s="264"/>
      <c r="C304" s="263"/>
      <c r="D304" s="265"/>
      <c r="E304" s="264"/>
      <c r="F304" s="265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>
      <c r="A305" s="263"/>
      <c r="B305" s="264"/>
      <c r="C305" s="263"/>
      <c r="D305" s="265"/>
      <c r="E305" s="264"/>
      <c r="F305" s="265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>
      <c r="A306" s="263"/>
      <c r="B306" s="264"/>
      <c r="C306" s="263"/>
      <c r="D306" s="265"/>
      <c r="E306" s="264"/>
      <c r="F306" s="265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>
      <c r="A307" s="263"/>
      <c r="B307" s="264"/>
      <c r="C307" s="263"/>
      <c r="D307" s="265"/>
      <c r="E307" s="264"/>
      <c r="F307" s="265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>
      <c r="A308" s="263"/>
      <c r="B308" s="264"/>
      <c r="C308" s="263"/>
      <c r="D308" s="265"/>
      <c r="E308" s="264"/>
      <c r="F308" s="265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>
      <c r="A309" s="263"/>
      <c r="B309" s="264"/>
      <c r="C309" s="263"/>
      <c r="D309" s="265"/>
      <c r="E309" s="264"/>
      <c r="F309" s="265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>
      <c r="A310" s="263"/>
      <c r="B310" s="264"/>
      <c r="C310" s="263"/>
      <c r="D310" s="265"/>
      <c r="E310" s="264"/>
      <c r="F310" s="265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>
      <c r="A311" s="263"/>
      <c r="B311" s="264"/>
      <c r="C311" s="263"/>
      <c r="D311" s="265"/>
      <c r="E311" s="264"/>
      <c r="F311" s="265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>
      <c r="A312" s="263"/>
      <c r="B312" s="264"/>
      <c r="C312" s="263"/>
      <c r="D312" s="265"/>
      <c r="E312" s="264"/>
      <c r="F312" s="265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>
      <c r="A313" s="263"/>
      <c r="B313" s="264"/>
      <c r="C313" s="263"/>
      <c r="D313" s="265"/>
      <c r="E313" s="264"/>
      <c r="F313" s="265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>
      <c r="A314" s="263"/>
      <c r="B314" s="264"/>
      <c r="C314" s="263"/>
      <c r="D314" s="265"/>
      <c r="E314" s="264"/>
      <c r="F314" s="265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>
      <c r="A315" s="263"/>
      <c r="B315" s="264"/>
      <c r="C315" s="263"/>
      <c r="D315" s="265"/>
      <c r="E315" s="264"/>
      <c r="F315" s="265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>
      <c r="A316" s="263"/>
      <c r="B316" s="264"/>
      <c r="C316" s="263"/>
      <c r="D316" s="265"/>
      <c r="E316" s="264"/>
      <c r="F316" s="265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>
      <c r="A317" s="263"/>
      <c r="B317" s="264"/>
      <c r="C317" s="263"/>
      <c r="D317" s="265"/>
      <c r="E317" s="264"/>
      <c r="F317" s="265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>
      <c r="A318" s="263"/>
      <c r="B318" s="264"/>
      <c r="C318" s="263"/>
      <c r="D318" s="265"/>
      <c r="E318" s="264"/>
      <c r="F318" s="265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>
      <c r="A319" s="263"/>
      <c r="B319" s="264"/>
      <c r="C319" s="263"/>
      <c r="D319" s="265"/>
      <c r="E319" s="264"/>
      <c r="F319" s="265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>
      <c r="A320" s="263"/>
      <c r="B320" s="264"/>
      <c r="C320" s="263"/>
      <c r="D320" s="265"/>
      <c r="E320" s="264"/>
      <c r="F320" s="265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>
      <c r="A321" s="263"/>
      <c r="B321" s="264"/>
      <c r="C321" s="263"/>
      <c r="D321" s="265"/>
      <c r="E321" s="264"/>
      <c r="F321" s="265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>
      <c r="A322" s="263"/>
      <c r="B322" s="264"/>
      <c r="C322" s="263"/>
      <c r="D322" s="265"/>
      <c r="E322" s="264"/>
      <c r="F322" s="265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>
      <c r="A323" s="263"/>
      <c r="B323" s="264"/>
      <c r="C323" s="263"/>
      <c r="D323" s="265"/>
      <c r="E323" s="264"/>
      <c r="F323" s="265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>
      <c r="A324" s="263"/>
      <c r="B324" s="264"/>
      <c r="C324" s="263"/>
      <c r="D324" s="265"/>
      <c r="E324" s="264"/>
      <c r="F324" s="265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>
      <c r="A325" s="263"/>
      <c r="B325" s="264"/>
      <c r="C325" s="263"/>
      <c r="D325" s="265"/>
      <c r="E325" s="264"/>
      <c r="F325" s="265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>
      <c r="A326" s="263"/>
      <c r="B326" s="264"/>
      <c r="C326" s="263"/>
      <c r="D326" s="265"/>
      <c r="E326" s="264"/>
      <c r="F326" s="265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>
      <c r="A327" s="263"/>
      <c r="B327" s="264"/>
      <c r="C327" s="263"/>
      <c r="D327" s="265"/>
      <c r="E327" s="264"/>
      <c r="F327" s="265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>
      <c r="A328" s="263"/>
      <c r="B328" s="264"/>
      <c r="C328" s="263"/>
      <c r="D328" s="265"/>
      <c r="E328" s="264"/>
      <c r="F328" s="265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>
      <c r="A329" s="263"/>
      <c r="B329" s="264"/>
      <c r="C329" s="263"/>
      <c r="D329" s="265"/>
      <c r="E329" s="264"/>
      <c r="F329" s="265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>
      <c r="A330" s="263"/>
      <c r="B330" s="264"/>
      <c r="C330" s="263"/>
      <c r="D330" s="265"/>
      <c r="E330" s="264"/>
      <c r="F330" s="265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>
      <c r="A331" s="263"/>
      <c r="B331" s="264"/>
      <c r="C331" s="263"/>
      <c r="D331" s="265"/>
      <c r="E331" s="264"/>
      <c r="F331" s="265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>
      <c r="A332" s="263"/>
      <c r="B332" s="264"/>
      <c r="C332" s="263"/>
      <c r="D332" s="265"/>
      <c r="E332" s="264"/>
      <c r="F332" s="265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>
      <c r="A333" s="263"/>
      <c r="B333" s="264"/>
      <c r="C333" s="263"/>
      <c r="D333" s="265"/>
      <c r="E333" s="264"/>
      <c r="F333" s="265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>
      <c r="A334" s="263"/>
      <c r="B334" s="264"/>
      <c r="C334" s="263"/>
      <c r="D334" s="265"/>
      <c r="E334" s="264"/>
      <c r="F334" s="265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>
      <c r="A335" s="263"/>
      <c r="B335" s="264"/>
      <c r="C335" s="263"/>
      <c r="D335" s="265"/>
      <c r="E335" s="264"/>
      <c r="F335" s="265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>
      <c r="A336" s="263"/>
      <c r="B336" s="264"/>
      <c r="C336" s="263"/>
      <c r="D336" s="265"/>
      <c r="E336" s="264"/>
      <c r="F336" s="265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>
      <c r="A337" s="263"/>
      <c r="B337" s="264"/>
      <c r="C337" s="263"/>
      <c r="D337" s="265"/>
      <c r="E337" s="264"/>
      <c r="F337" s="265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>
      <c r="A338" s="263"/>
      <c r="B338" s="264"/>
      <c r="C338" s="263"/>
      <c r="D338" s="265"/>
      <c r="E338" s="264"/>
      <c r="F338" s="265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>
      <c r="A339" s="263"/>
      <c r="B339" s="264"/>
      <c r="C339" s="263"/>
      <c r="D339" s="265"/>
      <c r="E339" s="264"/>
      <c r="F339" s="265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>
      <c r="A340" s="263"/>
      <c r="B340" s="264"/>
      <c r="C340" s="263"/>
      <c r="D340" s="265"/>
      <c r="E340" s="264"/>
      <c r="F340" s="265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>
      <c r="A341" s="263"/>
      <c r="B341" s="264"/>
      <c r="C341" s="263"/>
      <c r="D341" s="265"/>
      <c r="E341" s="264"/>
      <c r="F341" s="265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>
      <c r="A342" s="263"/>
      <c r="B342" s="264"/>
      <c r="C342" s="263"/>
      <c r="D342" s="265"/>
      <c r="E342" s="264"/>
      <c r="F342" s="265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>
      <c r="A343" s="263"/>
      <c r="B343" s="264"/>
      <c r="C343" s="263"/>
      <c r="D343" s="265"/>
      <c r="E343" s="264"/>
      <c r="F343" s="265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>
      <c r="A344" s="263"/>
      <c r="B344" s="264"/>
      <c r="C344" s="263"/>
      <c r="D344" s="265"/>
      <c r="E344" s="264"/>
      <c r="F344" s="265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>
      <c r="A345" s="263"/>
      <c r="B345" s="264"/>
      <c r="C345" s="263"/>
      <c r="D345" s="265"/>
      <c r="E345" s="264"/>
      <c r="F345" s="265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>
      <c r="A346" s="263"/>
      <c r="B346" s="264"/>
      <c r="C346" s="263"/>
      <c r="D346" s="265"/>
      <c r="E346" s="264"/>
      <c r="F346" s="265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>
      <c r="A347" s="263"/>
      <c r="B347" s="264"/>
      <c r="C347" s="263"/>
      <c r="D347" s="265"/>
      <c r="E347" s="264"/>
      <c r="F347" s="265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>
      <c r="A348" s="263"/>
      <c r="B348" s="264"/>
      <c r="C348" s="263"/>
      <c r="D348" s="265"/>
      <c r="E348" s="264"/>
      <c r="F348" s="265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>
      <c r="A349" s="263"/>
      <c r="B349" s="264"/>
      <c r="C349" s="263"/>
      <c r="D349" s="265"/>
      <c r="E349" s="264"/>
      <c r="F349" s="265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>
      <c r="A350" s="263"/>
      <c r="B350" s="264"/>
      <c r="C350" s="263"/>
      <c r="D350" s="265"/>
      <c r="E350" s="264"/>
      <c r="F350" s="265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>
      <c r="A351" s="263"/>
      <c r="B351" s="264"/>
      <c r="C351" s="263"/>
      <c r="D351" s="265"/>
      <c r="E351" s="264"/>
      <c r="F351" s="265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>
      <c r="A352" s="263"/>
      <c r="B352" s="264"/>
      <c r="C352" s="263"/>
      <c r="D352" s="265"/>
      <c r="E352" s="264"/>
      <c r="F352" s="265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>
      <c r="A353" s="263"/>
      <c r="B353" s="264"/>
      <c r="C353" s="263"/>
      <c r="D353" s="265"/>
      <c r="E353" s="264"/>
      <c r="F353" s="265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>
      <c r="A354" s="263"/>
      <c r="B354" s="264"/>
      <c r="C354" s="263"/>
      <c r="D354" s="265"/>
      <c r="E354" s="264"/>
      <c r="F354" s="265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>
      <c r="A355" s="263"/>
      <c r="B355" s="264"/>
      <c r="C355" s="263"/>
      <c r="D355" s="265"/>
      <c r="E355" s="264"/>
      <c r="F355" s="265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>
      <c r="A356" s="263"/>
      <c r="B356" s="264"/>
      <c r="C356" s="263"/>
      <c r="D356" s="265"/>
      <c r="E356" s="264"/>
      <c r="F356" s="265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>
      <c r="A357" s="263"/>
      <c r="B357" s="264"/>
      <c r="C357" s="263"/>
      <c r="D357" s="265"/>
      <c r="E357" s="264"/>
      <c r="F357" s="265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>
      <c r="A358" s="263"/>
      <c r="B358" s="264"/>
      <c r="C358" s="263"/>
      <c r="D358" s="265"/>
      <c r="E358" s="264"/>
      <c r="F358" s="265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>
      <c r="A359" s="263"/>
      <c r="B359" s="264"/>
      <c r="C359" s="263"/>
      <c r="D359" s="265"/>
      <c r="E359" s="264"/>
      <c r="F359" s="265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>
      <c r="A360" s="263"/>
      <c r="B360" s="264"/>
      <c r="C360" s="263"/>
      <c r="D360" s="265"/>
      <c r="E360" s="264"/>
      <c r="F360" s="265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>
      <c r="A361" s="263"/>
      <c r="B361" s="264"/>
      <c r="C361" s="263"/>
      <c r="D361" s="265"/>
      <c r="E361" s="264"/>
      <c r="F361" s="265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>
      <c r="A362" s="263"/>
      <c r="B362" s="264"/>
      <c r="C362" s="263"/>
      <c r="D362" s="265"/>
      <c r="E362" s="264"/>
      <c r="F362" s="265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>
      <c r="A363" s="263"/>
      <c r="B363" s="264"/>
      <c r="C363" s="263"/>
      <c r="D363" s="265"/>
      <c r="E363" s="264"/>
      <c r="F363" s="265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>
      <c r="A364" s="263"/>
      <c r="B364" s="264"/>
      <c r="C364" s="263"/>
      <c r="D364" s="265"/>
      <c r="E364" s="264"/>
      <c r="F364" s="265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>
      <c r="A365" s="263"/>
      <c r="B365" s="264"/>
      <c r="C365" s="263"/>
      <c r="D365" s="265"/>
      <c r="E365" s="264"/>
      <c r="F365" s="265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>
      <c r="A366" s="263"/>
      <c r="B366" s="264"/>
      <c r="C366" s="263"/>
      <c r="D366" s="265"/>
      <c r="E366" s="264"/>
      <c r="F366" s="265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>
      <c r="A367" s="263"/>
      <c r="B367" s="264"/>
      <c r="C367" s="263"/>
      <c r="D367" s="265"/>
      <c r="E367" s="264"/>
      <c r="F367" s="265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>
      <c r="A368" s="263"/>
      <c r="B368" s="264"/>
      <c r="C368" s="263"/>
      <c r="D368" s="265"/>
      <c r="E368" s="264"/>
      <c r="F368" s="265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>
      <c r="A369" s="263"/>
      <c r="B369" s="264"/>
      <c r="C369" s="263"/>
      <c r="D369" s="265"/>
      <c r="E369" s="264"/>
      <c r="F369" s="265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>
      <c r="A370" s="263"/>
      <c r="B370" s="264"/>
      <c r="C370" s="263"/>
      <c r="D370" s="265"/>
      <c r="E370" s="264"/>
      <c r="F370" s="265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>
      <c r="A371" s="263"/>
      <c r="B371" s="264"/>
      <c r="C371" s="263"/>
      <c r="D371" s="265"/>
      <c r="E371" s="264"/>
      <c r="F371" s="265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>
      <c r="A372" s="263"/>
      <c r="B372" s="264"/>
      <c r="C372" s="263"/>
      <c r="D372" s="265"/>
      <c r="E372" s="264"/>
      <c r="F372" s="265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>
      <c r="A373" s="263"/>
      <c r="B373" s="264"/>
      <c r="C373" s="263"/>
      <c r="D373" s="265"/>
      <c r="E373" s="264"/>
      <c r="F373" s="265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>
      <c r="A374" s="263"/>
      <c r="B374" s="264"/>
      <c r="C374" s="263"/>
      <c r="D374" s="265"/>
      <c r="E374" s="264"/>
      <c r="F374" s="265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>
      <c r="A375" s="263"/>
      <c r="B375" s="264"/>
      <c r="C375" s="263"/>
      <c r="D375" s="265"/>
      <c r="E375" s="264"/>
      <c r="F375" s="265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>
      <c r="A376" s="263"/>
      <c r="B376" s="264"/>
      <c r="C376" s="263"/>
      <c r="D376" s="265"/>
      <c r="E376" s="264"/>
      <c r="F376" s="265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>
      <c r="A377" s="263"/>
      <c r="B377" s="264"/>
      <c r="C377" s="263"/>
      <c r="D377" s="265"/>
      <c r="E377" s="264"/>
      <c r="F377" s="265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>
      <c r="A378" s="263"/>
      <c r="B378" s="264"/>
      <c r="C378" s="263"/>
      <c r="D378" s="265"/>
      <c r="E378" s="264"/>
      <c r="F378" s="265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>
      <c r="A379" s="263"/>
      <c r="B379" s="264"/>
      <c r="C379" s="263"/>
      <c r="D379" s="265"/>
      <c r="E379" s="264"/>
      <c r="F379" s="265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>
      <c r="A380" s="263"/>
      <c r="B380" s="264"/>
      <c r="C380" s="263"/>
      <c r="D380" s="265"/>
      <c r="E380" s="264"/>
      <c r="F380" s="265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>
      <c r="A381" s="263"/>
      <c r="B381" s="264"/>
      <c r="C381" s="263"/>
      <c r="D381" s="265"/>
      <c r="E381" s="264"/>
      <c r="F381" s="265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>
      <c r="A382" s="263"/>
      <c r="B382" s="264"/>
      <c r="C382" s="263"/>
      <c r="D382" s="265"/>
      <c r="E382" s="264"/>
      <c r="F382" s="265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>
      <c r="A383" s="263"/>
      <c r="B383" s="264"/>
      <c r="C383" s="263"/>
      <c r="D383" s="265"/>
      <c r="E383" s="264"/>
      <c r="F383" s="265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>
      <c r="A384" s="263"/>
      <c r="B384" s="264"/>
      <c r="C384" s="263"/>
      <c r="D384" s="265"/>
      <c r="E384" s="264"/>
      <c r="F384" s="265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>
      <c r="A385" s="263"/>
      <c r="B385" s="264"/>
      <c r="C385" s="263"/>
      <c r="D385" s="265"/>
      <c r="E385" s="264"/>
      <c r="F385" s="265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>
      <c r="A386" s="263"/>
      <c r="B386" s="264"/>
      <c r="C386" s="263"/>
      <c r="D386" s="265"/>
      <c r="E386" s="264"/>
      <c r="F386" s="265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>
      <c r="A387" s="263"/>
      <c r="B387" s="264"/>
      <c r="C387" s="263"/>
      <c r="D387" s="265"/>
      <c r="E387" s="264"/>
      <c r="F387" s="265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>
      <c r="A388" s="263"/>
      <c r="B388" s="264"/>
      <c r="C388" s="263"/>
      <c r="D388" s="265"/>
      <c r="E388" s="264"/>
      <c r="F388" s="265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>
      <c r="A389" s="263"/>
      <c r="B389" s="264"/>
      <c r="C389" s="263"/>
      <c r="D389" s="265"/>
      <c r="E389" s="264"/>
      <c r="F389" s="265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>
      <c r="A390" s="263"/>
      <c r="B390" s="264"/>
      <c r="C390" s="263"/>
      <c r="D390" s="265"/>
      <c r="E390" s="264"/>
      <c r="F390" s="265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>
      <c r="A391" s="263"/>
      <c r="B391" s="264"/>
      <c r="C391" s="263"/>
      <c r="D391" s="265"/>
      <c r="E391" s="264"/>
      <c r="F391" s="265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>
      <c r="A392" s="263"/>
      <c r="B392" s="264"/>
      <c r="C392" s="263"/>
      <c r="D392" s="265"/>
      <c r="E392" s="264"/>
      <c r="F392" s="265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>
      <c r="A393" s="263"/>
      <c r="B393" s="264"/>
      <c r="C393" s="263"/>
      <c r="D393" s="265"/>
      <c r="E393" s="264"/>
      <c r="F393" s="265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>
      <c r="A394" s="263"/>
      <c r="B394" s="264"/>
      <c r="C394" s="263"/>
      <c r="D394" s="265"/>
      <c r="E394" s="264"/>
      <c r="F394" s="265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>
      <c r="A395" s="263"/>
      <c r="B395" s="264"/>
      <c r="C395" s="263"/>
      <c r="D395" s="265"/>
      <c r="E395" s="264"/>
      <c r="F395" s="265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>
      <c r="A396" s="263"/>
      <c r="B396" s="264"/>
      <c r="C396" s="263"/>
      <c r="D396" s="265"/>
      <c r="E396" s="264"/>
      <c r="F396" s="265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>
      <c r="A397" s="263"/>
      <c r="B397" s="264"/>
      <c r="C397" s="263"/>
      <c r="D397" s="265"/>
      <c r="E397" s="264"/>
      <c r="F397" s="265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>
      <c r="A398" s="263"/>
      <c r="B398" s="264"/>
      <c r="C398" s="263"/>
      <c r="D398" s="265"/>
      <c r="E398" s="264"/>
      <c r="F398" s="265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>
      <c r="A399" s="263"/>
      <c r="B399" s="264"/>
      <c r="C399" s="263"/>
      <c r="D399" s="265"/>
      <c r="E399" s="264"/>
      <c r="F399" s="265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>
      <c r="A400" s="263"/>
      <c r="B400" s="264"/>
      <c r="C400" s="263"/>
      <c r="D400" s="265"/>
      <c r="E400" s="264"/>
      <c r="F400" s="265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>
      <c r="A401" s="263"/>
      <c r="B401" s="264"/>
      <c r="C401" s="263"/>
      <c r="D401" s="265"/>
      <c r="E401" s="264"/>
      <c r="F401" s="265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>
      <c r="A402" s="263"/>
      <c r="B402" s="264"/>
      <c r="C402" s="263"/>
      <c r="D402" s="265"/>
      <c r="E402" s="264"/>
      <c r="F402" s="265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>
      <c r="A403" s="263"/>
      <c r="B403" s="264"/>
      <c r="C403" s="263"/>
      <c r="D403" s="265"/>
      <c r="E403" s="264"/>
      <c r="F403" s="265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>
      <c r="A404" s="263"/>
      <c r="B404" s="264"/>
      <c r="C404" s="263"/>
      <c r="D404" s="265"/>
      <c r="E404" s="264"/>
      <c r="F404" s="265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>
      <c r="A405" s="263"/>
      <c r="B405" s="264"/>
      <c r="C405" s="263"/>
      <c r="D405" s="265"/>
      <c r="E405" s="264"/>
      <c r="F405" s="265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>
      <c r="A406" s="263"/>
      <c r="B406" s="264"/>
      <c r="C406" s="263"/>
      <c r="D406" s="265"/>
      <c r="E406" s="264"/>
      <c r="F406" s="265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>
      <c r="A407" s="263"/>
      <c r="B407" s="264"/>
      <c r="C407" s="263"/>
      <c r="D407" s="265"/>
      <c r="E407" s="264"/>
      <c r="F407" s="265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>
      <c r="A408" s="263"/>
      <c r="B408" s="264"/>
      <c r="C408" s="263"/>
      <c r="D408" s="265"/>
      <c r="E408" s="264"/>
      <c r="F408" s="265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>
      <c r="A409" s="263"/>
      <c r="B409" s="264"/>
      <c r="C409" s="263"/>
      <c r="D409" s="265"/>
      <c r="E409" s="264"/>
      <c r="F409" s="265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>
      <c r="A410" s="263"/>
      <c r="B410" s="264"/>
      <c r="C410" s="263"/>
      <c r="D410" s="265"/>
      <c r="E410" s="264"/>
      <c r="F410" s="265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>
      <c r="A411" s="263"/>
      <c r="B411" s="264"/>
      <c r="C411" s="263"/>
      <c r="D411" s="265"/>
      <c r="E411" s="264"/>
      <c r="F411" s="265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>
      <c r="A412" s="263"/>
      <c r="B412" s="264"/>
      <c r="C412" s="263"/>
      <c r="D412" s="265"/>
      <c r="E412" s="264"/>
      <c r="F412" s="265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>
      <c r="A413" s="263"/>
      <c r="B413" s="264"/>
      <c r="C413" s="263"/>
      <c r="D413" s="265"/>
      <c r="E413" s="264"/>
      <c r="F413" s="265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>
      <c r="A414" s="263"/>
      <c r="B414" s="264"/>
      <c r="C414" s="263"/>
      <c r="D414" s="265"/>
      <c r="E414" s="264"/>
      <c r="F414" s="265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>
      <c r="A415" s="263"/>
      <c r="B415" s="264"/>
      <c r="C415" s="263"/>
      <c r="D415" s="265"/>
      <c r="E415" s="264"/>
      <c r="F415" s="265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>
      <c r="A416" s="263"/>
      <c r="B416" s="264"/>
      <c r="C416" s="263"/>
      <c r="D416" s="265"/>
      <c r="E416" s="264"/>
      <c r="F416" s="265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>
      <c r="A417" s="263"/>
      <c r="B417" s="264"/>
      <c r="C417" s="263"/>
      <c r="D417" s="265"/>
      <c r="E417" s="264"/>
      <c r="F417" s="265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>
      <c r="A418" s="263"/>
      <c r="B418" s="264"/>
      <c r="C418" s="263"/>
      <c r="D418" s="265"/>
      <c r="E418" s="264"/>
      <c r="F418" s="265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>
      <c r="A419" s="263"/>
      <c r="B419" s="264"/>
      <c r="C419" s="263"/>
      <c r="D419" s="265"/>
      <c r="E419" s="264"/>
      <c r="F419" s="265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>
      <c r="A420" s="263"/>
      <c r="B420" s="264"/>
      <c r="C420" s="263"/>
      <c r="D420" s="265"/>
      <c r="E420" s="264"/>
      <c r="F420" s="265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>
      <c r="A421" s="263"/>
      <c r="B421" s="264"/>
      <c r="C421" s="263"/>
      <c r="D421" s="265"/>
      <c r="E421" s="264"/>
      <c r="F421" s="265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>
      <c r="A422" s="263"/>
      <c r="B422" s="264"/>
      <c r="C422" s="263"/>
      <c r="D422" s="265"/>
      <c r="E422" s="264"/>
      <c r="F422" s="265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>
      <c r="A423" s="263"/>
      <c r="B423" s="264"/>
      <c r="C423" s="263"/>
      <c r="D423" s="265"/>
      <c r="E423" s="264"/>
      <c r="F423" s="265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>
      <c r="A424" s="263"/>
      <c r="B424" s="264"/>
      <c r="C424" s="263"/>
      <c r="D424" s="265"/>
      <c r="E424" s="264"/>
      <c r="F424" s="265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>
      <c r="A425" s="263"/>
      <c r="B425" s="264"/>
      <c r="C425" s="263"/>
      <c r="D425" s="265"/>
      <c r="E425" s="264"/>
      <c r="F425" s="265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>
      <c r="A426" s="263"/>
      <c r="B426" s="264"/>
      <c r="C426" s="263"/>
      <c r="D426" s="265"/>
      <c r="E426" s="264"/>
      <c r="F426" s="265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>
      <c r="A427" s="263"/>
      <c r="B427" s="264"/>
      <c r="C427" s="263"/>
      <c r="D427" s="265"/>
      <c r="E427" s="264"/>
      <c r="F427" s="265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>
      <c r="A428" s="263"/>
      <c r="B428" s="264"/>
      <c r="C428" s="263"/>
      <c r="D428" s="265"/>
      <c r="E428" s="264"/>
      <c r="F428" s="265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>
      <c r="A429" s="263"/>
      <c r="B429" s="264"/>
      <c r="C429" s="263"/>
      <c r="D429" s="265"/>
      <c r="E429" s="264"/>
      <c r="F429" s="265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>
      <c r="A430" s="263"/>
      <c r="B430" s="264"/>
      <c r="C430" s="263"/>
      <c r="D430" s="265"/>
      <c r="E430" s="264"/>
      <c r="F430" s="265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>
      <c r="A431" s="263"/>
      <c r="B431" s="264"/>
      <c r="C431" s="263"/>
      <c r="D431" s="265"/>
      <c r="E431" s="264"/>
      <c r="F431" s="265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>
      <c r="A432" s="263"/>
      <c r="B432" s="264"/>
      <c r="C432" s="263"/>
      <c r="D432" s="265"/>
      <c r="E432" s="264"/>
      <c r="F432" s="265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>
      <c r="A433" s="263"/>
      <c r="B433" s="264"/>
      <c r="C433" s="263"/>
      <c r="D433" s="265"/>
      <c r="E433" s="264"/>
      <c r="F433" s="265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>
      <c r="A434" s="263"/>
      <c r="B434" s="264"/>
      <c r="C434" s="263"/>
      <c r="D434" s="265"/>
      <c r="E434" s="264"/>
      <c r="F434" s="265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>
      <c r="A435" s="263"/>
      <c r="B435" s="264"/>
      <c r="C435" s="263"/>
      <c r="D435" s="265"/>
      <c r="E435" s="264"/>
      <c r="F435" s="265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>
      <c r="A436" s="263"/>
      <c r="B436" s="264"/>
      <c r="C436" s="263"/>
      <c r="D436" s="265"/>
      <c r="E436" s="264"/>
      <c r="F436" s="265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>
      <c r="A437" s="263"/>
      <c r="B437" s="264"/>
      <c r="C437" s="263"/>
      <c r="D437" s="265"/>
      <c r="E437" s="264"/>
      <c r="F437" s="265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>
      <c r="A438" s="263"/>
      <c r="B438" s="264"/>
      <c r="C438" s="263"/>
      <c r="D438" s="265"/>
      <c r="E438" s="264"/>
      <c r="F438" s="265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>
      <c r="A439" s="263"/>
      <c r="B439" s="264"/>
      <c r="C439" s="263"/>
      <c r="D439" s="265"/>
      <c r="E439" s="264"/>
      <c r="F439" s="265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>
      <c r="A440" s="263"/>
      <c r="B440" s="264"/>
      <c r="C440" s="263"/>
      <c r="D440" s="265"/>
      <c r="E440" s="264"/>
      <c r="F440" s="265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>
      <c r="A441" s="263"/>
      <c r="B441" s="264"/>
      <c r="C441" s="263"/>
      <c r="D441" s="265"/>
      <c r="E441" s="264"/>
      <c r="F441" s="265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>
      <c r="A442" s="263"/>
      <c r="B442" s="264"/>
      <c r="C442" s="263"/>
      <c r="D442" s="265"/>
      <c r="E442" s="264"/>
      <c r="F442" s="265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>
      <c r="A443" s="263"/>
      <c r="B443" s="264"/>
      <c r="C443" s="263"/>
      <c r="D443" s="265"/>
      <c r="E443" s="264"/>
      <c r="F443" s="265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>
      <c r="A444" s="263"/>
      <c r="B444" s="264"/>
      <c r="C444" s="263"/>
      <c r="D444" s="265"/>
      <c r="E444" s="264"/>
      <c r="F444" s="265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>
      <c r="A445" s="263"/>
      <c r="B445" s="264"/>
      <c r="C445" s="263"/>
      <c r="D445" s="265"/>
      <c r="E445" s="264"/>
      <c r="F445" s="265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>
      <c r="A446" s="263"/>
      <c r="B446" s="264"/>
      <c r="C446" s="263"/>
      <c r="D446" s="265"/>
      <c r="E446" s="264"/>
      <c r="F446" s="265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>
      <c r="A447" s="263"/>
      <c r="B447" s="264"/>
      <c r="C447" s="263"/>
      <c r="D447" s="265"/>
      <c r="E447" s="264"/>
      <c r="F447" s="265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>
      <c r="A448" s="263"/>
      <c r="B448" s="264"/>
      <c r="C448" s="263"/>
      <c r="D448" s="265"/>
      <c r="E448" s="264"/>
      <c r="F448" s="265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>
      <c r="A449" s="263"/>
      <c r="B449" s="264"/>
      <c r="C449" s="263"/>
      <c r="D449" s="265"/>
      <c r="E449" s="264"/>
      <c r="F449" s="265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>
      <c r="A450" s="263"/>
      <c r="B450" s="264"/>
      <c r="C450" s="263"/>
      <c r="D450" s="265"/>
      <c r="E450" s="264"/>
      <c r="F450" s="265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>
      <c r="A451" s="263"/>
      <c r="B451" s="264"/>
      <c r="C451" s="263"/>
      <c r="D451" s="265"/>
      <c r="E451" s="264"/>
      <c r="F451" s="265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>
      <c r="A452" s="263"/>
      <c r="B452" s="264"/>
      <c r="C452" s="263"/>
      <c r="D452" s="265"/>
      <c r="E452" s="264"/>
      <c r="F452" s="265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>
      <c r="A453" s="263"/>
      <c r="B453" s="264"/>
      <c r="C453" s="263"/>
      <c r="D453" s="265"/>
      <c r="E453" s="264"/>
      <c r="F453" s="265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>
      <c r="A454" s="263"/>
      <c r="B454" s="264"/>
      <c r="C454" s="263"/>
      <c r="D454" s="265"/>
      <c r="E454" s="264"/>
      <c r="F454" s="265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>
      <c r="A455" s="263"/>
      <c r="B455" s="264"/>
      <c r="C455" s="263"/>
      <c r="D455" s="265"/>
      <c r="E455" s="264"/>
      <c r="F455" s="265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>
      <c r="A456" s="263"/>
      <c r="B456" s="264"/>
      <c r="C456" s="263"/>
      <c r="D456" s="265"/>
      <c r="E456" s="264"/>
      <c r="F456" s="265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>
      <c r="A457" s="263"/>
      <c r="B457" s="264"/>
      <c r="C457" s="263"/>
      <c r="D457" s="265"/>
      <c r="E457" s="264"/>
      <c r="F457" s="265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>
      <c r="A458" s="263"/>
      <c r="B458" s="264"/>
      <c r="C458" s="263"/>
      <c r="D458" s="265"/>
      <c r="E458" s="264"/>
      <c r="F458" s="265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>
      <c r="A459" s="263"/>
      <c r="B459" s="264"/>
      <c r="C459" s="263"/>
      <c r="D459" s="265"/>
      <c r="E459" s="264"/>
      <c r="F459" s="265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>
      <c r="A460" s="263"/>
      <c r="B460" s="264"/>
      <c r="C460" s="263"/>
      <c r="D460" s="265"/>
      <c r="E460" s="264"/>
      <c r="F460" s="265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>
      <c r="A461" s="263"/>
      <c r="B461" s="264"/>
      <c r="C461" s="263"/>
      <c r="D461" s="265"/>
      <c r="E461" s="264"/>
      <c r="F461" s="265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>
      <c r="A462" s="263"/>
      <c r="B462" s="264"/>
      <c r="C462" s="263"/>
      <c r="D462" s="265"/>
      <c r="E462" s="264"/>
      <c r="F462" s="265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>
      <c r="A463" s="263"/>
      <c r="B463" s="264"/>
      <c r="C463" s="263"/>
      <c r="D463" s="265"/>
      <c r="E463" s="264"/>
      <c r="F463" s="265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>
      <c r="A464" s="263"/>
      <c r="B464" s="264"/>
      <c r="C464" s="263"/>
      <c r="D464" s="265"/>
      <c r="E464" s="264"/>
      <c r="F464" s="265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>
      <c r="A465" s="263"/>
      <c r="B465" s="264"/>
      <c r="C465" s="263"/>
      <c r="D465" s="265"/>
      <c r="E465" s="264"/>
      <c r="F465" s="265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>
      <c r="A466" s="263"/>
      <c r="B466" s="264"/>
      <c r="C466" s="263"/>
      <c r="D466" s="265"/>
      <c r="E466" s="264"/>
      <c r="F466" s="265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>
      <c r="A467" s="263"/>
      <c r="B467" s="264"/>
      <c r="C467" s="263"/>
      <c r="D467" s="265"/>
      <c r="E467" s="264"/>
      <c r="F467" s="265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>
      <c r="A468" s="263"/>
      <c r="B468" s="264"/>
      <c r="C468" s="263"/>
      <c r="D468" s="265"/>
      <c r="E468" s="264"/>
      <c r="F468" s="265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>
      <c r="A469" s="263"/>
      <c r="B469" s="264"/>
      <c r="C469" s="263"/>
      <c r="D469" s="265"/>
      <c r="E469" s="264"/>
      <c r="F469" s="265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>
      <c r="A470" s="263"/>
      <c r="B470" s="264"/>
      <c r="C470" s="263"/>
      <c r="D470" s="265"/>
      <c r="E470" s="264"/>
      <c r="F470" s="265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>
      <c r="A471" s="263"/>
      <c r="B471" s="264"/>
      <c r="C471" s="263"/>
      <c r="D471" s="265"/>
      <c r="E471" s="264"/>
      <c r="F471" s="265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>
      <c r="A472" s="263"/>
      <c r="B472" s="264"/>
      <c r="C472" s="263"/>
      <c r="D472" s="265"/>
      <c r="E472" s="264"/>
      <c r="F472" s="265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>
      <c r="A473" s="263"/>
      <c r="B473" s="264"/>
      <c r="C473" s="263"/>
      <c r="D473" s="265"/>
      <c r="E473" s="264"/>
      <c r="F473" s="265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>
      <c r="A474" s="263"/>
      <c r="B474" s="264"/>
      <c r="C474" s="263"/>
      <c r="D474" s="265"/>
      <c r="E474" s="264"/>
      <c r="F474" s="265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>
      <c r="A475" s="263"/>
      <c r="B475" s="264"/>
      <c r="C475" s="263"/>
      <c r="D475" s="265"/>
      <c r="E475" s="264"/>
      <c r="F475" s="265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>
      <c r="A476" s="263"/>
      <c r="B476" s="264"/>
      <c r="C476" s="263"/>
      <c r="D476" s="265"/>
      <c r="E476" s="264"/>
      <c r="F476" s="265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>
      <c r="A477" s="263"/>
      <c r="B477" s="264"/>
      <c r="C477" s="263"/>
      <c r="D477" s="265"/>
      <c r="E477" s="264"/>
      <c r="F477" s="265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>
      <c r="A478" s="263"/>
      <c r="B478" s="264"/>
      <c r="C478" s="263"/>
      <c r="D478" s="265"/>
      <c r="E478" s="264"/>
      <c r="F478" s="265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>
      <c r="A479" s="263"/>
      <c r="B479" s="264"/>
      <c r="C479" s="263"/>
      <c r="D479" s="265"/>
      <c r="E479" s="264"/>
      <c r="F479" s="265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>
      <c r="A480" s="263"/>
      <c r="B480" s="264"/>
      <c r="C480" s="263"/>
      <c r="D480" s="265"/>
      <c r="E480" s="264"/>
      <c r="F480" s="265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>
      <c r="A481" s="263"/>
      <c r="B481" s="264"/>
      <c r="C481" s="263"/>
      <c r="D481" s="265"/>
      <c r="E481" s="264"/>
      <c r="F481" s="265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>
      <c r="A482" s="263"/>
      <c r="B482" s="264"/>
      <c r="C482" s="263"/>
      <c r="D482" s="265"/>
      <c r="E482" s="264"/>
      <c r="F482" s="265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>
      <c r="A483" s="263"/>
      <c r="B483" s="264"/>
      <c r="C483" s="263"/>
      <c r="D483" s="265"/>
      <c r="E483" s="264"/>
      <c r="F483" s="265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>
      <c r="A484" s="263"/>
      <c r="B484" s="264"/>
      <c r="C484" s="263"/>
      <c r="D484" s="265"/>
      <c r="E484" s="264"/>
      <c r="F484" s="265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>
      <c r="A485" s="263"/>
      <c r="B485" s="264"/>
      <c r="C485" s="263"/>
      <c r="D485" s="265"/>
      <c r="E485" s="264"/>
      <c r="F485" s="265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>
      <c r="A486" s="263"/>
      <c r="B486" s="264"/>
      <c r="C486" s="263"/>
      <c r="D486" s="265"/>
      <c r="E486" s="264"/>
      <c r="F486" s="265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>
      <c r="A487" s="263"/>
      <c r="B487" s="264"/>
      <c r="C487" s="263"/>
      <c r="D487" s="265"/>
      <c r="E487" s="264"/>
      <c r="F487" s="265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>
      <c r="A488" s="263"/>
      <c r="B488" s="264"/>
      <c r="C488" s="263"/>
      <c r="D488" s="265"/>
      <c r="E488" s="264"/>
      <c r="F488" s="265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>
      <c r="A489" s="263"/>
      <c r="B489" s="264"/>
      <c r="C489" s="263"/>
      <c r="D489" s="265"/>
      <c r="E489" s="264"/>
      <c r="F489" s="265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>
      <c r="A490" s="263"/>
      <c r="B490" s="264"/>
      <c r="C490" s="263"/>
      <c r="D490" s="265"/>
      <c r="E490" s="264"/>
      <c r="F490" s="265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>
      <c r="A491" s="263"/>
      <c r="B491" s="264"/>
      <c r="C491" s="263"/>
      <c r="D491" s="265"/>
      <c r="E491" s="264"/>
      <c r="F491" s="265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>
      <c r="A492" s="263"/>
      <c r="B492" s="264"/>
      <c r="C492" s="263"/>
      <c r="D492" s="265"/>
      <c r="E492" s="264"/>
      <c r="F492" s="265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>
      <c r="A493" s="263"/>
      <c r="B493" s="264"/>
      <c r="C493" s="263"/>
      <c r="D493" s="265"/>
      <c r="E493" s="264"/>
      <c r="F493" s="265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>
      <c r="A494" s="263"/>
      <c r="B494" s="264"/>
      <c r="C494" s="263"/>
      <c r="D494" s="265"/>
      <c r="E494" s="264"/>
      <c r="F494" s="265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>
      <c r="A495" s="263"/>
      <c r="B495" s="264"/>
      <c r="C495" s="263"/>
      <c r="D495" s="265"/>
      <c r="E495" s="264"/>
      <c r="F495" s="265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>
      <c r="A496" s="263"/>
      <c r="B496" s="264"/>
      <c r="C496" s="263"/>
      <c r="D496" s="265"/>
      <c r="E496" s="264"/>
      <c r="F496" s="265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>
      <c r="A497" s="263"/>
      <c r="B497" s="264"/>
      <c r="C497" s="263"/>
      <c r="D497" s="265"/>
      <c r="E497" s="264"/>
      <c r="F497" s="265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>
      <c r="A498" s="263"/>
      <c r="B498" s="264"/>
      <c r="C498" s="263"/>
      <c r="D498" s="265"/>
      <c r="E498" s="264"/>
      <c r="F498" s="265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>
      <c r="A499" s="263"/>
      <c r="B499" s="264"/>
      <c r="C499" s="263"/>
      <c r="D499" s="265"/>
      <c r="E499" s="264"/>
      <c r="F499" s="265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>
      <c r="A500" s="263"/>
      <c r="B500" s="264"/>
      <c r="C500" s="263"/>
      <c r="D500" s="265"/>
      <c r="E500" s="264"/>
      <c r="F500" s="265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>
      <c r="A501" s="263"/>
      <c r="B501" s="264"/>
      <c r="C501" s="263"/>
      <c r="D501" s="265"/>
      <c r="E501" s="264"/>
      <c r="F501" s="265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>
      <c r="A502" s="263"/>
      <c r="B502" s="264"/>
      <c r="C502" s="263"/>
      <c r="D502" s="265"/>
      <c r="E502" s="264"/>
      <c r="F502" s="265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>
      <c r="A503" s="263"/>
      <c r="B503" s="264"/>
      <c r="C503" s="263"/>
      <c r="D503" s="265"/>
      <c r="E503" s="264"/>
      <c r="F503" s="265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>
      <c r="A504" s="263"/>
      <c r="B504" s="264"/>
      <c r="C504" s="263"/>
      <c r="D504" s="265"/>
      <c r="E504" s="264"/>
      <c r="F504" s="265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>
      <c r="A505" s="263"/>
      <c r="B505" s="264"/>
      <c r="C505" s="263"/>
      <c r="D505" s="265"/>
      <c r="E505" s="264"/>
      <c r="F505" s="265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>
      <c r="A506" s="263"/>
      <c r="B506" s="264"/>
      <c r="C506" s="263"/>
      <c r="D506" s="265"/>
      <c r="E506" s="264"/>
      <c r="F506" s="265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>
      <c r="A507" s="263"/>
      <c r="B507" s="264"/>
      <c r="C507" s="263"/>
      <c r="D507" s="265"/>
      <c r="E507" s="264"/>
      <c r="F507" s="265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>
      <c r="A508" s="263"/>
      <c r="B508" s="264"/>
      <c r="C508" s="263"/>
      <c r="D508" s="265"/>
      <c r="E508" s="264"/>
      <c r="F508" s="265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>
      <c r="A509" s="263"/>
      <c r="B509" s="264"/>
      <c r="C509" s="263"/>
      <c r="D509" s="265"/>
      <c r="E509" s="264"/>
      <c r="F509" s="265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>
      <c r="A510" s="263"/>
      <c r="B510" s="264"/>
      <c r="C510" s="263"/>
      <c r="D510" s="265"/>
      <c r="E510" s="264"/>
      <c r="F510" s="265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>
      <c r="A511" s="263"/>
      <c r="B511" s="264"/>
      <c r="C511" s="263"/>
      <c r="D511" s="265"/>
      <c r="E511" s="264"/>
      <c r="F511" s="265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>
      <c r="A512" s="263"/>
      <c r="B512" s="264"/>
      <c r="C512" s="263"/>
      <c r="D512" s="265"/>
      <c r="E512" s="264"/>
      <c r="F512" s="265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>
      <c r="A513" s="263"/>
      <c r="B513" s="264"/>
      <c r="C513" s="263"/>
      <c r="D513" s="265"/>
      <c r="E513" s="264"/>
      <c r="F513" s="265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>
      <c r="A514" s="263"/>
      <c r="B514" s="264"/>
      <c r="C514" s="263"/>
      <c r="D514" s="265"/>
      <c r="E514" s="264"/>
      <c r="F514" s="265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>
      <c r="A515" s="263"/>
      <c r="B515" s="264"/>
      <c r="C515" s="263"/>
      <c r="D515" s="265"/>
      <c r="E515" s="264"/>
      <c r="F515" s="265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>
      <c r="A516" s="263"/>
      <c r="B516" s="264"/>
      <c r="C516" s="263"/>
      <c r="D516" s="265"/>
      <c r="E516" s="264"/>
      <c r="F516" s="265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>
      <c r="A517" s="263"/>
      <c r="B517" s="264"/>
      <c r="C517" s="263"/>
      <c r="D517" s="265"/>
      <c r="E517" s="264"/>
      <c r="F517" s="265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>
      <c r="A518" s="263"/>
      <c r="B518" s="264"/>
      <c r="C518" s="263"/>
      <c r="D518" s="265"/>
      <c r="E518" s="264"/>
      <c r="F518" s="265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>
      <c r="A519" s="263"/>
      <c r="B519" s="264"/>
      <c r="C519" s="263"/>
      <c r="D519" s="265"/>
      <c r="E519" s="264"/>
      <c r="F519" s="265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>
      <c r="A520" s="263"/>
      <c r="B520" s="264"/>
      <c r="C520" s="263"/>
      <c r="D520" s="265"/>
      <c r="E520" s="264"/>
      <c r="F520" s="265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>
      <c r="A521" s="263"/>
      <c r="B521" s="264"/>
      <c r="C521" s="263"/>
      <c r="D521" s="265"/>
      <c r="E521" s="264"/>
      <c r="F521" s="265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>
      <c r="A522" s="263"/>
      <c r="B522" s="264"/>
      <c r="C522" s="263"/>
      <c r="D522" s="265"/>
      <c r="E522" s="264"/>
      <c r="F522" s="265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>
      <c r="A523" s="263"/>
      <c r="B523" s="264"/>
      <c r="C523" s="263"/>
      <c r="D523" s="265"/>
      <c r="E523" s="264"/>
      <c r="F523" s="265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>
      <c r="A524" s="263"/>
      <c r="B524" s="264"/>
      <c r="C524" s="263"/>
      <c r="D524" s="265"/>
      <c r="E524" s="264"/>
      <c r="F524" s="265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>
      <c r="A525" s="263"/>
      <c r="B525" s="264"/>
      <c r="C525" s="263"/>
      <c r="D525" s="265"/>
      <c r="E525" s="264"/>
      <c r="F525" s="265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>
      <c r="A526" s="263"/>
      <c r="B526" s="264"/>
      <c r="C526" s="263"/>
      <c r="D526" s="265"/>
      <c r="E526" s="264"/>
      <c r="F526" s="265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>
      <c r="A527" s="263"/>
      <c r="B527" s="264"/>
      <c r="C527" s="263"/>
      <c r="D527" s="265"/>
      <c r="E527" s="264"/>
      <c r="F527" s="265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>
      <c r="A528" s="263"/>
      <c r="B528" s="264"/>
      <c r="C528" s="263"/>
      <c r="D528" s="265"/>
      <c r="E528" s="264"/>
      <c r="F528" s="265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>
      <c r="A529" s="263"/>
      <c r="B529" s="264"/>
      <c r="C529" s="263"/>
      <c r="D529" s="265"/>
      <c r="E529" s="264"/>
      <c r="F529" s="265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>
      <c r="A530" s="263"/>
      <c r="B530" s="264"/>
      <c r="C530" s="263"/>
      <c r="D530" s="265"/>
      <c r="E530" s="264"/>
      <c r="F530" s="265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>
      <c r="A531" s="263"/>
      <c r="B531" s="264"/>
      <c r="C531" s="263"/>
      <c r="D531" s="265"/>
      <c r="E531" s="264"/>
      <c r="F531" s="265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>
      <c r="A532" s="263"/>
      <c r="B532" s="264"/>
      <c r="C532" s="263"/>
      <c r="D532" s="265"/>
      <c r="E532" s="264"/>
      <c r="F532" s="265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>
      <c r="A533" s="263"/>
      <c r="B533" s="264"/>
      <c r="C533" s="263"/>
      <c r="D533" s="265"/>
      <c r="E533" s="264"/>
      <c r="F533" s="265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>
      <c r="A534" s="263"/>
      <c r="B534" s="264"/>
      <c r="C534" s="263"/>
      <c r="D534" s="265"/>
      <c r="E534" s="264"/>
      <c r="F534" s="265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>
      <c r="A535" s="263"/>
      <c r="B535" s="264"/>
      <c r="C535" s="263"/>
      <c r="D535" s="265"/>
      <c r="E535" s="264"/>
      <c r="F535" s="265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>
      <c r="A536" s="263"/>
      <c r="B536" s="264"/>
      <c r="C536" s="263"/>
      <c r="D536" s="265"/>
      <c r="E536" s="264"/>
      <c r="F536" s="265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>
      <c r="A537" s="263"/>
      <c r="B537" s="264"/>
      <c r="C537" s="263"/>
      <c r="D537" s="265"/>
      <c r="E537" s="264"/>
      <c r="F537" s="265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>
      <c r="A538" s="263"/>
      <c r="B538" s="264"/>
      <c r="C538" s="263"/>
      <c r="D538" s="265"/>
      <c r="E538" s="264"/>
      <c r="F538" s="265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>
      <c r="A539" s="263"/>
      <c r="B539" s="264"/>
      <c r="C539" s="263"/>
      <c r="D539" s="265"/>
      <c r="E539" s="264"/>
      <c r="F539" s="265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>
      <c r="A540" s="263"/>
      <c r="B540" s="264"/>
      <c r="C540" s="263"/>
      <c r="D540" s="265"/>
      <c r="E540" s="264"/>
      <c r="F540" s="265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>
      <c r="A541" s="263"/>
      <c r="B541" s="264"/>
      <c r="C541" s="263"/>
      <c r="D541" s="265"/>
      <c r="E541" s="264"/>
      <c r="F541" s="265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>
      <c r="A542" s="263"/>
      <c r="B542" s="264"/>
      <c r="C542" s="263"/>
      <c r="D542" s="265"/>
      <c r="E542" s="264"/>
      <c r="F542" s="265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>
      <c r="A543" s="263"/>
      <c r="B543" s="264"/>
      <c r="C543" s="263"/>
      <c r="D543" s="265"/>
      <c r="E543" s="264"/>
      <c r="F543" s="265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>
      <c r="A544" s="263"/>
      <c r="B544" s="264"/>
      <c r="C544" s="263"/>
      <c r="D544" s="265"/>
      <c r="E544" s="264"/>
      <c r="F544" s="265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>
      <c r="A545" s="263"/>
      <c r="B545" s="264"/>
      <c r="C545" s="263"/>
      <c r="D545" s="265"/>
      <c r="E545" s="264"/>
      <c r="F545" s="265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>
      <c r="A546" s="263"/>
      <c r="B546" s="264"/>
      <c r="C546" s="263"/>
      <c r="D546" s="265"/>
      <c r="E546" s="264"/>
      <c r="F546" s="265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>
      <c r="A547" s="263"/>
      <c r="B547" s="264"/>
      <c r="C547" s="263"/>
      <c r="D547" s="265"/>
      <c r="E547" s="264"/>
      <c r="F547" s="265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>
      <c r="A548" s="263"/>
      <c r="B548" s="264"/>
      <c r="C548" s="263"/>
      <c r="D548" s="265"/>
      <c r="E548" s="264"/>
      <c r="F548" s="265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>
      <c r="A549" s="263"/>
      <c r="B549" s="264"/>
      <c r="C549" s="263"/>
      <c r="D549" s="265"/>
      <c r="E549" s="264"/>
      <c r="F549" s="265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>
      <c r="A550" s="263"/>
      <c r="B550" s="264"/>
      <c r="C550" s="263"/>
      <c r="D550" s="265"/>
      <c r="E550" s="264"/>
      <c r="F550" s="265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>
      <c r="A551" s="263"/>
      <c r="B551" s="264"/>
      <c r="C551" s="263"/>
      <c r="D551" s="265"/>
      <c r="E551" s="264"/>
      <c r="F551" s="265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>
      <c r="A552" s="263"/>
      <c r="B552" s="264"/>
      <c r="C552" s="263"/>
      <c r="D552" s="265"/>
      <c r="E552" s="264"/>
      <c r="F552" s="265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>
      <c r="A553" s="263"/>
      <c r="B553" s="264"/>
      <c r="C553" s="263"/>
      <c r="D553" s="265"/>
      <c r="E553" s="264"/>
      <c r="F553" s="265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>
      <c r="A554" s="263"/>
      <c r="B554" s="264"/>
      <c r="C554" s="263"/>
      <c r="D554" s="265"/>
      <c r="E554" s="264"/>
      <c r="F554" s="265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>
      <c r="A555" s="263"/>
      <c r="B555" s="264"/>
      <c r="C555" s="263"/>
      <c r="D555" s="265"/>
      <c r="E555" s="264"/>
      <c r="F555" s="265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>
      <c r="A556" s="263"/>
      <c r="B556" s="264"/>
      <c r="C556" s="263"/>
      <c r="D556" s="265"/>
      <c r="E556" s="264"/>
      <c r="F556" s="265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>
      <c r="A557" s="263"/>
      <c r="B557" s="264"/>
      <c r="C557" s="263"/>
      <c r="D557" s="265"/>
      <c r="E557" s="264"/>
      <c r="F557" s="265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>
      <c r="A558" s="263"/>
      <c r="B558" s="264"/>
      <c r="C558" s="263"/>
      <c r="D558" s="265"/>
      <c r="E558" s="264"/>
      <c r="F558" s="265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>
      <c r="A559" s="263"/>
      <c r="B559" s="264"/>
      <c r="C559" s="263"/>
      <c r="D559" s="265"/>
      <c r="E559" s="264"/>
      <c r="F559" s="265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>
      <c r="A560" s="263"/>
      <c r="B560" s="264"/>
      <c r="C560" s="263"/>
      <c r="D560" s="265"/>
      <c r="E560" s="264"/>
      <c r="F560" s="265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>
      <c r="A561" s="263"/>
      <c r="B561" s="264"/>
      <c r="C561" s="263"/>
      <c r="D561" s="265"/>
      <c r="E561" s="264"/>
      <c r="F561" s="265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>
      <c r="A562" s="263"/>
      <c r="B562" s="264"/>
      <c r="C562" s="263"/>
      <c r="D562" s="265"/>
      <c r="E562" s="264"/>
      <c r="F562" s="265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>
      <c r="A563" s="263"/>
      <c r="B563" s="264"/>
      <c r="C563" s="263"/>
      <c r="D563" s="265"/>
      <c r="E563" s="264"/>
      <c r="F563" s="265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>
      <c r="A564" s="263"/>
      <c r="B564" s="264"/>
      <c r="C564" s="263"/>
      <c r="D564" s="265"/>
      <c r="E564" s="264"/>
      <c r="F564" s="265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>
      <c r="A565" s="263"/>
      <c r="B565" s="264"/>
      <c r="C565" s="263"/>
      <c r="D565" s="265"/>
      <c r="E565" s="264"/>
      <c r="F565" s="265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>
      <c r="A566" s="263"/>
      <c r="B566" s="264"/>
      <c r="C566" s="263"/>
      <c r="D566" s="265"/>
      <c r="E566" s="264"/>
      <c r="F566" s="265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>
      <c r="A567" s="263"/>
      <c r="B567" s="264"/>
      <c r="C567" s="263"/>
      <c r="D567" s="265"/>
      <c r="E567" s="264"/>
      <c r="F567" s="265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>
      <c r="A568" s="263"/>
      <c r="B568" s="264"/>
      <c r="C568" s="263"/>
      <c r="D568" s="265"/>
      <c r="E568" s="264"/>
      <c r="F568" s="265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>
      <c r="A569" s="263"/>
      <c r="B569" s="264"/>
      <c r="C569" s="263"/>
      <c r="D569" s="265"/>
      <c r="E569" s="264"/>
      <c r="F569" s="265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>
      <c r="A570" s="263"/>
      <c r="B570" s="264"/>
      <c r="C570" s="263"/>
      <c r="D570" s="265"/>
      <c r="E570" s="264"/>
      <c r="F570" s="265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>
      <c r="A571" s="263"/>
      <c r="B571" s="264"/>
      <c r="C571" s="263"/>
      <c r="D571" s="265"/>
      <c r="E571" s="264"/>
      <c r="F571" s="265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>
      <c r="A572" s="263"/>
      <c r="B572" s="264"/>
      <c r="C572" s="263"/>
      <c r="D572" s="265"/>
      <c r="E572" s="264"/>
      <c r="F572" s="265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>
      <c r="A573" s="263"/>
      <c r="B573" s="264"/>
      <c r="C573" s="263"/>
      <c r="D573" s="265"/>
      <c r="E573" s="264"/>
      <c r="F573" s="265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>
      <c r="A574" s="263"/>
      <c r="B574" s="264"/>
      <c r="C574" s="263"/>
      <c r="D574" s="265"/>
      <c r="E574" s="264"/>
      <c r="F574" s="265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>
      <c r="A575" s="263"/>
      <c r="B575" s="264"/>
      <c r="C575" s="263"/>
      <c r="D575" s="265"/>
      <c r="E575" s="264"/>
      <c r="F575" s="265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>
      <c r="A576" s="263"/>
      <c r="B576" s="264"/>
      <c r="C576" s="263"/>
      <c r="D576" s="265"/>
      <c r="E576" s="264"/>
      <c r="F576" s="265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>
      <c r="A577" s="263"/>
      <c r="B577" s="264"/>
      <c r="C577" s="263"/>
      <c r="D577" s="265"/>
      <c r="E577" s="264"/>
      <c r="F577" s="265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>
      <c r="A578" s="263"/>
      <c r="B578" s="264"/>
      <c r="C578" s="263"/>
      <c r="D578" s="265"/>
      <c r="E578" s="264"/>
      <c r="F578" s="265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>
      <c r="A579" s="263"/>
      <c r="B579" s="264"/>
      <c r="C579" s="263"/>
      <c r="D579" s="265"/>
      <c r="E579" s="264"/>
      <c r="F579" s="265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>
      <c r="A580" s="263"/>
      <c r="B580" s="264"/>
      <c r="C580" s="263"/>
      <c r="D580" s="265"/>
      <c r="E580" s="264"/>
      <c r="F580" s="265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>
      <c r="A581" s="263"/>
      <c r="B581" s="264"/>
      <c r="C581" s="263"/>
      <c r="D581" s="265"/>
      <c r="E581" s="264"/>
      <c r="F581" s="265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>
      <c r="A582" s="263"/>
      <c r="B582" s="264"/>
      <c r="C582" s="263"/>
      <c r="D582" s="265"/>
      <c r="E582" s="264"/>
      <c r="F582" s="265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>
      <c r="A583" s="263"/>
      <c r="B583" s="264"/>
      <c r="C583" s="263"/>
      <c r="D583" s="265"/>
      <c r="E583" s="264"/>
      <c r="F583" s="265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>
      <c r="A584" s="263"/>
      <c r="B584" s="264"/>
      <c r="C584" s="263"/>
      <c r="D584" s="265"/>
      <c r="E584" s="264"/>
      <c r="F584" s="265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>
      <c r="A585" s="263"/>
      <c r="B585" s="264"/>
      <c r="C585" s="263"/>
      <c r="D585" s="265"/>
      <c r="E585" s="264"/>
      <c r="F585" s="265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>
      <c r="A586" s="263"/>
      <c r="B586" s="264"/>
      <c r="C586" s="263"/>
      <c r="D586" s="265"/>
      <c r="E586" s="264"/>
      <c r="F586" s="265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>
      <c r="A587" s="263"/>
      <c r="B587" s="264"/>
      <c r="C587" s="263"/>
      <c r="D587" s="265"/>
      <c r="E587" s="264"/>
      <c r="F587" s="265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>
      <c r="A588" s="263"/>
      <c r="B588" s="264"/>
      <c r="C588" s="263"/>
      <c r="D588" s="265"/>
      <c r="E588" s="264"/>
      <c r="F588" s="265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>
      <c r="A589" s="263"/>
      <c r="B589" s="264"/>
      <c r="C589" s="263"/>
      <c r="D589" s="265"/>
      <c r="E589" s="264"/>
      <c r="F589" s="265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>
      <c r="A590" s="263"/>
      <c r="B590" s="264"/>
      <c r="C590" s="263"/>
      <c r="D590" s="265"/>
      <c r="E590" s="264"/>
      <c r="F590" s="265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>
      <c r="A591" s="263"/>
      <c r="B591" s="264"/>
      <c r="C591" s="263"/>
      <c r="D591" s="265"/>
      <c r="E591" s="264"/>
      <c r="F591" s="265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>
      <c r="A592" s="263"/>
      <c r="B592" s="264"/>
      <c r="C592" s="263"/>
      <c r="D592" s="265"/>
      <c r="E592" s="264"/>
      <c r="F592" s="265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>
      <c r="A593" s="263"/>
      <c r="B593" s="264"/>
      <c r="C593" s="263"/>
      <c r="D593" s="265"/>
      <c r="E593" s="264"/>
      <c r="F593" s="265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>
      <c r="A594" s="263"/>
      <c r="B594" s="264"/>
      <c r="C594" s="263"/>
      <c r="D594" s="265"/>
      <c r="E594" s="264"/>
      <c r="F594" s="265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>
      <c r="A595" s="263"/>
      <c r="B595" s="264"/>
      <c r="C595" s="263"/>
      <c r="D595" s="265"/>
      <c r="E595" s="264"/>
      <c r="F595" s="265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>
      <c r="A596" s="263"/>
      <c r="B596" s="264"/>
      <c r="C596" s="263"/>
      <c r="D596" s="265"/>
      <c r="E596" s="264"/>
      <c r="F596" s="265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>
      <c r="A597" s="263"/>
      <c r="B597" s="264"/>
      <c r="C597" s="263"/>
      <c r="D597" s="265"/>
      <c r="E597" s="264"/>
      <c r="F597" s="265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>
      <c r="A598" s="263"/>
      <c r="B598" s="264"/>
      <c r="C598" s="263"/>
      <c r="D598" s="265"/>
      <c r="E598" s="264"/>
      <c r="F598" s="265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>
      <c r="A599" s="263"/>
      <c r="B599" s="264"/>
      <c r="C599" s="263"/>
      <c r="D599" s="265"/>
      <c r="E599" s="264"/>
      <c r="F599" s="265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>
      <c r="A600" s="263"/>
      <c r="B600" s="264"/>
      <c r="C600" s="263"/>
      <c r="D600" s="265"/>
      <c r="E600" s="264"/>
      <c r="F600" s="265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>
      <c r="A601" s="263"/>
      <c r="B601" s="264"/>
      <c r="C601" s="263"/>
      <c r="D601" s="265"/>
      <c r="E601" s="264"/>
      <c r="F601" s="265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>
      <c r="A602" s="263"/>
      <c r="B602" s="264"/>
      <c r="C602" s="263"/>
      <c r="D602" s="265"/>
      <c r="E602" s="264"/>
      <c r="F602" s="265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>
      <c r="A603" s="263"/>
      <c r="B603" s="264"/>
      <c r="C603" s="263"/>
      <c r="D603" s="265"/>
      <c r="E603" s="264"/>
      <c r="F603" s="265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>
      <c r="A604" s="263"/>
      <c r="B604" s="264"/>
      <c r="C604" s="263"/>
      <c r="D604" s="265"/>
      <c r="E604" s="264"/>
      <c r="F604" s="265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>
      <c r="A605" s="263"/>
      <c r="B605" s="264"/>
      <c r="C605" s="263"/>
      <c r="D605" s="265"/>
      <c r="E605" s="264"/>
      <c r="F605" s="265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>
      <c r="A606" s="263"/>
      <c r="B606" s="264"/>
      <c r="C606" s="263"/>
      <c r="D606" s="265"/>
      <c r="E606" s="264"/>
      <c r="F606" s="265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>
      <c r="A607" s="263"/>
      <c r="B607" s="264"/>
      <c r="C607" s="263"/>
      <c r="D607" s="265"/>
      <c r="E607" s="264"/>
      <c r="F607" s="265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>
      <c r="A608" s="263"/>
      <c r="B608" s="264"/>
      <c r="C608" s="263"/>
      <c r="D608" s="265"/>
      <c r="E608" s="264"/>
      <c r="F608" s="265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>
      <c r="A609" s="263"/>
      <c r="B609" s="264"/>
      <c r="C609" s="263"/>
      <c r="D609" s="265"/>
      <c r="E609" s="264"/>
      <c r="F609" s="265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>
      <c r="A610" s="263"/>
      <c r="B610" s="264"/>
      <c r="C610" s="263"/>
      <c r="D610" s="265"/>
      <c r="E610" s="264"/>
      <c r="F610" s="265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>
      <c r="A611" s="263"/>
      <c r="B611" s="264"/>
      <c r="C611" s="263"/>
      <c r="D611" s="265"/>
      <c r="E611" s="264"/>
      <c r="F611" s="265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>
      <c r="A612" s="263"/>
      <c r="B612" s="264"/>
      <c r="C612" s="263"/>
      <c r="D612" s="265"/>
      <c r="E612" s="264"/>
      <c r="F612" s="265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>
      <c r="A613" s="263"/>
      <c r="B613" s="264"/>
      <c r="C613" s="263"/>
      <c r="D613" s="265"/>
      <c r="E613" s="264"/>
      <c r="F613" s="265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>
      <c r="A614" s="263"/>
      <c r="B614" s="264"/>
      <c r="C614" s="263"/>
      <c r="D614" s="265"/>
      <c r="E614" s="264"/>
      <c r="F614" s="265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>
      <c r="A615" s="263"/>
      <c r="B615" s="264"/>
      <c r="C615" s="263"/>
      <c r="D615" s="265"/>
      <c r="E615" s="264"/>
      <c r="F615" s="265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>
      <c r="A616" s="263"/>
      <c r="B616" s="264"/>
      <c r="C616" s="263"/>
      <c r="D616" s="265"/>
      <c r="E616" s="264"/>
      <c r="F616" s="265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>
      <c r="A617" s="263"/>
      <c r="B617" s="264"/>
      <c r="C617" s="263"/>
      <c r="D617" s="265"/>
      <c r="E617" s="264"/>
      <c r="F617" s="265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>
      <c r="A618" s="263"/>
      <c r="B618" s="264"/>
      <c r="C618" s="263"/>
      <c r="D618" s="265"/>
      <c r="E618" s="264"/>
      <c r="F618" s="265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>
      <c r="A619" s="263"/>
      <c r="B619" s="264"/>
      <c r="C619" s="263"/>
      <c r="D619" s="265"/>
      <c r="E619" s="264"/>
      <c r="F619" s="265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>
      <c r="A620" s="263"/>
      <c r="B620" s="264"/>
      <c r="C620" s="263"/>
      <c r="D620" s="265"/>
      <c r="E620" s="264"/>
      <c r="F620" s="265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>
      <c r="A621" s="263"/>
      <c r="B621" s="264"/>
      <c r="C621" s="263"/>
      <c r="D621" s="265"/>
      <c r="E621" s="264"/>
      <c r="F621" s="265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>
      <c r="A622" s="263"/>
      <c r="B622" s="264"/>
      <c r="C622" s="263"/>
      <c r="D622" s="265"/>
      <c r="E622" s="264"/>
      <c r="F622" s="265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>
      <c r="A623" s="263"/>
      <c r="B623" s="264"/>
      <c r="C623" s="263"/>
      <c r="D623" s="265"/>
      <c r="E623" s="264"/>
      <c r="F623" s="265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>
      <c r="A624" s="263"/>
      <c r="B624" s="264"/>
      <c r="C624" s="263"/>
      <c r="D624" s="265"/>
      <c r="E624" s="264"/>
      <c r="F624" s="265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>
      <c r="A625" s="263"/>
      <c r="B625" s="264"/>
      <c r="C625" s="263"/>
      <c r="D625" s="265"/>
      <c r="E625" s="264"/>
      <c r="F625" s="265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>
      <c r="A626" s="263"/>
      <c r="B626" s="264"/>
      <c r="C626" s="263"/>
      <c r="D626" s="265"/>
      <c r="E626" s="264"/>
      <c r="F626" s="265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>
      <c r="A627" s="263"/>
      <c r="B627" s="264"/>
      <c r="C627" s="263"/>
      <c r="D627" s="265"/>
      <c r="E627" s="264"/>
      <c r="F627" s="265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>
      <c r="A628" s="263"/>
      <c r="B628" s="264"/>
      <c r="C628" s="263"/>
      <c r="D628" s="265"/>
      <c r="E628" s="264"/>
      <c r="F628" s="265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>
      <c r="A629" s="263"/>
      <c r="B629" s="264"/>
      <c r="C629" s="263"/>
      <c r="D629" s="265"/>
      <c r="E629" s="264"/>
      <c r="F629" s="265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>
      <c r="A630" s="263"/>
      <c r="B630" s="264"/>
      <c r="C630" s="263"/>
      <c r="D630" s="265"/>
      <c r="E630" s="264"/>
      <c r="F630" s="265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>
      <c r="A631" s="263"/>
      <c r="B631" s="264"/>
      <c r="C631" s="263"/>
      <c r="D631" s="265"/>
      <c r="E631" s="264"/>
      <c r="F631" s="265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>
      <c r="A632" s="263"/>
      <c r="B632" s="264"/>
      <c r="C632" s="263"/>
      <c r="D632" s="265"/>
      <c r="E632" s="264"/>
      <c r="F632" s="265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>
      <c r="A633" s="263"/>
      <c r="B633" s="264"/>
      <c r="C633" s="263"/>
      <c r="D633" s="265"/>
      <c r="E633" s="264"/>
      <c r="F633" s="265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>
      <c r="A634" s="263"/>
      <c r="B634" s="264"/>
      <c r="C634" s="263"/>
      <c r="D634" s="265"/>
      <c r="E634" s="264"/>
      <c r="F634" s="265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>
      <c r="A635" s="263"/>
      <c r="B635" s="264"/>
      <c r="C635" s="263"/>
      <c r="D635" s="265"/>
      <c r="E635" s="264"/>
      <c r="F635" s="265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>
      <c r="A636" s="263"/>
      <c r="B636" s="264"/>
      <c r="C636" s="263"/>
      <c r="D636" s="265"/>
      <c r="E636" s="264"/>
      <c r="F636" s="265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>
      <c r="A637" s="263"/>
      <c r="B637" s="264"/>
      <c r="C637" s="263"/>
      <c r="D637" s="265"/>
      <c r="E637" s="264"/>
      <c r="F637" s="265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>
      <c r="A638" s="263"/>
      <c r="B638" s="264"/>
      <c r="C638" s="263"/>
      <c r="D638" s="265"/>
      <c r="E638" s="264"/>
      <c r="F638" s="265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>
      <c r="A639" s="263"/>
      <c r="B639" s="264"/>
      <c r="C639" s="263"/>
      <c r="D639" s="265"/>
      <c r="E639" s="264"/>
      <c r="F639" s="265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>
      <c r="A640" s="263"/>
      <c r="B640" s="264"/>
      <c r="C640" s="263"/>
      <c r="D640" s="265"/>
      <c r="E640" s="264"/>
      <c r="F640" s="265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>
      <c r="A641" s="263"/>
      <c r="B641" s="264"/>
      <c r="C641" s="263"/>
      <c r="D641" s="265"/>
      <c r="E641" s="264"/>
      <c r="F641" s="265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>
      <c r="A642" s="263"/>
      <c r="B642" s="264"/>
      <c r="C642" s="263"/>
      <c r="D642" s="265"/>
      <c r="E642" s="264"/>
      <c r="F642" s="265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>
      <c r="A643" s="263"/>
      <c r="B643" s="264"/>
      <c r="C643" s="263"/>
      <c r="D643" s="265"/>
      <c r="E643" s="264"/>
      <c r="F643" s="265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>
      <c r="A644" s="263"/>
      <c r="B644" s="264"/>
      <c r="C644" s="263"/>
      <c r="D644" s="265"/>
      <c r="E644" s="264"/>
      <c r="F644" s="265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>
      <c r="A645" s="263"/>
      <c r="B645" s="264"/>
      <c r="C645" s="263"/>
      <c r="D645" s="265"/>
      <c r="E645" s="264"/>
      <c r="F645" s="265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>
      <c r="A646" s="263"/>
      <c r="B646" s="264"/>
      <c r="C646" s="263"/>
      <c r="D646" s="265"/>
      <c r="E646" s="264"/>
      <c r="F646" s="265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>
      <c r="A647" s="263"/>
      <c r="B647" s="264"/>
      <c r="C647" s="263"/>
      <c r="D647" s="265"/>
      <c r="E647" s="264"/>
      <c r="F647" s="265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>
      <c r="A648" s="263"/>
      <c r="B648" s="264"/>
      <c r="C648" s="263"/>
      <c r="D648" s="265"/>
      <c r="E648" s="264"/>
      <c r="F648" s="265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>
      <c r="A649" s="263"/>
      <c r="B649" s="264"/>
      <c r="C649" s="263"/>
      <c r="D649" s="265"/>
      <c r="E649" s="264"/>
      <c r="F649" s="265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>
      <c r="A650" s="263"/>
      <c r="B650" s="264"/>
      <c r="C650" s="263"/>
      <c r="D650" s="265"/>
      <c r="E650" s="264"/>
      <c r="F650" s="265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>
      <c r="A651" s="263"/>
      <c r="B651" s="264"/>
      <c r="C651" s="263"/>
      <c r="D651" s="265"/>
      <c r="E651" s="264"/>
      <c r="F651" s="265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>
      <c r="A652" s="263"/>
      <c r="B652" s="264"/>
      <c r="C652" s="263"/>
      <c r="D652" s="265"/>
      <c r="E652" s="264"/>
      <c r="F652" s="265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>
      <c r="A653" s="263"/>
      <c r="B653" s="264"/>
      <c r="C653" s="263"/>
      <c r="D653" s="265"/>
      <c r="E653" s="264"/>
      <c r="F653" s="265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>
      <c r="A654" s="263"/>
      <c r="B654" s="264"/>
      <c r="C654" s="263"/>
      <c r="D654" s="265"/>
      <c r="E654" s="264"/>
      <c r="F654" s="265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>
      <c r="A655" s="263"/>
      <c r="B655" s="264"/>
      <c r="C655" s="263"/>
      <c r="D655" s="265"/>
      <c r="E655" s="264"/>
      <c r="F655" s="265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>
      <c r="A656" s="263"/>
      <c r="B656" s="264"/>
      <c r="C656" s="263"/>
      <c r="D656" s="265"/>
      <c r="E656" s="264"/>
      <c r="F656" s="265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>
      <c r="A657" s="263"/>
      <c r="B657" s="264"/>
      <c r="C657" s="263"/>
      <c r="D657" s="265"/>
      <c r="E657" s="264"/>
      <c r="F657" s="265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>
      <c r="A658" s="263"/>
      <c r="B658" s="264"/>
      <c r="C658" s="263"/>
      <c r="D658" s="265"/>
      <c r="E658" s="264"/>
      <c r="F658" s="265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>
      <c r="A659" s="263"/>
      <c r="B659" s="264"/>
      <c r="C659" s="263"/>
      <c r="D659" s="265"/>
      <c r="E659" s="264"/>
      <c r="F659" s="265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>
      <c r="A660" s="263"/>
      <c r="B660" s="264"/>
      <c r="C660" s="263"/>
      <c r="D660" s="265"/>
      <c r="E660" s="264"/>
      <c r="F660" s="265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>
      <c r="A661" s="263"/>
      <c r="B661" s="264"/>
      <c r="C661" s="263"/>
      <c r="D661" s="265"/>
      <c r="E661" s="264"/>
      <c r="F661" s="265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>
      <c r="A662" s="263"/>
      <c r="B662" s="264"/>
      <c r="C662" s="263"/>
      <c r="D662" s="265"/>
      <c r="E662" s="264"/>
      <c r="F662" s="265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>
      <c r="A663" s="263"/>
      <c r="B663" s="264"/>
      <c r="C663" s="263"/>
      <c r="D663" s="265"/>
      <c r="E663" s="264"/>
      <c r="F663" s="265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>
      <c r="A664" s="263"/>
      <c r="B664" s="264"/>
      <c r="C664" s="263"/>
      <c r="D664" s="265"/>
      <c r="E664" s="264"/>
      <c r="F664" s="265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>
      <c r="A665" s="263"/>
      <c r="B665" s="264"/>
      <c r="C665" s="263"/>
      <c r="D665" s="265"/>
      <c r="E665" s="264"/>
      <c r="F665" s="265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>
      <c r="A666" s="263"/>
      <c r="B666" s="264"/>
      <c r="C666" s="263"/>
      <c r="D666" s="265"/>
      <c r="E666" s="264"/>
      <c r="F666" s="265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>
      <c r="A667" s="263"/>
      <c r="B667" s="264"/>
      <c r="C667" s="263"/>
      <c r="D667" s="265"/>
      <c r="E667" s="264"/>
      <c r="F667" s="265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>
      <c r="A668" s="263"/>
      <c r="B668" s="264"/>
      <c r="C668" s="263"/>
      <c r="D668" s="265"/>
      <c r="E668" s="264"/>
      <c r="F668" s="265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>
      <c r="A669" s="263"/>
      <c r="B669" s="264"/>
      <c r="C669" s="263"/>
      <c r="D669" s="265"/>
      <c r="E669" s="264"/>
      <c r="F669" s="265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>
      <c r="A670" s="263"/>
      <c r="B670" s="264"/>
      <c r="C670" s="263"/>
      <c r="D670" s="265"/>
      <c r="E670" s="264"/>
      <c r="F670" s="265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>
      <c r="A671" s="263"/>
      <c r="B671" s="264"/>
      <c r="C671" s="263"/>
      <c r="D671" s="265"/>
      <c r="E671" s="264"/>
      <c r="F671" s="265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>
      <c r="A672" s="263"/>
      <c r="B672" s="264"/>
      <c r="C672" s="263"/>
      <c r="D672" s="265"/>
      <c r="E672" s="264"/>
      <c r="F672" s="265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>
      <c r="A673" s="263"/>
      <c r="B673" s="264"/>
      <c r="C673" s="263"/>
      <c r="D673" s="265"/>
      <c r="E673" s="264"/>
      <c r="F673" s="265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>
      <c r="A674" s="263"/>
      <c r="B674" s="264"/>
      <c r="C674" s="263"/>
      <c r="D674" s="265"/>
      <c r="E674" s="264"/>
      <c r="F674" s="265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>
      <c r="A675" s="263"/>
      <c r="B675" s="264"/>
      <c r="C675" s="263"/>
      <c r="D675" s="265"/>
      <c r="E675" s="264"/>
      <c r="F675" s="265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>
      <c r="A676" s="263"/>
      <c r="B676" s="264"/>
      <c r="C676" s="263"/>
      <c r="D676" s="265"/>
      <c r="E676" s="264"/>
      <c r="F676" s="265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>
      <c r="A677" s="263"/>
      <c r="B677" s="264"/>
      <c r="C677" s="263"/>
      <c r="D677" s="265"/>
      <c r="E677" s="264"/>
      <c r="F677" s="265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>
      <c r="A678" s="263"/>
      <c r="B678" s="264"/>
      <c r="C678" s="263"/>
      <c r="D678" s="265"/>
      <c r="E678" s="264"/>
      <c r="F678" s="265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>
      <c r="A679" s="263"/>
      <c r="B679" s="264"/>
      <c r="C679" s="263"/>
      <c r="D679" s="265"/>
      <c r="E679" s="264"/>
      <c r="F679" s="265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>
      <c r="A680" s="263"/>
      <c r="B680" s="264"/>
      <c r="C680" s="263"/>
      <c r="D680" s="265"/>
      <c r="E680" s="264"/>
      <c r="F680" s="265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>
      <c r="A681" s="263"/>
      <c r="B681" s="264"/>
      <c r="C681" s="263"/>
      <c r="D681" s="265"/>
      <c r="E681" s="264"/>
      <c r="F681" s="265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>
      <c r="A682" s="263"/>
      <c r="B682" s="264"/>
      <c r="C682" s="263"/>
      <c r="D682" s="265"/>
      <c r="E682" s="264"/>
      <c r="F682" s="265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>
      <c r="A683" s="263"/>
      <c r="B683" s="264"/>
      <c r="C683" s="263"/>
      <c r="D683" s="265"/>
      <c r="E683" s="264"/>
      <c r="F683" s="265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>
      <c r="A684" s="263"/>
      <c r="B684" s="264"/>
      <c r="C684" s="263"/>
      <c r="D684" s="265"/>
      <c r="E684" s="264"/>
      <c r="F684" s="265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>
      <c r="A685" s="263"/>
      <c r="B685" s="264"/>
      <c r="C685" s="263"/>
      <c r="D685" s="265"/>
      <c r="E685" s="264"/>
      <c r="F685" s="265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>
      <c r="A686" s="263"/>
      <c r="B686" s="264"/>
      <c r="C686" s="263"/>
      <c r="D686" s="265"/>
      <c r="E686" s="264"/>
      <c r="F686" s="265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>
      <c r="A687" s="263"/>
      <c r="B687" s="264"/>
      <c r="C687" s="263"/>
      <c r="D687" s="265"/>
      <c r="E687" s="264"/>
      <c r="F687" s="265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>
      <c r="A688" s="263"/>
      <c r="B688" s="264"/>
      <c r="C688" s="263"/>
      <c r="D688" s="265"/>
      <c r="E688" s="264"/>
      <c r="F688" s="265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>
      <c r="A689" s="263"/>
      <c r="B689" s="264"/>
      <c r="C689" s="263"/>
      <c r="D689" s="265"/>
      <c r="E689" s="264"/>
      <c r="F689" s="265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>
      <c r="A690" s="263"/>
      <c r="B690" s="264"/>
      <c r="C690" s="263"/>
      <c r="D690" s="265"/>
      <c r="E690" s="264"/>
      <c r="F690" s="265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>
      <c r="A691" s="263"/>
      <c r="B691" s="264"/>
      <c r="C691" s="263"/>
      <c r="D691" s="265"/>
      <c r="E691" s="264"/>
      <c r="F691" s="265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>
      <c r="A692" s="263"/>
      <c r="B692" s="264"/>
      <c r="C692" s="263"/>
      <c r="D692" s="265"/>
      <c r="E692" s="264"/>
      <c r="F692" s="265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>
      <c r="A693" s="263"/>
      <c r="B693" s="264"/>
      <c r="C693" s="263"/>
      <c r="D693" s="265"/>
      <c r="E693" s="264"/>
      <c r="F693" s="265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>
      <c r="A694" s="263"/>
      <c r="B694" s="264"/>
      <c r="C694" s="263"/>
      <c r="D694" s="265"/>
      <c r="E694" s="264"/>
      <c r="F694" s="265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>
      <c r="A695" s="263"/>
      <c r="B695" s="264"/>
      <c r="C695" s="263"/>
      <c r="D695" s="265"/>
      <c r="E695" s="264"/>
      <c r="F695" s="265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>
      <c r="A696" s="263"/>
      <c r="B696" s="264"/>
      <c r="C696" s="263"/>
      <c r="D696" s="265"/>
      <c r="E696" s="264"/>
      <c r="F696" s="265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>
      <c r="A697" s="263"/>
      <c r="B697" s="264"/>
      <c r="C697" s="263"/>
      <c r="D697" s="265"/>
      <c r="E697" s="264"/>
      <c r="F697" s="265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>
      <c r="A698" s="263"/>
      <c r="B698" s="264"/>
      <c r="C698" s="263"/>
      <c r="D698" s="265"/>
      <c r="E698" s="264"/>
      <c r="F698" s="265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>
      <c r="A699" s="263"/>
      <c r="B699" s="264"/>
      <c r="C699" s="263"/>
      <c r="D699" s="265"/>
      <c r="E699" s="264"/>
      <c r="F699" s="265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>
      <c r="A700" s="263"/>
      <c r="B700" s="264"/>
      <c r="C700" s="263"/>
      <c r="D700" s="265"/>
      <c r="E700" s="264"/>
      <c r="F700" s="265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>
      <c r="A701" s="263"/>
      <c r="B701" s="264"/>
      <c r="C701" s="263"/>
      <c r="D701" s="265"/>
      <c r="E701" s="264"/>
      <c r="F701" s="265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>
      <c r="A702" s="263"/>
      <c r="B702" s="264"/>
      <c r="C702" s="263"/>
      <c r="D702" s="265"/>
      <c r="E702" s="264"/>
      <c r="F702" s="265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>
      <c r="A703" s="263"/>
      <c r="B703" s="264"/>
      <c r="C703" s="263"/>
      <c r="D703" s="265"/>
      <c r="E703" s="264"/>
      <c r="F703" s="265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>
      <c r="A704" s="263"/>
      <c r="B704" s="264"/>
      <c r="C704" s="263"/>
      <c r="D704" s="265"/>
      <c r="E704" s="264"/>
      <c r="F704" s="265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>
      <c r="A705" s="263"/>
      <c r="B705" s="264"/>
      <c r="C705" s="263"/>
      <c r="D705" s="265"/>
      <c r="E705" s="264"/>
      <c r="F705" s="265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>
      <c r="A706" s="263"/>
      <c r="B706" s="264"/>
      <c r="C706" s="263"/>
      <c r="D706" s="265"/>
      <c r="E706" s="264"/>
      <c r="F706" s="265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>
      <c r="A707" s="263"/>
      <c r="B707" s="264"/>
      <c r="C707" s="263"/>
      <c r="D707" s="265"/>
      <c r="E707" s="264"/>
      <c r="F707" s="265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>
      <c r="A708" s="263"/>
      <c r="B708" s="264"/>
      <c r="C708" s="263"/>
      <c r="D708" s="265"/>
      <c r="E708" s="264"/>
      <c r="F708" s="265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>
      <c r="A709" s="263"/>
      <c r="B709" s="264"/>
      <c r="C709" s="263"/>
      <c r="D709" s="265"/>
      <c r="E709" s="264"/>
      <c r="F709" s="265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>
      <c r="A710" s="263"/>
      <c r="B710" s="264"/>
      <c r="C710" s="263"/>
      <c r="D710" s="265"/>
      <c r="E710" s="264"/>
      <c r="F710" s="265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>
      <c r="A711" s="263"/>
      <c r="B711" s="264"/>
      <c r="C711" s="263"/>
      <c r="D711" s="265"/>
      <c r="E711" s="264"/>
      <c r="F711" s="265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>
      <c r="A712" s="263"/>
      <c r="B712" s="264"/>
      <c r="C712" s="263"/>
      <c r="D712" s="265"/>
      <c r="E712" s="264"/>
      <c r="F712" s="265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>
      <c r="A713" s="263"/>
      <c r="B713" s="264"/>
      <c r="C713" s="263"/>
      <c r="D713" s="265"/>
      <c r="E713" s="264"/>
      <c r="F713" s="265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>
      <c r="A714" s="263"/>
      <c r="B714" s="264"/>
      <c r="C714" s="263"/>
      <c r="D714" s="265"/>
      <c r="E714" s="264"/>
      <c r="F714" s="265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>
      <c r="A715" s="263"/>
      <c r="B715" s="264"/>
      <c r="C715" s="263"/>
      <c r="D715" s="265"/>
      <c r="E715" s="264"/>
      <c r="F715" s="265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>
      <c r="A716" s="263"/>
      <c r="B716" s="264"/>
      <c r="C716" s="263"/>
      <c r="D716" s="265"/>
      <c r="E716" s="264"/>
      <c r="F716" s="265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>
      <c r="A717" s="263"/>
      <c r="B717" s="264"/>
      <c r="C717" s="263"/>
      <c r="D717" s="265"/>
      <c r="E717" s="264"/>
      <c r="F717" s="265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>
      <c r="A718" s="263"/>
      <c r="B718" s="264"/>
      <c r="C718" s="263"/>
      <c r="D718" s="265"/>
      <c r="E718" s="264"/>
      <c r="F718" s="265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>
      <c r="A719" s="263"/>
      <c r="B719" s="264"/>
      <c r="C719" s="263"/>
      <c r="D719" s="265"/>
      <c r="E719" s="264"/>
      <c r="F719" s="265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>
      <c r="A720" s="263"/>
      <c r="B720" s="264"/>
      <c r="C720" s="263"/>
      <c r="D720" s="265"/>
      <c r="E720" s="264"/>
      <c r="F720" s="265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>
      <c r="A721" s="263"/>
      <c r="B721" s="264"/>
      <c r="C721" s="263"/>
      <c r="D721" s="265"/>
      <c r="E721" s="264"/>
      <c r="F721" s="265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>
      <c r="A722" s="263"/>
      <c r="B722" s="264"/>
      <c r="C722" s="263"/>
      <c r="D722" s="265"/>
      <c r="E722" s="264"/>
      <c r="F722" s="265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>
      <c r="A723" s="263"/>
      <c r="B723" s="264"/>
      <c r="C723" s="263"/>
      <c r="D723" s="265"/>
      <c r="E723" s="264"/>
      <c r="F723" s="265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>
      <c r="A724" s="263"/>
      <c r="B724" s="264"/>
      <c r="C724" s="263"/>
      <c r="D724" s="265"/>
      <c r="E724" s="264"/>
      <c r="F724" s="265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>
      <c r="A725" s="263"/>
      <c r="B725" s="264"/>
      <c r="C725" s="263"/>
      <c r="D725" s="265"/>
      <c r="E725" s="264"/>
      <c r="F725" s="265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>
      <c r="A726" s="263"/>
      <c r="B726" s="264"/>
      <c r="C726" s="263"/>
      <c r="D726" s="265"/>
      <c r="E726" s="264"/>
      <c r="F726" s="265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>
      <c r="A727" s="263"/>
      <c r="B727" s="264"/>
      <c r="C727" s="263"/>
      <c r="D727" s="265"/>
      <c r="E727" s="264"/>
      <c r="F727" s="265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>
      <c r="A728" s="263"/>
      <c r="B728" s="264"/>
      <c r="C728" s="263"/>
      <c r="D728" s="265"/>
      <c r="E728" s="264"/>
      <c r="F728" s="265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>
      <c r="A729" s="263"/>
      <c r="B729" s="264"/>
      <c r="C729" s="263"/>
      <c r="D729" s="265"/>
      <c r="E729" s="264"/>
      <c r="F729" s="265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>
      <c r="A730" s="263"/>
      <c r="B730" s="264"/>
      <c r="C730" s="263"/>
      <c r="D730" s="265"/>
      <c r="E730" s="264"/>
      <c r="F730" s="265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>
      <c r="A731" s="263"/>
      <c r="B731" s="264"/>
      <c r="C731" s="263"/>
      <c r="D731" s="265"/>
      <c r="E731" s="264"/>
      <c r="F731" s="265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>
      <c r="A732" s="263"/>
      <c r="B732" s="264"/>
      <c r="C732" s="263"/>
      <c r="D732" s="265"/>
      <c r="E732" s="264"/>
      <c r="F732" s="265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>
      <c r="A733" s="263"/>
      <c r="B733" s="264"/>
      <c r="C733" s="263"/>
      <c r="D733" s="265"/>
      <c r="E733" s="264"/>
      <c r="F733" s="265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>
      <c r="A734" s="263"/>
      <c r="B734" s="264"/>
      <c r="C734" s="263"/>
      <c r="D734" s="265"/>
      <c r="E734" s="264"/>
      <c r="F734" s="265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>
      <c r="A735" s="263"/>
      <c r="B735" s="264"/>
      <c r="C735" s="263"/>
      <c r="D735" s="265"/>
      <c r="E735" s="264"/>
      <c r="F735" s="265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>
      <c r="A736" s="263"/>
      <c r="B736" s="264"/>
      <c r="C736" s="263"/>
      <c r="D736" s="265"/>
      <c r="E736" s="264"/>
      <c r="F736" s="265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>
      <c r="A737" s="263"/>
      <c r="B737" s="264"/>
      <c r="C737" s="263"/>
      <c r="D737" s="265"/>
      <c r="E737" s="264"/>
      <c r="F737" s="265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>
      <c r="A738" s="263"/>
      <c r="B738" s="264"/>
      <c r="C738" s="263"/>
      <c r="D738" s="265"/>
      <c r="E738" s="264"/>
      <c r="F738" s="265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>
      <c r="A739" s="263"/>
      <c r="B739" s="264"/>
      <c r="C739" s="263"/>
      <c r="D739" s="265"/>
      <c r="E739" s="264"/>
      <c r="F739" s="265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>
      <c r="A740" s="263"/>
      <c r="B740" s="264"/>
      <c r="C740" s="263"/>
      <c r="D740" s="265"/>
      <c r="E740" s="264"/>
      <c r="F740" s="265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>
      <c r="A741" s="263"/>
      <c r="B741" s="264"/>
      <c r="C741" s="263"/>
      <c r="D741" s="265"/>
      <c r="E741" s="264"/>
      <c r="F741" s="265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>
      <c r="A742" s="263"/>
      <c r="B742" s="264"/>
      <c r="C742" s="263"/>
      <c r="D742" s="265"/>
      <c r="E742" s="264"/>
      <c r="F742" s="265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>
      <c r="A743" s="263"/>
      <c r="B743" s="264"/>
      <c r="C743" s="263"/>
      <c r="D743" s="265"/>
      <c r="E743" s="264"/>
      <c r="F743" s="265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>
      <c r="A744" s="263"/>
      <c r="B744" s="264"/>
      <c r="C744" s="263"/>
      <c r="D744" s="265"/>
      <c r="E744" s="264"/>
      <c r="F744" s="265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>
      <c r="A745" s="263"/>
      <c r="B745" s="264"/>
      <c r="C745" s="263"/>
      <c r="D745" s="265"/>
      <c r="E745" s="264"/>
      <c r="F745" s="265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>
      <c r="A746" s="263"/>
      <c r="B746" s="264"/>
      <c r="C746" s="263"/>
      <c r="D746" s="265"/>
      <c r="E746" s="264"/>
      <c r="F746" s="265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>
      <c r="A747" s="263"/>
      <c r="B747" s="264"/>
      <c r="C747" s="263"/>
      <c r="D747" s="265"/>
      <c r="E747" s="264"/>
      <c r="F747" s="265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>
      <c r="A748" s="263"/>
      <c r="B748" s="264"/>
      <c r="C748" s="263"/>
      <c r="D748" s="265"/>
      <c r="E748" s="264"/>
      <c r="F748" s="265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>
      <c r="A749" s="263"/>
      <c r="B749" s="264"/>
      <c r="C749" s="263"/>
      <c r="D749" s="265"/>
      <c r="E749" s="264"/>
      <c r="F749" s="265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>
      <c r="A750" s="263"/>
      <c r="B750" s="264"/>
      <c r="C750" s="263"/>
      <c r="D750" s="265"/>
      <c r="E750" s="264"/>
      <c r="F750" s="265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>
      <c r="A751" s="263"/>
      <c r="B751" s="264"/>
      <c r="C751" s="263"/>
      <c r="D751" s="265"/>
      <c r="E751" s="264"/>
      <c r="F751" s="265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>
      <c r="A752" s="263"/>
      <c r="B752" s="264"/>
      <c r="C752" s="263"/>
      <c r="D752" s="265"/>
      <c r="E752" s="264"/>
      <c r="F752" s="265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>
      <c r="A753" s="263"/>
      <c r="B753" s="264"/>
      <c r="C753" s="263"/>
      <c r="D753" s="265"/>
      <c r="E753" s="264"/>
      <c r="F753" s="265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>
      <c r="A754" s="263"/>
      <c r="B754" s="264"/>
      <c r="C754" s="263"/>
      <c r="D754" s="265"/>
      <c r="E754" s="264"/>
      <c r="F754" s="265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>
      <c r="A755" s="263"/>
      <c r="B755" s="264"/>
      <c r="C755" s="263"/>
      <c r="D755" s="265"/>
      <c r="E755" s="264"/>
      <c r="F755" s="265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>
      <c r="A756" s="263"/>
      <c r="B756" s="264"/>
      <c r="C756" s="263"/>
      <c r="D756" s="265"/>
      <c r="E756" s="264"/>
      <c r="F756" s="265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>
      <c r="A757" s="263"/>
      <c r="B757" s="264"/>
      <c r="C757" s="263"/>
      <c r="D757" s="265"/>
      <c r="E757" s="264"/>
      <c r="F757" s="265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>
      <c r="A758" s="263"/>
      <c r="B758" s="264"/>
      <c r="C758" s="263"/>
      <c r="D758" s="265"/>
      <c r="E758" s="264"/>
      <c r="F758" s="265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>
      <c r="A759" s="263"/>
      <c r="B759" s="264"/>
      <c r="C759" s="263"/>
      <c r="D759" s="265"/>
      <c r="E759" s="264"/>
      <c r="F759" s="265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>
      <c r="A760" s="263"/>
      <c r="B760" s="264"/>
      <c r="C760" s="263"/>
      <c r="D760" s="265"/>
      <c r="E760" s="264"/>
      <c r="F760" s="265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>
      <c r="A761" s="263"/>
      <c r="B761" s="264"/>
      <c r="C761" s="263"/>
      <c r="D761" s="265"/>
      <c r="E761" s="264"/>
      <c r="F761" s="265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>
      <c r="A762" s="263"/>
      <c r="B762" s="264"/>
      <c r="C762" s="263"/>
      <c r="D762" s="265"/>
      <c r="E762" s="264"/>
      <c r="F762" s="265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>
      <c r="A763" s="263"/>
      <c r="B763" s="264"/>
      <c r="C763" s="263"/>
      <c r="D763" s="265"/>
      <c r="E763" s="264"/>
      <c r="F763" s="265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>
      <c r="A764" s="263"/>
      <c r="B764" s="264"/>
      <c r="C764" s="263"/>
      <c r="D764" s="265"/>
      <c r="E764" s="264"/>
      <c r="F764" s="265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>
      <c r="A765" s="263"/>
      <c r="B765" s="264"/>
      <c r="C765" s="263"/>
      <c r="D765" s="265"/>
      <c r="E765" s="264"/>
      <c r="F765" s="265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>
      <c r="A766" s="263"/>
      <c r="B766" s="264"/>
      <c r="C766" s="263"/>
      <c r="D766" s="265"/>
      <c r="E766" s="264"/>
      <c r="F766" s="265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>
      <c r="A767" s="263"/>
      <c r="B767" s="264"/>
      <c r="C767" s="263"/>
      <c r="D767" s="265"/>
      <c r="E767" s="264"/>
      <c r="F767" s="265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>
      <c r="A768" s="263"/>
      <c r="B768" s="264"/>
      <c r="C768" s="263"/>
      <c r="D768" s="265"/>
      <c r="E768" s="264"/>
      <c r="F768" s="265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>
      <c r="A769" s="263"/>
      <c r="B769" s="264"/>
      <c r="C769" s="263"/>
      <c r="D769" s="265"/>
      <c r="E769" s="264"/>
      <c r="F769" s="265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>
      <c r="A770" s="263"/>
      <c r="B770" s="264"/>
      <c r="C770" s="263"/>
      <c r="D770" s="265"/>
      <c r="E770" s="264"/>
      <c r="F770" s="265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>
      <c r="A771" s="263"/>
      <c r="B771" s="264"/>
      <c r="C771" s="263"/>
      <c r="D771" s="265"/>
      <c r="E771" s="264"/>
      <c r="F771" s="265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>
      <c r="A772" s="263"/>
      <c r="B772" s="264"/>
      <c r="C772" s="263"/>
      <c r="D772" s="265"/>
      <c r="E772" s="264"/>
      <c r="F772" s="265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>
      <c r="A773" s="263"/>
      <c r="B773" s="264"/>
      <c r="C773" s="263"/>
      <c r="D773" s="265"/>
      <c r="E773" s="264"/>
      <c r="F773" s="265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>
      <c r="A774" s="263"/>
      <c r="B774" s="264"/>
      <c r="C774" s="263"/>
      <c r="D774" s="265"/>
      <c r="E774" s="264"/>
      <c r="F774" s="265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>
      <c r="A775" s="263"/>
      <c r="B775" s="264"/>
      <c r="C775" s="263"/>
      <c r="D775" s="265"/>
      <c r="E775" s="264"/>
      <c r="F775" s="265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>
      <c r="A776" s="263"/>
      <c r="B776" s="264"/>
      <c r="C776" s="263"/>
      <c r="D776" s="265"/>
      <c r="E776" s="264"/>
      <c r="F776" s="265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>
      <c r="A777" s="263"/>
      <c r="B777" s="264"/>
      <c r="C777" s="263"/>
      <c r="D777" s="265"/>
      <c r="E777" s="264"/>
      <c r="F777" s="265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>
      <c r="A778" s="263"/>
      <c r="B778" s="264"/>
      <c r="C778" s="263"/>
      <c r="D778" s="265"/>
      <c r="E778" s="264"/>
      <c r="F778" s="265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>
      <c r="A779" s="263"/>
      <c r="B779" s="264"/>
      <c r="C779" s="263"/>
      <c r="D779" s="265"/>
      <c r="E779" s="264"/>
      <c r="F779" s="265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>
      <c r="A780" s="263"/>
      <c r="B780" s="264"/>
      <c r="C780" s="263"/>
      <c r="D780" s="265"/>
      <c r="E780" s="264"/>
      <c r="F780" s="265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>
      <c r="A781" s="263"/>
      <c r="B781" s="264"/>
      <c r="C781" s="263"/>
      <c r="D781" s="265"/>
      <c r="E781" s="264"/>
      <c r="F781" s="265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>
      <c r="A782" s="263"/>
      <c r="B782" s="264"/>
      <c r="C782" s="263"/>
      <c r="D782" s="265"/>
      <c r="E782" s="264"/>
      <c r="F782" s="265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>
      <c r="A783" s="263"/>
      <c r="B783" s="264"/>
      <c r="C783" s="263"/>
      <c r="D783" s="265"/>
      <c r="E783" s="264"/>
      <c r="F783" s="265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>
      <c r="A784" s="263"/>
      <c r="B784" s="264"/>
      <c r="C784" s="263"/>
      <c r="D784" s="265"/>
      <c r="E784" s="264"/>
      <c r="F784" s="265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>
      <c r="A785" s="263"/>
      <c r="B785" s="264"/>
      <c r="C785" s="263"/>
      <c r="D785" s="265"/>
      <c r="E785" s="264"/>
      <c r="F785" s="265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>
      <c r="A786" s="263"/>
      <c r="B786" s="264"/>
      <c r="C786" s="263"/>
      <c r="D786" s="265"/>
      <c r="E786" s="264"/>
      <c r="F786" s="265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>
      <c r="A787" s="263"/>
      <c r="B787" s="264"/>
      <c r="C787" s="263"/>
      <c r="D787" s="265"/>
      <c r="E787" s="264"/>
      <c r="F787" s="265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>
      <c r="A788" s="263"/>
      <c r="B788" s="264"/>
      <c r="C788" s="263"/>
      <c r="D788" s="265"/>
      <c r="E788" s="264"/>
      <c r="F788" s="265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>
      <c r="A789" s="263"/>
      <c r="B789" s="264"/>
      <c r="C789" s="263"/>
      <c r="D789" s="265"/>
      <c r="E789" s="264"/>
      <c r="F789" s="265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>
      <c r="A790" s="263"/>
      <c r="B790" s="264"/>
      <c r="C790" s="263"/>
      <c r="D790" s="265"/>
      <c r="E790" s="264"/>
      <c r="F790" s="265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>
      <c r="A791" s="263"/>
      <c r="B791" s="264"/>
      <c r="C791" s="263"/>
      <c r="D791" s="265"/>
      <c r="E791" s="264"/>
      <c r="F791" s="265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>
      <c r="A792" s="263"/>
      <c r="B792" s="264"/>
      <c r="C792" s="263"/>
      <c r="D792" s="265"/>
      <c r="E792" s="264"/>
      <c r="F792" s="265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>
      <c r="A793" s="263"/>
      <c r="B793" s="264"/>
      <c r="C793" s="263"/>
      <c r="D793" s="265"/>
      <c r="E793" s="264"/>
      <c r="F793" s="265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>
      <c r="A794" s="263"/>
      <c r="B794" s="264"/>
      <c r="C794" s="263"/>
      <c r="D794" s="265"/>
      <c r="E794" s="264"/>
      <c r="F794" s="265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>
      <c r="A795" s="263"/>
      <c r="B795" s="264"/>
      <c r="C795" s="263"/>
      <c r="D795" s="265"/>
      <c r="E795" s="264"/>
      <c r="F795" s="265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>
      <c r="A796" s="263"/>
      <c r="B796" s="264"/>
      <c r="C796" s="263"/>
      <c r="D796" s="265"/>
      <c r="E796" s="264"/>
      <c r="F796" s="265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>
      <c r="A797" s="263"/>
      <c r="B797" s="264"/>
      <c r="C797" s="263"/>
      <c r="D797" s="265"/>
      <c r="E797" s="264"/>
      <c r="F797" s="265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>
      <c r="A798" s="263"/>
      <c r="B798" s="264"/>
      <c r="C798" s="263"/>
      <c r="D798" s="265"/>
      <c r="E798" s="264"/>
      <c r="F798" s="265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>
      <c r="A799" s="263"/>
      <c r="B799" s="264"/>
      <c r="C799" s="263"/>
      <c r="D799" s="265"/>
      <c r="E799" s="264"/>
      <c r="F799" s="265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>
      <c r="A800" s="263"/>
      <c r="B800" s="264"/>
      <c r="C800" s="263"/>
      <c r="D800" s="265"/>
      <c r="E800" s="264"/>
      <c r="F800" s="265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>
      <c r="A801" s="263"/>
      <c r="B801" s="264"/>
      <c r="C801" s="263"/>
      <c r="D801" s="265"/>
      <c r="E801" s="264"/>
      <c r="F801" s="265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>
      <c r="A802" s="263"/>
      <c r="B802" s="264"/>
      <c r="C802" s="263"/>
      <c r="D802" s="265"/>
      <c r="E802" s="264"/>
      <c r="F802" s="265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>
      <c r="A803" s="263"/>
      <c r="B803" s="264"/>
      <c r="C803" s="263"/>
      <c r="D803" s="265"/>
      <c r="E803" s="264"/>
      <c r="F803" s="265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>
      <c r="A804" s="263"/>
      <c r="B804" s="264"/>
      <c r="C804" s="263"/>
      <c r="D804" s="265"/>
      <c r="E804" s="264"/>
      <c r="F804" s="265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>
      <c r="A805" s="263"/>
      <c r="B805" s="264"/>
      <c r="C805" s="263"/>
      <c r="D805" s="265"/>
      <c r="E805" s="264"/>
      <c r="F805" s="265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>
      <c r="A806" s="263"/>
      <c r="B806" s="264"/>
      <c r="C806" s="263"/>
      <c r="D806" s="265"/>
      <c r="E806" s="264"/>
      <c r="F806" s="265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>
      <c r="A807" s="263"/>
      <c r="B807" s="264"/>
      <c r="C807" s="263"/>
      <c r="D807" s="265"/>
      <c r="E807" s="264"/>
      <c r="F807" s="265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>
      <c r="A808" s="263"/>
      <c r="B808" s="264"/>
      <c r="C808" s="263"/>
      <c r="D808" s="265"/>
      <c r="E808" s="264"/>
      <c r="F808" s="265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>
      <c r="A809" s="263"/>
      <c r="B809" s="264"/>
      <c r="C809" s="263"/>
      <c r="D809" s="265"/>
      <c r="E809" s="264"/>
      <c r="F809" s="265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>
      <c r="A810" s="263"/>
      <c r="B810" s="264"/>
      <c r="C810" s="263"/>
      <c r="D810" s="265"/>
      <c r="E810" s="264"/>
      <c r="F810" s="265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>
      <c r="A811" s="263"/>
      <c r="B811" s="264"/>
      <c r="C811" s="263"/>
      <c r="D811" s="265"/>
      <c r="E811" s="264"/>
      <c r="F811" s="265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>
      <c r="A812" s="263"/>
      <c r="B812" s="264"/>
      <c r="C812" s="263"/>
      <c r="D812" s="265"/>
      <c r="E812" s="264"/>
      <c r="F812" s="265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>
      <c r="A813" s="263"/>
      <c r="B813" s="264"/>
      <c r="C813" s="263"/>
      <c r="D813" s="265"/>
      <c r="E813" s="264"/>
      <c r="F813" s="265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>
      <c r="A814" s="263"/>
      <c r="B814" s="264"/>
      <c r="C814" s="263"/>
      <c r="D814" s="265"/>
      <c r="E814" s="264"/>
      <c r="F814" s="265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>
      <c r="A815" s="263"/>
      <c r="B815" s="264"/>
      <c r="C815" s="263"/>
      <c r="D815" s="265"/>
      <c r="E815" s="264"/>
      <c r="F815" s="265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>
      <c r="A816" s="263"/>
      <c r="B816" s="264"/>
      <c r="C816" s="263"/>
      <c r="D816" s="265"/>
      <c r="E816" s="264"/>
      <c r="F816" s="265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>
      <c r="A817" s="263"/>
      <c r="B817" s="264"/>
      <c r="C817" s="263"/>
      <c r="D817" s="265"/>
      <c r="E817" s="264"/>
      <c r="F817" s="265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>
      <c r="A818" s="263"/>
      <c r="B818" s="264"/>
      <c r="C818" s="263"/>
      <c r="D818" s="265"/>
      <c r="E818" s="264"/>
      <c r="F818" s="265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>
      <c r="A819" s="263"/>
      <c r="B819" s="264"/>
      <c r="C819" s="263"/>
      <c r="D819" s="265"/>
      <c r="E819" s="264"/>
      <c r="F819" s="265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>
      <c r="A820" s="263"/>
      <c r="B820" s="264"/>
      <c r="C820" s="263"/>
      <c r="D820" s="265"/>
      <c r="E820" s="264"/>
      <c r="F820" s="265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>
      <c r="A821" s="263"/>
      <c r="B821" s="264"/>
      <c r="C821" s="263"/>
      <c r="D821" s="265"/>
      <c r="E821" s="264"/>
      <c r="F821" s="265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>
      <c r="A822" s="263"/>
      <c r="B822" s="264"/>
      <c r="C822" s="263"/>
      <c r="D822" s="265"/>
      <c r="E822" s="264"/>
      <c r="F822" s="265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>
      <c r="A823" s="263"/>
      <c r="B823" s="264"/>
      <c r="C823" s="263"/>
      <c r="D823" s="265"/>
      <c r="E823" s="264"/>
      <c r="F823" s="265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>
      <c r="A824" s="263"/>
      <c r="B824" s="264"/>
      <c r="C824" s="263"/>
      <c r="D824" s="265"/>
      <c r="E824" s="264"/>
      <c r="F824" s="265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>
      <c r="A825" s="263"/>
      <c r="B825" s="264"/>
      <c r="C825" s="263"/>
      <c r="D825" s="265"/>
      <c r="E825" s="264"/>
      <c r="F825" s="265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>
      <c r="A826" s="263"/>
      <c r="B826" s="264"/>
      <c r="C826" s="263"/>
      <c r="D826" s="265"/>
      <c r="E826" s="264"/>
      <c r="F826" s="265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>
      <c r="A827" s="263"/>
      <c r="B827" s="264"/>
      <c r="C827" s="263"/>
      <c r="D827" s="265"/>
      <c r="E827" s="264"/>
      <c r="F827" s="265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>
      <c r="A828" s="263"/>
      <c r="B828" s="264"/>
      <c r="C828" s="263"/>
      <c r="D828" s="265"/>
      <c r="E828" s="264"/>
      <c r="F828" s="265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>
      <c r="A829" s="263"/>
      <c r="B829" s="264"/>
      <c r="C829" s="263"/>
      <c r="D829" s="265"/>
      <c r="E829" s="264"/>
      <c r="F829" s="265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>
      <c r="A830" s="263"/>
      <c r="B830" s="264"/>
      <c r="C830" s="263"/>
      <c r="D830" s="265"/>
      <c r="E830" s="264"/>
      <c r="F830" s="265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>
      <c r="A831" s="263"/>
      <c r="B831" s="264"/>
      <c r="C831" s="263"/>
      <c r="D831" s="265"/>
      <c r="E831" s="264"/>
      <c r="F831" s="265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>
      <c r="A832" s="263"/>
      <c r="B832" s="264"/>
      <c r="C832" s="263"/>
      <c r="D832" s="265"/>
      <c r="E832" s="264"/>
      <c r="F832" s="265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>
      <c r="A833" s="263"/>
      <c r="B833" s="264"/>
      <c r="C833" s="263"/>
      <c r="D833" s="265"/>
      <c r="E833" s="264"/>
      <c r="F833" s="265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>
      <c r="A834" s="263"/>
      <c r="B834" s="264"/>
      <c r="C834" s="263"/>
      <c r="D834" s="265"/>
      <c r="E834" s="264"/>
      <c r="F834" s="265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>
      <c r="A835" s="263"/>
      <c r="B835" s="264"/>
      <c r="C835" s="263"/>
      <c r="D835" s="265"/>
      <c r="E835" s="264"/>
      <c r="F835" s="265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>
      <c r="A836" s="263"/>
      <c r="B836" s="264"/>
      <c r="C836" s="263"/>
      <c r="D836" s="265"/>
      <c r="E836" s="264"/>
      <c r="F836" s="265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>
      <c r="A837" s="263"/>
      <c r="B837" s="264"/>
      <c r="C837" s="263"/>
      <c r="D837" s="265"/>
      <c r="E837" s="264"/>
      <c r="F837" s="265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>
      <c r="A838" s="263"/>
      <c r="B838" s="264"/>
      <c r="C838" s="263"/>
      <c r="D838" s="265"/>
      <c r="E838" s="264"/>
      <c r="F838" s="265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>
      <c r="A839" s="263"/>
      <c r="B839" s="264"/>
      <c r="C839" s="263"/>
      <c r="D839" s="265"/>
      <c r="E839" s="264"/>
      <c r="F839" s="265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>
      <c r="A840" s="263"/>
      <c r="B840" s="264"/>
      <c r="C840" s="263"/>
      <c r="D840" s="265"/>
      <c r="E840" s="264"/>
      <c r="F840" s="265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>
      <c r="A841" s="263"/>
      <c r="B841" s="264"/>
      <c r="C841" s="263"/>
      <c r="D841" s="265"/>
      <c r="E841" s="264"/>
      <c r="F841" s="265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>
      <c r="A842" s="263"/>
      <c r="B842" s="264"/>
      <c r="C842" s="263"/>
      <c r="D842" s="265"/>
      <c r="E842" s="264"/>
      <c r="F842" s="265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>
      <c r="A843" s="263"/>
      <c r="B843" s="264"/>
      <c r="C843" s="263"/>
      <c r="D843" s="265"/>
      <c r="E843" s="264"/>
      <c r="F843" s="265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>
      <c r="A844" s="263"/>
      <c r="B844" s="264"/>
      <c r="C844" s="263"/>
      <c r="D844" s="265"/>
      <c r="E844" s="264"/>
      <c r="F844" s="265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>
      <c r="A845" s="263"/>
      <c r="B845" s="264"/>
      <c r="C845" s="263"/>
      <c r="D845" s="265"/>
      <c r="E845" s="264"/>
      <c r="F845" s="265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>
      <c r="A846" s="263"/>
      <c r="B846" s="264"/>
      <c r="C846" s="263"/>
      <c r="D846" s="265"/>
      <c r="E846" s="264"/>
      <c r="F846" s="265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>
      <c r="A847" s="263"/>
      <c r="B847" s="264"/>
      <c r="C847" s="263"/>
      <c r="D847" s="265"/>
      <c r="E847" s="264"/>
      <c r="F847" s="265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>
      <c r="A848" s="263"/>
      <c r="B848" s="264"/>
      <c r="C848" s="263"/>
      <c r="D848" s="265"/>
      <c r="E848" s="264"/>
      <c r="F848" s="265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>
      <c r="A849" s="263"/>
      <c r="B849" s="264"/>
      <c r="C849" s="263"/>
      <c r="D849" s="265"/>
      <c r="E849" s="264"/>
      <c r="F849" s="265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>
      <c r="A850" s="263"/>
      <c r="B850" s="264"/>
      <c r="C850" s="263"/>
      <c r="D850" s="265"/>
      <c r="E850" s="264"/>
      <c r="F850" s="265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>
      <c r="A851" s="263"/>
      <c r="B851" s="264"/>
      <c r="C851" s="263"/>
      <c r="D851" s="265"/>
      <c r="E851" s="264"/>
      <c r="F851" s="265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>
      <c r="A852" s="263"/>
      <c r="B852" s="264"/>
      <c r="C852" s="263"/>
      <c r="D852" s="265"/>
      <c r="E852" s="264"/>
      <c r="F852" s="265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>
      <c r="A853" s="263"/>
      <c r="B853" s="264"/>
      <c r="C853" s="263"/>
      <c r="D853" s="265"/>
      <c r="E853" s="264"/>
      <c r="F853" s="265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>
      <c r="A854" s="263"/>
      <c r="B854" s="264"/>
      <c r="C854" s="263"/>
      <c r="D854" s="265"/>
      <c r="E854" s="264"/>
      <c r="F854" s="265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>
      <c r="A855" s="263"/>
      <c r="B855" s="264"/>
      <c r="C855" s="263"/>
      <c r="D855" s="265"/>
      <c r="E855" s="264"/>
      <c r="F855" s="265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>
      <c r="A856" s="263"/>
      <c r="B856" s="264"/>
      <c r="C856" s="263"/>
      <c r="D856" s="265"/>
      <c r="E856" s="264"/>
      <c r="F856" s="265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>
      <c r="A857" s="263"/>
      <c r="B857" s="264"/>
      <c r="C857" s="263"/>
      <c r="D857" s="265"/>
      <c r="E857" s="264"/>
      <c r="F857" s="265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>
      <c r="A858" s="263"/>
      <c r="B858" s="264"/>
      <c r="C858" s="263"/>
      <c r="D858" s="265"/>
      <c r="E858" s="264"/>
      <c r="F858" s="265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>
      <c r="A859" s="263"/>
      <c r="B859" s="264"/>
      <c r="C859" s="263"/>
      <c r="D859" s="265"/>
      <c r="E859" s="264"/>
      <c r="F859" s="265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>
      <c r="A860" s="263"/>
      <c r="B860" s="264"/>
      <c r="C860" s="263"/>
      <c r="D860" s="265"/>
      <c r="E860" s="264"/>
      <c r="F860" s="265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>
      <c r="A861" s="263"/>
      <c r="B861" s="264"/>
      <c r="C861" s="263"/>
      <c r="D861" s="265"/>
      <c r="E861" s="264"/>
      <c r="F861" s="265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>
      <c r="A862" s="263"/>
      <c r="B862" s="264"/>
      <c r="C862" s="263"/>
      <c r="D862" s="265"/>
      <c r="E862" s="264"/>
      <c r="F862" s="265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>
      <c r="A863" s="263"/>
      <c r="B863" s="264"/>
      <c r="C863" s="263"/>
      <c r="D863" s="265"/>
      <c r="E863" s="264"/>
      <c r="F863" s="265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>
      <c r="A864" s="263"/>
      <c r="B864" s="264"/>
      <c r="C864" s="263"/>
      <c r="D864" s="265"/>
      <c r="E864" s="264"/>
      <c r="F864" s="265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>
      <c r="A865" s="263"/>
      <c r="B865" s="264"/>
      <c r="C865" s="263"/>
      <c r="D865" s="265"/>
      <c r="E865" s="264"/>
      <c r="F865" s="265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>
      <c r="A866" s="263"/>
      <c r="B866" s="264"/>
      <c r="C866" s="263"/>
      <c r="D866" s="265"/>
      <c r="E866" s="264"/>
      <c r="F866" s="265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>
      <c r="A867" s="263"/>
      <c r="B867" s="264"/>
      <c r="C867" s="263"/>
      <c r="D867" s="265"/>
      <c r="E867" s="264"/>
      <c r="F867" s="265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>
      <c r="A868" s="263"/>
      <c r="B868" s="264"/>
      <c r="C868" s="263"/>
      <c r="D868" s="265"/>
      <c r="E868" s="264"/>
      <c r="F868" s="265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>
      <c r="A869" s="263"/>
      <c r="B869" s="264"/>
      <c r="C869" s="263"/>
      <c r="D869" s="265"/>
      <c r="E869" s="264"/>
      <c r="F869" s="265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>
      <c r="A870" s="263"/>
      <c r="B870" s="264"/>
      <c r="C870" s="263"/>
      <c r="D870" s="265"/>
      <c r="E870" s="264"/>
      <c r="F870" s="265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>
      <c r="A871" s="263"/>
      <c r="B871" s="264"/>
      <c r="C871" s="263"/>
      <c r="D871" s="265"/>
      <c r="E871" s="264"/>
      <c r="F871" s="265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>
      <c r="A872" s="263"/>
      <c r="B872" s="264"/>
      <c r="C872" s="263"/>
      <c r="D872" s="265"/>
      <c r="E872" s="264"/>
      <c r="F872" s="265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>
      <c r="A873" s="263"/>
      <c r="B873" s="264"/>
      <c r="C873" s="263"/>
      <c r="D873" s="265"/>
      <c r="E873" s="264"/>
      <c r="F873" s="265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>
      <c r="A874" s="263"/>
      <c r="B874" s="264"/>
      <c r="C874" s="263"/>
      <c r="D874" s="265"/>
      <c r="E874" s="264"/>
      <c r="F874" s="265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>
      <c r="A875" s="263"/>
      <c r="B875" s="264"/>
      <c r="C875" s="263"/>
      <c r="D875" s="265"/>
      <c r="E875" s="264"/>
      <c r="F875" s="265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>
      <c r="A876" s="263"/>
      <c r="B876" s="264"/>
      <c r="C876" s="263"/>
      <c r="D876" s="265"/>
      <c r="E876" s="264"/>
      <c r="F876" s="265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>
      <c r="A877" s="263"/>
      <c r="B877" s="264"/>
      <c r="C877" s="263"/>
      <c r="D877" s="265"/>
      <c r="E877" s="264"/>
      <c r="F877" s="265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>
      <c r="A878" s="263"/>
      <c r="B878" s="264"/>
      <c r="C878" s="263"/>
      <c r="D878" s="265"/>
      <c r="E878" s="264"/>
      <c r="F878" s="265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>
      <c r="A879" s="263"/>
      <c r="B879" s="264"/>
      <c r="C879" s="263"/>
      <c r="D879" s="265"/>
      <c r="E879" s="264"/>
      <c r="F879" s="265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>
      <c r="A880" s="263"/>
      <c r="B880" s="264"/>
      <c r="C880" s="263"/>
      <c r="D880" s="265"/>
      <c r="E880" s="264"/>
      <c r="F880" s="265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>
      <c r="A881" s="263"/>
      <c r="B881" s="264"/>
      <c r="C881" s="263"/>
      <c r="D881" s="265"/>
      <c r="E881" s="264"/>
      <c r="F881" s="265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>
      <c r="A882" s="263"/>
      <c r="B882" s="264"/>
      <c r="C882" s="263"/>
      <c r="D882" s="265"/>
      <c r="E882" s="264"/>
      <c r="F882" s="265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>
      <c r="A883" s="263"/>
      <c r="B883" s="264"/>
      <c r="C883" s="263"/>
      <c r="D883" s="265"/>
      <c r="E883" s="264"/>
      <c r="F883" s="265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>
      <c r="A884" s="263"/>
      <c r="B884" s="264"/>
      <c r="C884" s="263"/>
      <c r="D884" s="265"/>
      <c r="E884" s="264"/>
      <c r="F884" s="265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>
      <c r="A885" s="263"/>
      <c r="B885" s="264"/>
      <c r="C885" s="263"/>
      <c r="D885" s="265"/>
      <c r="E885" s="264"/>
      <c r="F885" s="265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>
      <c r="A886" s="263"/>
      <c r="B886" s="264"/>
      <c r="C886" s="263"/>
      <c r="D886" s="265"/>
      <c r="E886" s="264"/>
      <c r="F886" s="265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>
      <c r="A887" s="263"/>
      <c r="B887" s="264"/>
      <c r="C887" s="263"/>
      <c r="D887" s="265"/>
      <c r="E887" s="264"/>
      <c r="F887" s="265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>
      <c r="A888" s="263"/>
      <c r="B888" s="264"/>
      <c r="C888" s="263"/>
      <c r="D888" s="265"/>
      <c r="E888" s="264"/>
      <c r="F888" s="265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>
      <c r="A889" s="263"/>
      <c r="B889" s="264"/>
      <c r="C889" s="263"/>
      <c r="D889" s="265"/>
      <c r="E889" s="264"/>
      <c r="F889" s="265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>
      <c r="A890" s="263"/>
      <c r="B890" s="264"/>
      <c r="C890" s="263"/>
      <c r="D890" s="265"/>
      <c r="E890" s="264"/>
      <c r="F890" s="265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>
      <c r="A891" s="263"/>
      <c r="B891" s="264"/>
      <c r="C891" s="263"/>
      <c r="D891" s="265"/>
      <c r="E891" s="264"/>
      <c r="F891" s="265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>
      <c r="A892" s="263"/>
      <c r="B892" s="264"/>
      <c r="C892" s="263"/>
      <c r="D892" s="265"/>
      <c r="E892" s="264"/>
      <c r="F892" s="265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>
      <c r="A893" s="263"/>
      <c r="B893" s="264"/>
      <c r="C893" s="263"/>
      <c r="D893" s="265"/>
      <c r="E893" s="264"/>
      <c r="F893" s="265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>
      <c r="A894" s="263"/>
      <c r="B894" s="264"/>
      <c r="C894" s="263"/>
      <c r="D894" s="265"/>
      <c r="E894" s="264"/>
      <c r="F894" s="265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>
      <c r="A895" s="263"/>
      <c r="B895" s="264"/>
      <c r="C895" s="263"/>
      <c r="D895" s="265"/>
      <c r="E895" s="264"/>
      <c r="F895" s="265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>
      <c r="A896" s="263"/>
      <c r="B896" s="264"/>
      <c r="C896" s="263"/>
      <c r="D896" s="265"/>
      <c r="E896" s="264"/>
      <c r="F896" s="265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>
      <c r="A897" s="263"/>
      <c r="B897" s="264"/>
      <c r="C897" s="263"/>
      <c r="D897" s="265"/>
      <c r="E897" s="264"/>
      <c r="F897" s="265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>
      <c r="A898" s="263"/>
      <c r="B898" s="264"/>
      <c r="C898" s="263"/>
      <c r="D898" s="265"/>
      <c r="E898" s="264"/>
      <c r="F898" s="265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>
      <c r="A899" s="263"/>
      <c r="B899" s="264"/>
      <c r="C899" s="263"/>
      <c r="D899" s="265"/>
      <c r="E899" s="264"/>
      <c r="F899" s="265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>
      <c r="A900" s="263"/>
      <c r="B900" s="264"/>
      <c r="C900" s="263"/>
      <c r="D900" s="265"/>
      <c r="E900" s="264"/>
      <c r="F900" s="265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>
      <c r="A901" s="263"/>
      <c r="B901" s="264"/>
      <c r="C901" s="263"/>
      <c r="D901" s="265"/>
      <c r="E901" s="264"/>
      <c r="F901" s="265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>
      <c r="A902" s="263"/>
      <c r="B902" s="264"/>
      <c r="C902" s="263"/>
      <c r="D902" s="265"/>
      <c r="E902" s="264"/>
      <c r="F902" s="265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>
      <c r="A903" s="263"/>
      <c r="B903" s="264"/>
      <c r="C903" s="263"/>
      <c r="D903" s="265"/>
      <c r="E903" s="264"/>
      <c r="F903" s="265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>
      <c r="A904" s="263"/>
      <c r="B904" s="264"/>
      <c r="C904" s="263"/>
      <c r="D904" s="265"/>
      <c r="E904" s="264"/>
      <c r="F904" s="265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>
      <c r="A905" s="263"/>
      <c r="B905" s="264"/>
      <c r="C905" s="263"/>
      <c r="D905" s="265"/>
      <c r="E905" s="264"/>
      <c r="F905" s="265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>
      <c r="A906" s="263"/>
      <c r="B906" s="264"/>
      <c r="C906" s="263"/>
      <c r="D906" s="265"/>
      <c r="E906" s="264"/>
      <c r="F906" s="265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>
      <c r="A907" s="263"/>
      <c r="B907" s="264"/>
      <c r="C907" s="263"/>
      <c r="D907" s="265"/>
      <c r="E907" s="264"/>
      <c r="F907" s="265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>
      <c r="A908" s="263"/>
      <c r="B908" s="264"/>
      <c r="C908" s="263"/>
      <c r="D908" s="265"/>
      <c r="E908" s="264"/>
      <c r="F908" s="265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>
      <c r="A909" s="263"/>
      <c r="B909" s="264"/>
      <c r="C909" s="263"/>
      <c r="D909" s="265"/>
      <c r="E909" s="264"/>
      <c r="F909" s="265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>
      <c r="A910" s="263"/>
      <c r="B910" s="264"/>
      <c r="C910" s="263"/>
      <c r="D910" s="265"/>
      <c r="E910" s="264"/>
      <c r="F910" s="265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>
      <c r="A911" s="263"/>
      <c r="B911" s="264"/>
      <c r="C911" s="263"/>
      <c r="D911" s="265"/>
      <c r="E911" s="264"/>
      <c r="F911" s="265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>
      <c r="A912" s="263"/>
      <c r="B912" s="264"/>
      <c r="C912" s="263"/>
      <c r="D912" s="265"/>
      <c r="E912" s="264"/>
      <c r="F912" s="265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>
      <c r="A913" s="263"/>
      <c r="B913" s="264"/>
      <c r="C913" s="263"/>
      <c r="D913" s="265"/>
      <c r="E913" s="264"/>
      <c r="F913" s="265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>
      <c r="A914" s="263"/>
      <c r="B914" s="264"/>
      <c r="C914" s="263"/>
      <c r="D914" s="265"/>
      <c r="E914" s="264"/>
      <c r="F914" s="265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>
      <c r="A915" s="263"/>
      <c r="B915" s="264"/>
      <c r="C915" s="263"/>
      <c r="D915" s="265"/>
      <c r="E915" s="264"/>
      <c r="F915" s="265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>
      <c r="A916" s="263"/>
      <c r="B916" s="264"/>
      <c r="C916" s="263"/>
      <c r="D916" s="265"/>
      <c r="E916" s="264"/>
      <c r="F916" s="265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>
      <c r="A917" s="263"/>
      <c r="B917" s="264"/>
      <c r="C917" s="263"/>
      <c r="D917" s="265"/>
      <c r="E917" s="264"/>
      <c r="F917" s="265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>
      <c r="A918" s="263"/>
      <c r="B918" s="264"/>
      <c r="C918" s="263"/>
      <c r="D918" s="265"/>
      <c r="E918" s="264"/>
      <c r="F918" s="265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>
      <c r="A919" s="263"/>
      <c r="B919" s="264"/>
      <c r="C919" s="263"/>
      <c r="D919" s="265"/>
      <c r="E919" s="264"/>
      <c r="F919" s="265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>
      <c r="A920" s="263"/>
      <c r="B920" s="264"/>
      <c r="C920" s="263"/>
      <c r="D920" s="265"/>
      <c r="E920" s="264"/>
      <c r="F920" s="265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>
      <c r="A921" s="263"/>
      <c r="B921" s="264"/>
      <c r="C921" s="263"/>
      <c r="D921" s="265"/>
      <c r="E921" s="264"/>
      <c r="F921" s="265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>
      <c r="A922" s="263"/>
      <c r="B922" s="264"/>
      <c r="C922" s="263"/>
      <c r="D922" s="265"/>
      <c r="E922" s="264"/>
      <c r="F922" s="265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>
      <c r="A923" s="263"/>
      <c r="B923" s="264"/>
      <c r="C923" s="263"/>
      <c r="D923" s="265"/>
      <c r="E923" s="264"/>
      <c r="F923" s="265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>
      <c r="A924" s="263"/>
      <c r="B924" s="264"/>
      <c r="C924" s="263"/>
      <c r="D924" s="265"/>
      <c r="E924" s="264"/>
      <c r="F924" s="265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>
      <c r="A925" s="263"/>
      <c r="B925" s="264"/>
      <c r="C925" s="263"/>
      <c r="D925" s="265"/>
      <c r="E925" s="264"/>
      <c r="F925" s="265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>
      <c r="A926" s="263"/>
      <c r="B926" s="264"/>
      <c r="C926" s="263"/>
      <c r="D926" s="265"/>
      <c r="E926" s="264"/>
      <c r="F926" s="265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>
      <c r="A927" s="263"/>
      <c r="B927" s="264"/>
      <c r="C927" s="263"/>
      <c r="D927" s="265"/>
      <c r="E927" s="264"/>
      <c r="F927" s="265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>
      <c r="A928" s="263"/>
      <c r="B928" s="264"/>
      <c r="C928" s="263"/>
      <c r="D928" s="265"/>
      <c r="E928" s="264"/>
      <c r="F928" s="265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>
      <c r="A929" s="263"/>
      <c r="B929" s="264"/>
      <c r="C929" s="263"/>
      <c r="D929" s="265"/>
      <c r="E929" s="264"/>
      <c r="F929" s="265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>
      <c r="A930" s="263"/>
      <c r="B930" s="264"/>
      <c r="C930" s="263"/>
      <c r="D930" s="265"/>
      <c r="E930" s="264"/>
      <c r="F930" s="265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>
      <c r="A931" s="263"/>
      <c r="B931" s="264"/>
      <c r="C931" s="263"/>
      <c r="D931" s="265"/>
      <c r="E931" s="264"/>
      <c r="F931" s="265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>
      <c r="A932" s="263"/>
      <c r="B932" s="264"/>
      <c r="C932" s="263"/>
      <c r="D932" s="265"/>
      <c r="E932" s="264"/>
      <c r="F932" s="265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>
      <c r="A933" s="263"/>
      <c r="B933" s="264"/>
      <c r="C933" s="263"/>
      <c r="D933" s="265"/>
      <c r="E933" s="264"/>
      <c r="F933" s="265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>
      <c r="A934" s="263"/>
      <c r="B934" s="264"/>
      <c r="C934" s="263"/>
      <c r="D934" s="265"/>
      <c r="E934" s="264"/>
      <c r="F934" s="265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>
      <c r="A935" s="263"/>
      <c r="B935" s="264"/>
      <c r="C935" s="263"/>
      <c r="D935" s="265"/>
      <c r="E935" s="264"/>
      <c r="F935" s="265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>
      <c r="A936" s="263"/>
      <c r="B936" s="264"/>
      <c r="C936" s="263"/>
      <c r="D936" s="265"/>
      <c r="E936" s="264"/>
      <c r="F936" s="265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>
      <c r="A937" s="263"/>
      <c r="B937" s="264"/>
      <c r="C937" s="263"/>
      <c r="D937" s="265"/>
      <c r="E937" s="264"/>
      <c r="F937" s="265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>
      <c r="A938" s="263"/>
      <c r="B938" s="264"/>
      <c r="C938" s="263"/>
      <c r="D938" s="265"/>
      <c r="E938" s="264"/>
      <c r="F938" s="265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>
      <c r="A939" s="263"/>
      <c r="B939" s="264"/>
      <c r="C939" s="263"/>
      <c r="D939" s="265"/>
      <c r="E939" s="264"/>
      <c r="F939" s="265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>
      <c r="A940" s="263"/>
      <c r="B940" s="264"/>
      <c r="C940" s="263"/>
      <c r="D940" s="265"/>
      <c r="E940" s="264"/>
      <c r="F940" s="265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>
      <c r="A941" s="263"/>
      <c r="B941" s="264"/>
      <c r="C941" s="263"/>
      <c r="D941" s="265"/>
      <c r="E941" s="264"/>
      <c r="F941" s="265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>
      <c r="A942" s="263"/>
      <c r="B942" s="264"/>
      <c r="C942" s="263"/>
      <c r="D942" s="265"/>
      <c r="E942" s="264"/>
      <c r="F942" s="265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>
      <c r="A943" s="263"/>
      <c r="B943" s="264"/>
      <c r="C943" s="263"/>
      <c r="D943" s="265"/>
      <c r="E943" s="264"/>
      <c r="F943" s="265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>
      <c r="A944" s="263"/>
      <c r="B944" s="264"/>
      <c r="C944" s="263"/>
      <c r="D944" s="265"/>
      <c r="E944" s="264"/>
      <c r="F944" s="265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>
      <c r="A945" s="263"/>
      <c r="B945" s="264"/>
      <c r="C945" s="263"/>
      <c r="D945" s="265"/>
      <c r="E945" s="264"/>
      <c r="F945" s="265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>
      <c r="A946" s="263"/>
      <c r="B946" s="264"/>
      <c r="C946" s="263"/>
      <c r="D946" s="265"/>
      <c r="E946" s="264"/>
      <c r="F946" s="265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>
      <c r="A947" s="263"/>
      <c r="B947" s="264"/>
      <c r="C947" s="263"/>
      <c r="D947" s="265"/>
      <c r="E947" s="264"/>
      <c r="F947" s="265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>
      <c r="A948" s="263"/>
      <c r="B948" s="264"/>
      <c r="C948" s="263"/>
      <c r="D948" s="265"/>
      <c r="E948" s="264"/>
      <c r="F948" s="265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>
      <c r="A949" s="263"/>
      <c r="B949" s="264"/>
      <c r="C949" s="263"/>
      <c r="D949" s="265"/>
      <c r="E949" s="264"/>
      <c r="F949" s="265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>
      <c r="A950" s="263"/>
      <c r="B950" s="264"/>
      <c r="C950" s="263"/>
      <c r="D950" s="265"/>
      <c r="E950" s="264"/>
      <c r="F950" s="265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>
      <c r="A951" s="263"/>
      <c r="B951" s="264"/>
      <c r="C951" s="263"/>
      <c r="D951" s="265"/>
      <c r="E951" s="264"/>
      <c r="F951" s="265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>
      <c r="A952" s="263"/>
      <c r="B952" s="264"/>
      <c r="C952" s="263"/>
      <c r="D952" s="265"/>
      <c r="E952" s="264"/>
      <c r="F952" s="265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>
      <c r="A953" s="263"/>
      <c r="B953" s="264"/>
      <c r="C953" s="263"/>
      <c r="D953" s="265"/>
      <c r="E953" s="264"/>
      <c r="F953" s="265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>
      <c r="A954" s="263"/>
      <c r="B954" s="264"/>
      <c r="C954" s="263"/>
      <c r="D954" s="265"/>
      <c r="E954" s="264"/>
      <c r="F954" s="265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>
      <c r="A955" s="263"/>
      <c r="B955" s="264"/>
      <c r="C955" s="263"/>
      <c r="D955" s="265"/>
      <c r="E955" s="264"/>
      <c r="F955" s="265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>
      <c r="A956" s="263"/>
      <c r="B956" s="264"/>
      <c r="C956" s="263"/>
      <c r="D956" s="265"/>
      <c r="E956" s="264"/>
      <c r="F956" s="265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>
      <c r="A957" s="263"/>
      <c r="B957" s="264"/>
      <c r="C957" s="263"/>
      <c r="D957" s="265"/>
      <c r="E957" s="264"/>
      <c r="F957" s="265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>
      <c r="A958" s="263"/>
      <c r="B958" s="264"/>
      <c r="C958" s="263"/>
      <c r="D958" s="265"/>
      <c r="E958" s="264"/>
      <c r="F958" s="265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>
      <c r="A959" s="263"/>
      <c r="B959" s="264"/>
      <c r="C959" s="263"/>
      <c r="D959" s="265"/>
      <c r="E959" s="264"/>
      <c r="F959" s="265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>
      <c r="A960" s="263"/>
      <c r="B960" s="264"/>
      <c r="C960" s="263"/>
      <c r="D960" s="265"/>
      <c r="E960" s="264"/>
      <c r="F960" s="265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>
      <c r="A961" s="263"/>
      <c r="B961" s="264"/>
      <c r="C961" s="263"/>
      <c r="D961" s="265"/>
      <c r="E961" s="264"/>
      <c r="F961" s="265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>
      <c r="A962" s="263"/>
      <c r="B962" s="264"/>
      <c r="C962" s="263"/>
      <c r="D962" s="265"/>
      <c r="E962" s="264"/>
      <c r="F962" s="265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>
      <c r="A963" s="263"/>
      <c r="B963" s="264"/>
      <c r="C963" s="263"/>
      <c r="D963" s="265"/>
      <c r="E963" s="264"/>
      <c r="F963" s="265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>
      <c r="A964" s="263"/>
      <c r="B964" s="264"/>
      <c r="C964" s="263"/>
      <c r="D964" s="265"/>
      <c r="E964" s="264"/>
      <c r="F964" s="265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>
      <c r="A965" s="263"/>
      <c r="B965" s="264"/>
      <c r="C965" s="263"/>
      <c r="D965" s="265"/>
      <c r="E965" s="264"/>
      <c r="F965" s="265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>
      <c r="A966" s="263"/>
      <c r="B966" s="264"/>
      <c r="C966" s="263"/>
      <c r="D966" s="265"/>
      <c r="E966" s="264"/>
      <c r="F966" s="265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>
      <c r="A967" s="263"/>
      <c r="B967" s="264"/>
      <c r="C967" s="263"/>
      <c r="D967" s="265"/>
      <c r="E967" s="264"/>
      <c r="F967" s="265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>
      <c r="A968" s="263"/>
      <c r="B968" s="264"/>
      <c r="C968" s="263"/>
      <c r="D968" s="265"/>
      <c r="E968" s="264"/>
      <c r="F968" s="265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>
      <c r="A969" s="263"/>
      <c r="B969" s="264"/>
      <c r="C969" s="263"/>
      <c r="D969" s="265"/>
      <c r="E969" s="264"/>
      <c r="F969" s="265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>
      <c r="A970" s="263"/>
      <c r="B970" s="264"/>
      <c r="C970" s="263"/>
      <c r="D970" s="265"/>
      <c r="E970" s="264"/>
      <c r="F970" s="265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>
      <c r="A971" s="263"/>
      <c r="B971" s="264"/>
      <c r="C971" s="263"/>
      <c r="D971" s="265"/>
      <c r="E971" s="264"/>
      <c r="F971" s="265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>
      <c r="A972" s="263"/>
      <c r="B972" s="264"/>
      <c r="C972" s="263"/>
      <c r="D972" s="265"/>
      <c r="E972" s="264"/>
      <c r="F972" s="265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>
      <c r="A973" s="263"/>
      <c r="B973" s="264"/>
      <c r="C973" s="263"/>
      <c r="D973" s="265"/>
      <c r="E973" s="264"/>
      <c r="F973" s="265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>
      <c r="A974" s="263"/>
      <c r="B974" s="264"/>
      <c r="C974" s="263"/>
      <c r="D974" s="265"/>
      <c r="E974" s="264"/>
      <c r="F974" s="265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>
      <c r="A975" s="263"/>
      <c r="B975" s="264"/>
      <c r="C975" s="263"/>
      <c r="D975" s="265"/>
      <c r="E975" s="264"/>
      <c r="F975" s="265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>
      <c r="A976" s="263"/>
      <c r="B976" s="264"/>
      <c r="C976" s="263"/>
      <c r="D976" s="265"/>
      <c r="E976" s="264"/>
      <c r="F976" s="265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>
      <c r="A977" s="263"/>
      <c r="B977" s="264"/>
      <c r="C977" s="263"/>
      <c r="D977" s="265"/>
      <c r="E977" s="264"/>
      <c r="F977" s="265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>
      <c r="A978" s="263"/>
      <c r="B978" s="264"/>
      <c r="C978" s="263"/>
      <c r="D978" s="265"/>
      <c r="E978" s="264"/>
      <c r="F978" s="265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>
      <c r="A979" s="263"/>
      <c r="B979" s="264"/>
      <c r="C979" s="263"/>
      <c r="D979" s="265"/>
      <c r="E979" s="264"/>
      <c r="F979" s="265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>
      <c r="A980" s="263"/>
      <c r="B980" s="264"/>
      <c r="C980" s="263"/>
      <c r="D980" s="265"/>
      <c r="E980" s="264"/>
      <c r="F980" s="265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>
      <c r="A981" s="263"/>
      <c r="B981" s="264"/>
      <c r="C981" s="263"/>
      <c r="D981" s="265"/>
      <c r="E981" s="264"/>
      <c r="F981" s="265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>
      <c r="A982" s="263"/>
      <c r="B982" s="264"/>
      <c r="C982" s="263"/>
      <c r="D982" s="265"/>
      <c r="E982" s="264"/>
      <c r="F982" s="265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>
      <c r="A983" s="263"/>
      <c r="B983" s="264"/>
      <c r="C983" s="263"/>
      <c r="D983" s="265"/>
      <c r="E983" s="264"/>
      <c r="F983" s="265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>
      <c r="A984" s="263"/>
      <c r="B984" s="264"/>
      <c r="C984" s="263"/>
      <c r="D984" s="265"/>
      <c r="E984" s="264"/>
      <c r="F984" s="265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>
      <c r="A985" s="263"/>
      <c r="B985" s="264"/>
      <c r="C985" s="263"/>
      <c r="D985" s="265"/>
      <c r="E985" s="264"/>
      <c r="F985" s="265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>
      <c r="A986" s="263"/>
      <c r="B986" s="264"/>
      <c r="C986" s="263"/>
      <c r="D986" s="265"/>
      <c r="E986" s="264"/>
      <c r="F986" s="265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>
      <c r="A987" s="263"/>
      <c r="B987" s="264"/>
      <c r="C987" s="263"/>
      <c r="D987" s="265"/>
      <c r="E987" s="264"/>
      <c r="F987" s="265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>
      <c r="A988" s="263"/>
      <c r="B988" s="264"/>
      <c r="C988" s="263"/>
      <c r="D988" s="265"/>
      <c r="E988" s="264"/>
      <c r="F988" s="265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>
      <c r="A989" s="263"/>
      <c r="B989" s="264"/>
      <c r="C989" s="263"/>
      <c r="D989" s="265"/>
      <c r="E989" s="264"/>
      <c r="F989" s="265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>
      <c r="A990" s="263"/>
      <c r="B990" s="264"/>
      <c r="C990" s="263"/>
      <c r="D990" s="265"/>
      <c r="E990" s="264"/>
      <c r="F990" s="265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>
      <c r="A991" s="263"/>
      <c r="B991" s="264"/>
      <c r="C991" s="263"/>
      <c r="D991" s="265"/>
      <c r="E991" s="264"/>
      <c r="F991" s="265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>
      <c r="A992" s="263"/>
      <c r="B992" s="264"/>
      <c r="C992" s="263"/>
      <c r="D992" s="265"/>
      <c r="E992" s="264"/>
      <c r="F992" s="265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>
      <c r="A993" s="263"/>
      <c r="B993" s="264"/>
      <c r="C993" s="263"/>
      <c r="D993" s="265"/>
      <c r="E993" s="264"/>
      <c r="F993" s="265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>
      <c r="A994" s="263"/>
      <c r="B994" s="264"/>
      <c r="C994" s="263"/>
      <c r="D994" s="265"/>
      <c r="E994" s="264"/>
      <c r="F994" s="265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>
      <c r="A995" s="263"/>
      <c r="B995" s="264"/>
      <c r="C995" s="263"/>
      <c r="D995" s="265"/>
      <c r="E995" s="264"/>
      <c r="F995" s="265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>
      <c r="A996" s="263"/>
      <c r="B996" s="264"/>
      <c r="C996" s="263"/>
      <c r="D996" s="265"/>
      <c r="E996" s="264"/>
      <c r="F996" s="265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</sheetData>
  <mergeCells count="46">
    <mergeCell ref="A1:A2"/>
    <mergeCell ref="B1:B2"/>
    <mergeCell ref="A3:A10"/>
    <mergeCell ref="F3:F10"/>
    <mergeCell ref="A11:A17"/>
    <mergeCell ref="F11:F17"/>
    <mergeCell ref="F18:F25"/>
    <mergeCell ref="A18:A25"/>
    <mergeCell ref="A26:A27"/>
    <mergeCell ref="A28:A30"/>
    <mergeCell ref="A31:A34"/>
    <mergeCell ref="A35:A42"/>
    <mergeCell ref="A43:A53"/>
    <mergeCell ref="A54:A57"/>
    <mergeCell ref="F26:F27"/>
    <mergeCell ref="F28:F30"/>
    <mergeCell ref="F31:F34"/>
    <mergeCell ref="F35:F42"/>
    <mergeCell ref="F43:F53"/>
    <mergeCell ref="F54:F57"/>
    <mergeCell ref="F58:F62"/>
    <mergeCell ref="A114:A122"/>
    <mergeCell ref="A123:A128"/>
    <mergeCell ref="A129:A137"/>
    <mergeCell ref="A138:A152"/>
    <mergeCell ref="A153:A168"/>
    <mergeCell ref="A169:A184"/>
    <mergeCell ref="A58:A62"/>
    <mergeCell ref="A67:A75"/>
    <mergeCell ref="A76:A84"/>
    <mergeCell ref="A85:A91"/>
    <mergeCell ref="A92:A98"/>
    <mergeCell ref="A99:A106"/>
    <mergeCell ref="A107:A113"/>
    <mergeCell ref="F123:F128"/>
    <mergeCell ref="F129:F137"/>
    <mergeCell ref="F138:F152"/>
    <mergeCell ref="F153:F168"/>
    <mergeCell ref="F169:F184"/>
    <mergeCell ref="F67:F75"/>
    <mergeCell ref="F76:F84"/>
    <mergeCell ref="F85:F91"/>
    <mergeCell ref="F92:F98"/>
    <mergeCell ref="F99:F106"/>
    <mergeCell ref="F107:F113"/>
    <mergeCell ref="F114:F12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3" width="15.5"/>
    <col customWidth="1" min="4" max="4" width="26.25"/>
    <col customWidth="1" min="5" max="5" width="15.5"/>
    <col customWidth="1" min="6" max="6" width="24.13"/>
    <col customWidth="1" min="7" max="7" width="16.63"/>
  </cols>
  <sheetData>
    <row r="1">
      <c r="A1" s="266" t="s">
        <v>37</v>
      </c>
      <c r="B1" s="267" t="s">
        <v>115</v>
      </c>
      <c r="C1" s="267" t="s">
        <v>116</v>
      </c>
      <c r="D1" s="266" t="s">
        <v>117</v>
      </c>
      <c r="E1" s="268" t="s">
        <v>118</v>
      </c>
      <c r="F1" s="268" t="s">
        <v>119</v>
      </c>
      <c r="G1" s="269" t="s">
        <v>120</v>
      </c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</row>
    <row r="2">
      <c r="A2" s="271" t="s">
        <v>71</v>
      </c>
      <c r="B2" s="272">
        <f>IFERROR(__xludf.DUMMYFUNCTION("IMPORTRANGE(""https://docs.google.com/spreadsheets/d/1tB-XkPzuXVrxqb0kVYRuqCkDAp6EGlGy6Sbpw-2a70c/edit?gid=98557681#gid=98557681"", ""4. REKAP STOK!E3:E85"")"),126.0)</f>
        <v>126</v>
      </c>
      <c r="C2" s="273" t="s">
        <v>77</v>
      </c>
      <c r="D2" s="274" t="s">
        <v>71</v>
      </c>
      <c r="E2" s="275" t="s">
        <v>121</v>
      </c>
      <c r="F2" s="275">
        <v>1.0</v>
      </c>
      <c r="G2" s="276">
        <f t="shared" ref="G2:G71" si="1">B2*F2</f>
        <v>126</v>
      </c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</row>
    <row r="3">
      <c r="A3" s="271" t="s">
        <v>122</v>
      </c>
      <c r="B3" s="272">
        <f>IFERROR(__xludf.DUMMYFUNCTION("""COMPUTED_VALUE"""),9000.0)</f>
        <v>9000</v>
      </c>
      <c r="C3" s="273" t="s">
        <v>123</v>
      </c>
      <c r="D3" s="277" t="s">
        <v>88</v>
      </c>
      <c r="E3" s="275" t="s">
        <v>77</v>
      </c>
      <c r="F3" s="275">
        <v>1.0</v>
      </c>
      <c r="G3" s="276">
        <f t="shared" si="1"/>
        <v>9000</v>
      </c>
      <c r="H3" s="270"/>
      <c r="I3" s="278" t="s">
        <v>124</v>
      </c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>
      <c r="A4" s="271" t="s">
        <v>84</v>
      </c>
      <c r="B4" s="272">
        <f>IFERROR(__xludf.DUMMYFUNCTION("""COMPUTED_VALUE"""),9000.0)</f>
        <v>9000</v>
      </c>
      <c r="C4" s="279" t="s">
        <v>121</v>
      </c>
      <c r="D4" s="274" t="s">
        <v>84</v>
      </c>
      <c r="E4" s="275" t="s">
        <v>121</v>
      </c>
      <c r="F4" s="275">
        <v>1.0</v>
      </c>
      <c r="G4" s="276">
        <f t="shared" si="1"/>
        <v>9000</v>
      </c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</row>
    <row r="5">
      <c r="A5" s="271" t="s">
        <v>125</v>
      </c>
      <c r="B5" s="272">
        <f>IFERROR(__xludf.DUMMYFUNCTION("""COMPUTED_VALUE"""),100.0)</f>
        <v>100</v>
      </c>
      <c r="C5" s="273" t="s">
        <v>121</v>
      </c>
      <c r="D5" s="280" t="s">
        <v>83</v>
      </c>
      <c r="E5" s="275" t="s">
        <v>121</v>
      </c>
      <c r="F5" s="275">
        <v>1.0</v>
      </c>
      <c r="G5" s="276">
        <f t="shared" si="1"/>
        <v>100</v>
      </c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</row>
    <row r="6">
      <c r="A6" s="271" t="s">
        <v>126</v>
      </c>
      <c r="B6" s="272">
        <f>IFERROR(__xludf.DUMMYFUNCTION("""COMPUTED_VALUE"""),100.0)</f>
        <v>100</v>
      </c>
      <c r="C6" s="279" t="s">
        <v>121</v>
      </c>
      <c r="D6" s="280" t="s">
        <v>91</v>
      </c>
      <c r="E6" s="275" t="s">
        <v>121</v>
      </c>
      <c r="F6" s="275">
        <v>1.0</v>
      </c>
      <c r="G6" s="276">
        <f t="shared" si="1"/>
        <v>100</v>
      </c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</row>
    <row r="7">
      <c r="A7" s="271" t="s">
        <v>92</v>
      </c>
      <c r="B7" s="272">
        <f>IFERROR(__xludf.DUMMYFUNCTION("""COMPUTED_VALUE"""),1500.0)</f>
        <v>1500</v>
      </c>
      <c r="C7" s="273" t="s">
        <v>121</v>
      </c>
      <c r="D7" s="274" t="s">
        <v>92</v>
      </c>
      <c r="E7" s="275" t="s">
        <v>121</v>
      </c>
      <c r="F7" s="275">
        <v>1.0</v>
      </c>
      <c r="G7" s="276">
        <f t="shared" si="1"/>
        <v>1500</v>
      </c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</row>
    <row r="8">
      <c r="A8" s="271" t="s">
        <v>87</v>
      </c>
      <c r="B8" s="272">
        <f>IFERROR(__xludf.DUMMYFUNCTION("""COMPUTED_VALUE"""),25.0)</f>
        <v>25</v>
      </c>
      <c r="C8" s="273" t="s">
        <v>121</v>
      </c>
      <c r="D8" s="274" t="s">
        <v>87</v>
      </c>
      <c r="E8" s="275" t="s">
        <v>121</v>
      </c>
      <c r="F8" s="275">
        <v>1.0</v>
      </c>
      <c r="G8" s="276">
        <f t="shared" si="1"/>
        <v>25</v>
      </c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  <c r="AA8" s="270"/>
      <c r="AB8" s="270"/>
    </row>
    <row r="9">
      <c r="A9" s="271" t="s">
        <v>90</v>
      </c>
      <c r="B9" s="272">
        <f>IFERROR(__xludf.DUMMYFUNCTION("""COMPUTED_VALUE"""),500.0)</f>
        <v>500</v>
      </c>
      <c r="C9" s="273" t="s">
        <v>77</v>
      </c>
      <c r="D9" s="274" t="s">
        <v>90</v>
      </c>
      <c r="E9" s="275" t="s">
        <v>121</v>
      </c>
      <c r="F9" s="275">
        <v>1.0</v>
      </c>
      <c r="G9" s="276">
        <f t="shared" si="1"/>
        <v>500</v>
      </c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/>
      <c r="AA9" s="270"/>
      <c r="AB9" s="270"/>
    </row>
    <row r="10">
      <c r="A10" s="271" t="s">
        <v>93</v>
      </c>
      <c r="B10" s="272">
        <f>IFERROR(__xludf.DUMMYFUNCTION("""COMPUTED_VALUE"""),1133.0)</f>
        <v>1133</v>
      </c>
      <c r="C10" s="273" t="s">
        <v>121</v>
      </c>
      <c r="D10" s="274" t="s">
        <v>93</v>
      </c>
      <c r="E10" s="275" t="s">
        <v>77</v>
      </c>
      <c r="F10" s="275">
        <v>1.0</v>
      </c>
      <c r="G10" s="276">
        <f t="shared" si="1"/>
        <v>1133</v>
      </c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  <c r="AA10" s="270"/>
      <c r="AB10" s="270"/>
    </row>
    <row r="11">
      <c r="A11" s="271" t="s">
        <v>127</v>
      </c>
      <c r="B11" s="272">
        <f>IFERROR(__xludf.DUMMYFUNCTION("""COMPUTED_VALUE"""),1.0)</f>
        <v>1</v>
      </c>
      <c r="C11" s="273" t="s">
        <v>77</v>
      </c>
      <c r="D11" s="274" t="s">
        <v>127</v>
      </c>
      <c r="E11" s="275" t="s">
        <v>121</v>
      </c>
      <c r="F11" s="275">
        <v>1.0</v>
      </c>
      <c r="G11" s="276">
        <f t="shared" si="1"/>
        <v>1</v>
      </c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</row>
    <row r="12">
      <c r="A12" s="271" t="s">
        <v>128</v>
      </c>
      <c r="B12" s="272">
        <f>IFERROR(__xludf.DUMMYFUNCTION("""COMPUTED_VALUE"""),984.0)</f>
        <v>984</v>
      </c>
      <c r="C12" s="279" t="s">
        <v>77</v>
      </c>
      <c r="D12" s="274" t="s">
        <v>128</v>
      </c>
      <c r="E12" s="275" t="s">
        <v>77</v>
      </c>
      <c r="F12" s="275">
        <v>1.0</v>
      </c>
      <c r="G12" s="276">
        <f t="shared" si="1"/>
        <v>984</v>
      </c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</row>
    <row r="13">
      <c r="A13" s="271" t="s">
        <v>129</v>
      </c>
      <c r="B13" s="272">
        <f>IFERROR(__xludf.DUMMYFUNCTION("""COMPUTED_VALUE"""),816.0)</f>
        <v>816</v>
      </c>
      <c r="C13" s="279" t="s">
        <v>77</v>
      </c>
      <c r="D13" s="274" t="s">
        <v>129</v>
      </c>
      <c r="E13" s="275" t="s">
        <v>77</v>
      </c>
      <c r="F13" s="275">
        <v>1.0</v>
      </c>
      <c r="G13" s="276">
        <f t="shared" si="1"/>
        <v>816</v>
      </c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  <c r="AA13" s="270"/>
      <c r="AB13" s="270"/>
    </row>
    <row r="14">
      <c r="A14" s="271" t="s">
        <v>89</v>
      </c>
      <c r="B14" s="272">
        <f>IFERROR(__xludf.DUMMYFUNCTION("""COMPUTED_VALUE"""),650.0)</f>
        <v>650</v>
      </c>
      <c r="C14" s="279" t="s">
        <v>77</v>
      </c>
      <c r="D14" s="274" t="s">
        <v>89</v>
      </c>
      <c r="E14" s="275" t="s">
        <v>77</v>
      </c>
      <c r="F14" s="275">
        <v>1.0</v>
      </c>
      <c r="G14" s="276">
        <f t="shared" si="1"/>
        <v>650</v>
      </c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  <c r="AA14" s="270"/>
      <c r="AB14" s="270"/>
    </row>
    <row r="15">
      <c r="A15" s="271" t="s">
        <v>74</v>
      </c>
      <c r="B15" s="272">
        <f>IFERROR(__xludf.DUMMYFUNCTION("""COMPUTED_VALUE"""),500.0)</f>
        <v>500</v>
      </c>
      <c r="C15" s="279" t="s">
        <v>121</v>
      </c>
      <c r="D15" s="274" t="s">
        <v>74</v>
      </c>
      <c r="E15" s="275" t="s">
        <v>77</v>
      </c>
      <c r="F15" s="275">
        <v>1.0</v>
      </c>
      <c r="G15" s="276">
        <f t="shared" si="1"/>
        <v>500</v>
      </c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</row>
    <row r="16">
      <c r="A16" s="271" t="s">
        <v>130</v>
      </c>
      <c r="B16" s="272">
        <f>IFERROR(__xludf.DUMMYFUNCTION("""COMPUTED_VALUE"""),200.0)</f>
        <v>200</v>
      </c>
      <c r="C16" s="279" t="s">
        <v>121</v>
      </c>
      <c r="D16" s="280" t="s">
        <v>73</v>
      </c>
      <c r="E16" s="281" t="s">
        <v>121</v>
      </c>
      <c r="F16" s="281">
        <v>1.0</v>
      </c>
      <c r="G16" s="276">
        <f t="shared" si="1"/>
        <v>200</v>
      </c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  <c r="AA16" s="270"/>
      <c r="AB16" s="270"/>
    </row>
    <row r="17">
      <c r="A17" s="271" t="s">
        <v>72</v>
      </c>
      <c r="B17" s="272">
        <f>IFERROR(__xludf.DUMMYFUNCTION("""COMPUTED_VALUE"""),0.0)</f>
        <v>0</v>
      </c>
      <c r="C17" s="279" t="s">
        <v>121</v>
      </c>
      <c r="D17" s="274" t="s">
        <v>72</v>
      </c>
      <c r="E17" s="275" t="s">
        <v>121</v>
      </c>
      <c r="F17" s="275">
        <v>1.0</v>
      </c>
      <c r="G17" s="276">
        <f t="shared" si="1"/>
        <v>0</v>
      </c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</row>
    <row r="18">
      <c r="A18" s="271" t="s">
        <v>131</v>
      </c>
      <c r="B18" s="272">
        <f>IFERROR(__xludf.DUMMYFUNCTION("""COMPUTED_VALUE"""),1800.0)</f>
        <v>1800</v>
      </c>
      <c r="C18" s="279" t="s">
        <v>77</v>
      </c>
      <c r="D18" s="274" t="s">
        <v>131</v>
      </c>
      <c r="E18" s="275" t="s">
        <v>121</v>
      </c>
      <c r="F18" s="275">
        <v>1.0</v>
      </c>
      <c r="G18" s="276">
        <f t="shared" si="1"/>
        <v>1800</v>
      </c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</row>
    <row r="19">
      <c r="A19" s="271" t="s">
        <v>132</v>
      </c>
      <c r="B19" s="272">
        <f>IFERROR(__xludf.DUMMYFUNCTION("""COMPUTED_VALUE"""),275.0)</f>
        <v>275</v>
      </c>
      <c r="C19" s="279" t="s">
        <v>77</v>
      </c>
      <c r="D19" s="277" t="s">
        <v>79</v>
      </c>
      <c r="E19" s="281" t="s">
        <v>63</v>
      </c>
      <c r="F19" s="281">
        <v>1.0</v>
      </c>
      <c r="G19" s="276">
        <f t="shared" si="1"/>
        <v>275</v>
      </c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  <c r="AA19" s="270"/>
      <c r="AB19" s="270"/>
    </row>
    <row r="20">
      <c r="A20" s="271" t="s">
        <v>133</v>
      </c>
      <c r="B20" s="272">
        <f>IFERROR(__xludf.DUMMYFUNCTION("""COMPUTED_VALUE"""),600.0)</f>
        <v>600</v>
      </c>
      <c r="C20" s="279" t="s">
        <v>121</v>
      </c>
      <c r="D20" s="274" t="s">
        <v>133</v>
      </c>
      <c r="E20" s="275" t="s">
        <v>77</v>
      </c>
      <c r="F20" s="275">
        <v>1.0</v>
      </c>
      <c r="G20" s="276">
        <f t="shared" si="1"/>
        <v>600</v>
      </c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</row>
    <row r="21">
      <c r="A21" s="271" t="s">
        <v>134</v>
      </c>
      <c r="B21" s="272">
        <f>IFERROR(__xludf.DUMMYFUNCTION("""COMPUTED_VALUE"""),10000.0)</f>
        <v>10000</v>
      </c>
      <c r="C21" s="279" t="s">
        <v>121</v>
      </c>
      <c r="D21" s="280" t="s">
        <v>82</v>
      </c>
      <c r="E21" s="275" t="s">
        <v>121</v>
      </c>
      <c r="F21" s="275">
        <v>1.0</v>
      </c>
      <c r="G21" s="276">
        <f t="shared" si="1"/>
        <v>10000</v>
      </c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  <c r="AA21" s="270"/>
      <c r="AB21" s="270"/>
    </row>
    <row r="22">
      <c r="A22" s="271" t="s">
        <v>135</v>
      </c>
      <c r="B22" s="272">
        <f>IFERROR(__xludf.DUMMYFUNCTION("""COMPUTED_VALUE"""),50.0)</f>
        <v>50</v>
      </c>
      <c r="C22" s="279" t="s">
        <v>121</v>
      </c>
      <c r="D22" s="274" t="s">
        <v>135</v>
      </c>
      <c r="E22" s="275" t="s">
        <v>121</v>
      </c>
      <c r="F22" s="275">
        <v>1.0</v>
      </c>
      <c r="G22" s="276">
        <f t="shared" si="1"/>
        <v>50</v>
      </c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  <c r="AA22" s="270"/>
      <c r="AB22" s="270"/>
    </row>
    <row r="23">
      <c r="A23" s="271" t="s">
        <v>62</v>
      </c>
      <c r="B23" s="272">
        <f>IFERROR(__xludf.DUMMYFUNCTION("""COMPUTED_VALUE"""),1900.0)</f>
        <v>1900</v>
      </c>
      <c r="C23" s="279" t="s">
        <v>77</v>
      </c>
      <c r="D23" s="274" t="s">
        <v>62</v>
      </c>
      <c r="E23" s="275" t="s">
        <v>121</v>
      </c>
      <c r="F23" s="275">
        <v>1.0</v>
      </c>
      <c r="G23" s="276">
        <f t="shared" si="1"/>
        <v>1900</v>
      </c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</row>
    <row r="24">
      <c r="A24" s="271" t="s">
        <v>136</v>
      </c>
      <c r="B24" s="272">
        <f>IFERROR(__xludf.DUMMYFUNCTION("""COMPUTED_VALUE"""),1925.0)</f>
        <v>1925</v>
      </c>
      <c r="C24" s="279" t="s">
        <v>77</v>
      </c>
      <c r="D24" s="277" t="s">
        <v>64</v>
      </c>
      <c r="E24" s="275" t="s">
        <v>77</v>
      </c>
      <c r="F24" s="275">
        <v>1.0</v>
      </c>
      <c r="G24" s="276">
        <f t="shared" si="1"/>
        <v>1925</v>
      </c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  <c r="AA24" s="270"/>
      <c r="AB24" s="270"/>
    </row>
    <row r="25">
      <c r="A25" s="271" t="s">
        <v>137</v>
      </c>
      <c r="B25" s="272">
        <f>IFERROR(__xludf.DUMMYFUNCTION("""COMPUTED_VALUE"""),300.0)</f>
        <v>300</v>
      </c>
      <c r="C25" s="279" t="s">
        <v>121</v>
      </c>
      <c r="D25" s="274" t="s">
        <v>137</v>
      </c>
      <c r="E25" s="275" t="s">
        <v>77</v>
      </c>
      <c r="F25" s="275">
        <v>1.0</v>
      </c>
      <c r="G25" s="276">
        <f t="shared" si="1"/>
        <v>300</v>
      </c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  <c r="AA25" s="270"/>
      <c r="AB25" s="270"/>
    </row>
    <row r="26">
      <c r="A26" s="271" t="s">
        <v>138</v>
      </c>
      <c r="B26" s="272">
        <f>IFERROR(__xludf.DUMMYFUNCTION("""COMPUTED_VALUE"""),870.0)</f>
        <v>870</v>
      </c>
      <c r="C26" s="279" t="s">
        <v>121</v>
      </c>
      <c r="D26" s="274" t="s">
        <v>138</v>
      </c>
      <c r="E26" s="275" t="s">
        <v>121</v>
      </c>
      <c r="F26" s="275">
        <v>1.0</v>
      </c>
      <c r="G26" s="276">
        <f t="shared" si="1"/>
        <v>870</v>
      </c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</row>
    <row r="27">
      <c r="A27" s="271" t="s">
        <v>139</v>
      </c>
      <c r="B27" s="272">
        <f>IFERROR(__xludf.DUMMYFUNCTION("""COMPUTED_VALUE"""),200.0)</f>
        <v>200</v>
      </c>
      <c r="C27" s="279" t="s">
        <v>77</v>
      </c>
      <c r="D27" s="274" t="s">
        <v>139</v>
      </c>
      <c r="E27" s="275" t="s">
        <v>121</v>
      </c>
      <c r="F27" s="275">
        <v>1.0</v>
      </c>
      <c r="G27" s="276">
        <f t="shared" si="1"/>
        <v>200</v>
      </c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</row>
    <row r="28">
      <c r="A28" s="271" t="s">
        <v>140</v>
      </c>
      <c r="B28" s="272">
        <f>IFERROR(__xludf.DUMMYFUNCTION("""COMPUTED_VALUE"""),27000.0)</f>
        <v>27000</v>
      </c>
      <c r="C28" s="279" t="s">
        <v>123</v>
      </c>
      <c r="D28" s="274" t="s">
        <v>140</v>
      </c>
      <c r="E28" s="275" t="s">
        <v>77</v>
      </c>
      <c r="F28" s="275">
        <v>1.0</v>
      </c>
      <c r="G28" s="276">
        <f t="shared" si="1"/>
        <v>27000</v>
      </c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  <c r="AA28" s="270"/>
      <c r="AB28" s="270"/>
    </row>
    <row r="29">
      <c r="A29" s="271" t="s">
        <v>141</v>
      </c>
      <c r="B29" s="272">
        <f>IFERROR(__xludf.DUMMYFUNCTION("""COMPUTED_VALUE"""),8.0)</f>
        <v>8</v>
      </c>
      <c r="C29" s="279" t="s">
        <v>142</v>
      </c>
      <c r="D29" s="274" t="s">
        <v>141</v>
      </c>
      <c r="E29" s="281" t="s">
        <v>77</v>
      </c>
      <c r="F29" s="281">
        <v>50.0</v>
      </c>
      <c r="G29" s="276">
        <f t="shared" si="1"/>
        <v>400</v>
      </c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</row>
    <row r="30">
      <c r="A30" s="282" t="s">
        <v>143</v>
      </c>
      <c r="B30" s="272">
        <f>IFERROR(__xludf.DUMMYFUNCTION("""COMPUTED_VALUE"""),22.0)</f>
        <v>22</v>
      </c>
      <c r="C30" s="279" t="s">
        <v>142</v>
      </c>
      <c r="D30" s="274" t="s">
        <v>143</v>
      </c>
      <c r="E30" s="281" t="s">
        <v>77</v>
      </c>
      <c r="F30" s="281">
        <v>34.0</v>
      </c>
      <c r="G30" s="276">
        <f t="shared" si="1"/>
        <v>748</v>
      </c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</row>
    <row r="31">
      <c r="A31" s="282" t="s">
        <v>144</v>
      </c>
      <c r="B31" s="272">
        <f>IFERROR(__xludf.DUMMYFUNCTION("""COMPUTED_VALUE"""),13.0)</f>
        <v>13</v>
      </c>
      <c r="C31" s="279" t="s">
        <v>142</v>
      </c>
      <c r="D31" s="274" t="s">
        <v>144</v>
      </c>
      <c r="E31" s="281" t="s">
        <v>77</v>
      </c>
      <c r="F31" s="281">
        <v>26.0</v>
      </c>
      <c r="G31" s="276">
        <f t="shared" si="1"/>
        <v>338</v>
      </c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  <c r="AA31" s="270"/>
      <c r="AB31" s="270"/>
    </row>
    <row r="32">
      <c r="A32" s="282" t="s">
        <v>145</v>
      </c>
      <c r="B32" s="272">
        <f>IFERROR(__xludf.DUMMYFUNCTION("""COMPUTED_VALUE"""),12.0)</f>
        <v>12</v>
      </c>
      <c r="C32" s="279" t="s">
        <v>63</v>
      </c>
      <c r="D32" s="274" t="s">
        <v>145</v>
      </c>
      <c r="E32" s="281" t="s">
        <v>77</v>
      </c>
      <c r="F32" s="281">
        <v>1.0</v>
      </c>
      <c r="G32" s="276">
        <f t="shared" si="1"/>
        <v>12</v>
      </c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</row>
    <row r="33">
      <c r="A33" s="282" t="s">
        <v>146</v>
      </c>
      <c r="B33" s="272">
        <f>IFERROR(__xludf.DUMMYFUNCTION("""COMPUTED_VALUE"""),50.0)</f>
        <v>50</v>
      </c>
      <c r="C33" s="279" t="s">
        <v>77</v>
      </c>
      <c r="D33" s="277" t="s">
        <v>69</v>
      </c>
      <c r="E33" s="281" t="s">
        <v>77</v>
      </c>
      <c r="F33" s="281">
        <v>1.0</v>
      </c>
      <c r="G33" s="276">
        <f t="shared" si="1"/>
        <v>50</v>
      </c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</row>
    <row r="34">
      <c r="A34" s="282" t="s">
        <v>147</v>
      </c>
      <c r="B34" s="272">
        <f>IFERROR(__xludf.DUMMYFUNCTION("""COMPUTED_VALUE"""),93023.0)</f>
        <v>93023</v>
      </c>
      <c r="C34" s="283" t="s">
        <v>121</v>
      </c>
      <c r="D34" s="280" t="s">
        <v>67</v>
      </c>
      <c r="E34" s="275" t="s">
        <v>121</v>
      </c>
      <c r="F34" s="275">
        <v>1.0</v>
      </c>
      <c r="G34" s="276">
        <f t="shared" si="1"/>
        <v>93023</v>
      </c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  <c r="AA34" s="270"/>
      <c r="AB34" s="270"/>
    </row>
    <row r="35">
      <c r="A35" s="284" t="s">
        <v>148</v>
      </c>
      <c r="B35" s="272">
        <f>IFERROR(__xludf.DUMMYFUNCTION("""COMPUTED_VALUE"""),22128.0)</f>
        <v>22128</v>
      </c>
      <c r="C35" s="279" t="s">
        <v>121</v>
      </c>
      <c r="D35" s="274" t="s">
        <v>60</v>
      </c>
      <c r="E35" s="275" t="s">
        <v>121</v>
      </c>
      <c r="F35" s="275">
        <v>1.0</v>
      </c>
      <c r="G35" s="276">
        <f t="shared" si="1"/>
        <v>22128</v>
      </c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</row>
    <row r="36">
      <c r="A36" s="284" t="s">
        <v>68</v>
      </c>
      <c r="B36" s="272">
        <f>IFERROR(__xludf.DUMMYFUNCTION("""COMPUTED_VALUE"""),3000.0)</f>
        <v>3000</v>
      </c>
      <c r="C36" s="279" t="s">
        <v>121</v>
      </c>
      <c r="D36" s="280" t="s">
        <v>68</v>
      </c>
      <c r="E36" s="275" t="s">
        <v>121</v>
      </c>
      <c r="F36" s="275">
        <v>1.0</v>
      </c>
      <c r="G36" s="276">
        <f t="shared" si="1"/>
        <v>3000</v>
      </c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</row>
    <row r="37">
      <c r="A37" s="281" t="s">
        <v>20</v>
      </c>
      <c r="B37" s="272">
        <f>IFERROR(__xludf.DUMMYFUNCTION("""COMPUTED_VALUE"""),294.0)</f>
        <v>294</v>
      </c>
      <c r="C37" s="279" t="s">
        <v>77</v>
      </c>
      <c r="D37" s="274" t="s">
        <v>20</v>
      </c>
      <c r="E37" s="275" t="s">
        <v>121</v>
      </c>
      <c r="F37" s="275">
        <v>1.0</v>
      </c>
      <c r="G37" s="276">
        <f t="shared" si="1"/>
        <v>294</v>
      </c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</row>
    <row r="38">
      <c r="A38" s="281" t="s">
        <v>149</v>
      </c>
      <c r="B38" s="272">
        <f>IFERROR(__xludf.DUMMYFUNCTION("""COMPUTED_VALUE"""),55.0)</f>
        <v>55</v>
      </c>
      <c r="C38" s="279" t="s">
        <v>77</v>
      </c>
      <c r="D38" s="277" t="s">
        <v>80</v>
      </c>
      <c r="E38" s="275" t="s">
        <v>77</v>
      </c>
      <c r="F38" s="275">
        <v>1.0</v>
      </c>
      <c r="G38" s="276">
        <f t="shared" si="1"/>
        <v>55</v>
      </c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  <c r="AA38" s="270"/>
      <c r="AB38" s="270"/>
    </row>
    <row r="39">
      <c r="A39" s="281" t="s">
        <v>150</v>
      </c>
      <c r="B39" s="272">
        <f>IFERROR(__xludf.DUMMYFUNCTION("""COMPUTED_VALUE"""),235.0)</f>
        <v>235</v>
      </c>
      <c r="C39" s="279" t="s">
        <v>77</v>
      </c>
      <c r="D39" s="274" t="s">
        <v>150</v>
      </c>
      <c r="E39" s="275" t="s">
        <v>77</v>
      </c>
      <c r="F39" s="275">
        <v>1.0</v>
      </c>
      <c r="G39" s="276">
        <f t="shared" si="1"/>
        <v>235</v>
      </c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  <c r="AA39" s="270"/>
      <c r="AB39" s="270"/>
    </row>
    <row r="40">
      <c r="A40" s="281" t="s">
        <v>151</v>
      </c>
      <c r="B40" s="272">
        <f>IFERROR(__xludf.DUMMYFUNCTION("""COMPUTED_VALUE"""),1063.0)</f>
        <v>1063</v>
      </c>
      <c r="C40" s="279" t="s">
        <v>121</v>
      </c>
      <c r="D40" s="280" t="s">
        <v>6</v>
      </c>
      <c r="E40" s="275" t="s">
        <v>77</v>
      </c>
      <c r="F40" s="275">
        <v>1.0</v>
      </c>
      <c r="G40" s="276">
        <f t="shared" si="1"/>
        <v>1063</v>
      </c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  <c r="AA40" s="270"/>
      <c r="AB40" s="270"/>
    </row>
    <row r="41">
      <c r="A41" s="281" t="s">
        <v>152</v>
      </c>
      <c r="B41" s="272">
        <f>IFERROR(__xludf.DUMMYFUNCTION("""COMPUTED_VALUE"""),1800.0)</f>
        <v>1800</v>
      </c>
      <c r="C41" s="273" t="s">
        <v>77</v>
      </c>
      <c r="D41" s="274" t="s">
        <v>152</v>
      </c>
      <c r="E41" s="275" t="s">
        <v>77</v>
      </c>
      <c r="F41" s="275">
        <v>1.0</v>
      </c>
      <c r="G41" s="276">
        <f t="shared" si="1"/>
        <v>1800</v>
      </c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  <c r="AA41" s="270"/>
      <c r="AB41" s="270"/>
    </row>
    <row r="42">
      <c r="A42" s="281" t="s">
        <v>153</v>
      </c>
      <c r="B42" s="272">
        <f>IFERROR(__xludf.DUMMYFUNCTION("""COMPUTED_VALUE"""),12.0)</f>
        <v>12</v>
      </c>
      <c r="C42" s="279" t="s">
        <v>77</v>
      </c>
      <c r="D42" s="274" t="s">
        <v>153</v>
      </c>
      <c r="E42" s="275" t="s">
        <v>121</v>
      </c>
      <c r="F42" s="275">
        <v>1.0</v>
      </c>
      <c r="G42" s="276">
        <f t="shared" si="1"/>
        <v>12</v>
      </c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  <c r="AA42" s="270"/>
      <c r="AB42" s="270"/>
    </row>
    <row r="43">
      <c r="A43" s="271" t="s">
        <v>154</v>
      </c>
      <c r="B43" s="272">
        <f>IFERROR(__xludf.DUMMYFUNCTION("""COMPUTED_VALUE"""),1.0)</f>
        <v>1</v>
      </c>
      <c r="C43" s="273" t="s">
        <v>77</v>
      </c>
      <c r="D43" s="285" t="s">
        <v>154</v>
      </c>
      <c r="E43" s="275" t="s">
        <v>77</v>
      </c>
      <c r="F43" s="281">
        <v>1.0</v>
      </c>
      <c r="G43" s="276">
        <f t="shared" si="1"/>
        <v>1</v>
      </c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  <c r="AA43" s="270"/>
      <c r="AB43" s="270"/>
    </row>
    <row r="44">
      <c r="A44" s="271" t="s">
        <v>155</v>
      </c>
      <c r="B44" s="272">
        <f>IFERROR(__xludf.DUMMYFUNCTION("""COMPUTED_VALUE"""),50.0)</f>
        <v>50</v>
      </c>
      <c r="C44" s="273" t="s">
        <v>121</v>
      </c>
      <c r="D44" s="285" t="s">
        <v>155</v>
      </c>
      <c r="E44" s="275" t="s">
        <v>77</v>
      </c>
      <c r="F44" s="281">
        <v>1.0</v>
      </c>
      <c r="G44" s="276">
        <f t="shared" si="1"/>
        <v>50</v>
      </c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0"/>
      <c r="Z44" s="270"/>
      <c r="AA44" s="270"/>
      <c r="AB44" s="270"/>
    </row>
    <row r="45">
      <c r="A45" s="271" t="s">
        <v>95</v>
      </c>
      <c r="B45" s="272">
        <f>IFERROR(__xludf.DUMMYFUNCTION("""COMPUTED_VALUE"""),150000.0)</f>
        <v>150000</v>
      </c>
      <c r="C45" s="273" t="s">
        <v>121</v>
      </c>
      <c r="D45" s="285" t="s">
        <v>95</v>
      </c>
      <c r="E45" s="275" t="s">
        <v>77</v>
      </c>
      <c r="F45" s="281">
        <v>1.0</v>
      </c>
      <c r="G45" s="276">
        <f t="shared" si="1"/>
        <v>150000</v>
      </c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  <c r="Z45" s="270"/>
      <c r="AA45" s="270"/>
      <c r="AB45" s="270"/>
    </row>
    <row r="46">
      <c r="A46" s="271" t="s">
        <v>156</v>
      </c>
      <c r="B46" s="272">
        <f>IFERROR(__xludf.DUMMYFUNCTION("""COMPUTED_VALUE"""),1.0)</f>
        <v>1</v>
      </c>
      <c r="C46" s="273" t="s">
        <v>142</v>
      </c>
      <c r="D46" s="285" t="s">
        <v>156</v>
      </c>
      <c r="E46" s="275" t="s">
        <v>121</v>
      </c>
      <c r="F46" s="281">
        <v>54.0</v>
      </c>
      <c r="G46" s="276">
        <f t="shared" si="1"/>
        <v>54</v>
      </c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</row>
    <row r="47">
      <c r="A47" s="271" t="s">
        <v>157</v>
      </c>
      <c r="B47" s="272">
        <f>IFERROR(__xludf.DUMMYFUNCTION("""COMPUTED_VALUE"""),15.0)</f>
        <v>15</v>
      </c>
      <c r="C47" s="273" t="s">
        <v>77</v>
      </c>
      <c r="D47" s="274" t="s">
        <v>157</v>
      </c>
      <c r="E47" s="275" t="s">
        <v>121</v>
      </c>
      <c r="F47" s="275">
        <v>1.0</v>
      </c>
      <c r="G47" s="276">
        <f t="shared" si="1"/>
        <v>15</v>
      </c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</row>
    <row r="48">
      <c r="A48" s="271" t="s">
        <v>158</v>
      </c>
      <c r="B48" s="272">
        <f>IFERROR(__xludf.DUMMYFUNCTION("""COMPUTED_VALUE"""),24.0)</f>
        <v>24</v>
      </c>
      <c r="C48" s="273" t="s">
        <v>77</v>
      </c>
      <c r="D48" s="285" t="s">
        <v>85</v>
      </c>
      <c r="E48" s="275" t="s">
        <v>77</v>
      </c>
      <c r="F48" s="281">
        <v>19000.0</v>
      </c>
      <c r="G48" s="276">
        <f t="shared" si="1"/>
        <v>456000</v>
      </c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  <c r="AA48" s="270"/>
      <c r="AB48" s="270"/>
    </row>
    <row r="49">
      <c r="A49" s="271" t="s">
        <v>159</v>
      </c>
      <c r="B49" s="272">
        <f>IFERROR(__xludf.DUMMYFUNCTION("""COMPUTED_VALUE"""),1500.0)</f>
        <v>1500</v>
      </c>
      <c r="C49" s="273" t="s">
        <v>123</v>
      </c>
      <c r="D49" s="285" t="s">
        <v>159</v>
      </c>
      <c r="E49" s="275" t="s">
        <v>77</v>
      </c>
      <c r="F49" s="281">
        <v>1.0</v>
      </c>
      <c r="G49" s="276">
        <f t="shared" si="1"/>
        <v>1500</v>
      </c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  <c r="AA49" s="270"/>
      <c r="AB49" s="270"/>
    </row>
    <row r="50">
      <c r="A50" s="271" t="s">
        <v>160</v>
      </c>
      <c r="B50" s="272">
        <f>IFERROR(__xludf.DUMMYFUNCTION("""COMPUTED_VALUE"""),2.0)</f>
        <v>2</v>
      </c>
      <c r="C50" s="273" t="s">
        <v>142</v>
      </c>
      <c r="D50" s="274" t="s">
        <v>160</v>
      </c>
      <c r="E50" s="286" t="s">
        <v>123</v>
      </c>
      <c r="F50" s="275">
        <v>1.0</v>
      </c>
      <c r="G50" s="276">
        <f t="shared" si="1"/>
        <v>2</v>
      </c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  <c r="AA50" s="270"/>
      <c r="AB50" s="270"/>
    </row>
    <row r="51">
      <c r="A51" s="271" t="s">
        <v>161</v>
      </c>
      <c r="B51" s="272">
        <f>IFERROR(__xludf.DUMMYFUNCTION("""COMPUTED_VALUE"""),1131.0)</f>
        <v>1131</v>
      </c>
      <c r="C51" s="273" t="s">
        <v>77</v>
      </c>
      <c r="D51" s="277" t="s">
        <v>81</v>
      </c>
      <c r="E51" s="275" t="s">
        <v>121</v>
      </c>
      <c r="F51" s="275">
        <v>1.0</v>
      </c>
      <c r="G51" s="276">
        <f t="shared" si="1"/>
        <v>1131</v>
      </c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  <c r="Z51" s="270"/>
      <c r="AA51" s="270"/>
      <c r="AB51" s="270"/>
    </row>
    <row r="52">
      <c r="A52" s="271" t="s">
        <v>162</v>
      </c>
      <c r="B52" s="272">
        <f>IFERROR(__xludf.DUMMYFUNCTION("""COMPUTED_VALUE"""),9.0)</f>
        <v>9</v>
      </c>
      <c r="C52" s="273" t="s">
        <v>142</v>
      </c>
      <c r="D52" s="285" t="s">
        <v>162</v>
      </c>
      <c r="E52" s="275" t="s">
        <v>121</v>
      </c>
      <c r="F52" s="281">
        <v>47.0</v>
      </c>
      <c r="G52" s="276">
        <f t="shared" si="1"/>
        <v>423</v>
      </c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  <c r="AA52" s="270"/>
      <c r="AB52" s="270"/>
    </row>
    <row r="53">
      <c r="A53" s="271" t="s">
        <v>163</v>
      </c>
      <c r="B53" s="272">
        <f>IFERROR(__xludf.DUMMYFUNCTION("""COMPUTED_VALUE"""),27.0)</f>
        <v>27</v>
      </c>
      <c r="C53" s="273" t="s">
        <v>77</v>
      </c>
      <c r="D53" s="285" t="s">
        <v>163</v>
      </c>
      <c r="E53" s="275" t="s">
        <v>77</v>
      </c>
      <c r="F53" s="281">
        <v>1.0</v>
      </c>
      <c r="G53" s="276">
        <f t="shared" si="1"/>
        <v>27</v>
      </c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  <c r="Z53" s="270"/>
      <c r="AA53" s="270"/>
      <c r="AB53" s="270"/>
    </row>
    <row r="54">
      <c r="A54" s="271" t="s">
        <v>94</v>
      </c>
      <c r="B54" s="272">
        <f>IFERROR(__xludf.DUMMYFUNCTION("""COMPUTED_VALUE"""),24.0)</f>
        <v>24</v>
      </c>
      <c r="C54" s="273" t="s">
        <v>77</v>
      </c>
      <c r="D54" s="274" t="s">
        <v>94</v>
      </c>
      <c r="E54" s="275" t="s">
        <v>77</v>
      </c>
      <c r="F54" s="275">
        <v>1.0</v>
      </c>
      <c r="G54" s="276">
        <f t="shared" si="1"/>
        <v>24</v>
      </c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  <c r="AA54" s="270"/>
      <c r="AB54" s="270"/>
    </row>
    <row r="55">
      <c r="A55" s="271" t="s">
        <v>164</v>
      </c>
      <c r="B55" s="272">
        <f>IFERROR(__xludf.DUMMYFUNCTION("""COMPUTED_VALUE"""),0.0)</f>
        <v>0</v>
      </c>
      <c r="C55" s="273" t="s">
        <v>77</v>
      </c>
      <c r="D55" s="285" t="s">
        <v>164</v>
      </c>
      <c r="E55" s="275" t="s">
        <v>77</v>
      </c>
      <c r="F55" s="281">
        <v>1.0</v>
      </c>
      <c r="G55" s="276">
        <f t="shared" si="1"/>
        <v>0</v>
      </c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  <c r="AA55" s="270"/>
      <c r="AB55" s="270"/>
    </row>
    <row r="56">
      <c r="A56" s="271" t="s">
        <v>165</v>
      </c>
      <c r="B56" s="272">
        <f>IFERROR(__xludf.DUMMYFUNCTION("""COMPUTED_VALUE"""),0.0)</f>
        <v>0</v>
      </c>
      <c r="C56" s="273" t="s">
        <v>77</v>
      </c>
      <c r="D56" s="287" t="s">
        <v>165</v>
      </c>
      <c r="E56" s="268" t="s">
        <v>77</v>
      </c>
      <c r="F56" s="266">
        <v>1.0</v>
      </c>
      <c r="G56" s="276">
        <f t="shared" si="1"/>
        <v>0</v>
      </c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</row>
    <row r="57">
      <c r="A57" s="271" t="s">
        <v>166</v>
      </c>
      <c r="B57" s="272">
        <f>IFERROR(__xludf.DUMMYFUNCTION("""COMPUTED_VALUE"""),0.0)</f>
        <v>0</v>
      </c>
      <c r="C57" s="273" t="s">
        <v>121</v>
      </c>
      <c r="D57" s="288" t="s">
        <v>166</v>
      </c>
      <c r="E57" s="281" t="s">
        <v>77</v>
      </c>
      <c r="F57" s="281">
        <v>1.0</v>
      </c>
      <c r="G57" s="276">
        <f t="shared" si="1"/>
        <v>0</v>
      </c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  <c r="AA57" s="270"/>
      <c r="AB57" s="270"/>
    </row>
    <row r="58">
      <c r="A58" s="271" t="s">
        <v>167</v>
      </c>
      <c r="B58" s="272">
        <f>IFERROR(__xludf.DUMMYFUNCTION("""COMPUTED_VALUE"""),2.0)</f>
        <v>2</v>
      </c>
      <c r="C58" s="273" t="s">
        <v>77</v>
      </c>
      <c r="D58" s="287" t="s">
        <v>167</v>
      </c>
      <c r="E58" s="268" t="s">
        <v>77</v>
      </c>
      <c r="F58" s="266">
        <v>1.0</v>
      </c>
      <c r="G58" s="276">
        <f t="shared" si="1"/>
        <v>2</v>
      </c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  <c r="Z58" s="270"/>
      <c r="AA58" s="270"/>
      <c r="AB58" s="270"/>
    </row>
    <row r="59">
      <c r="A59" s="271" t="s">
        <v>168</v>
      </c>
      <c r="B59" s="272">
        <f>IFERROR(__xludf.DUMMYFUNCTION("""COMPUTED_VALUE"""),0.0)</f>
        <v>0</v>
      </c>
      <c r="C59" s="273" t="s">
        <v>77</v>
      </c>
      <c r="D59" s="274" t="s">
        <v>168</v>
      </c>
      <c r="E59" s="281" t="s">
        <v>77</v>
      </c>
      <c r="F59" s="281">
        <v>1.0</v>
      </c>
      <c r="G59" s="276">
        <f t="shared" si="1"/>
        <v>0</v>
      </c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</row>
    <row r="60">
      <c r="A60" s="271" t="s">
        <v>169</v>
      </c>
      <c r="B60" s="272">
        <f>IFERROR(__xludf.DUMMYFUNCTION("""COMPUTED_VALUE"""),112.0)</f>
        <v>112</v>
      </c>
      <c r="C60" s="273" t="s">
        <v>77</v>
      </c>
      <c r="D60" s="274" t="s">
        <v>169</v>
      </c>
      <c r="E60" s="281" t="s">
        <v>121</v>
      </c>
      <c r="F60" s="281">
        <v>1.0</v>
      </c>
      <c r="G60" s="276">
        <f t="shared" si="1"/>
        <v>112</v>
      </c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  <c r="AB60" s="270"/>
    </row>
    <row r="61">
      <c r="A61" s="271" t="s">
        <v>170</v>
      </c>
      <c r="B61" s="272">
        <f>IFERROR(__xludf.DUMMYFUNCTION("""COMPUTED_VALUE"""),0.0)</f>
        <v>0</v>
      </c>
      <c r="C61" s="273" t="s">
        <v>123</v>
      </c>
      <c r="D61" s="274" t="s">
        <v>170</v>
      </c>
      <c r="E61" s="281" t="s">
        <v>77</v>
      </c>
      <c r="F61" s="281">
        <v>1.0</v>
      </c>
      <c r="G61" s="276">
        <f t="shared" si="1"/>
        <v>0</v>
      </c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</row>
    <row r="62">
      <c r="A62" s="271" t="s">
        <v>96</v>
      </c>
      <c r="B62" s="272">
        <f>IFERROR(__xludf.DUMMYFUNCTION("""COMPUTED_VALUE"""),14000.0)</f>
        <v>14000</v>
      </c>
      <c r="C62" s="273" t="s">
        <v>121</v>
      </c>
      <c r="D62" s="274" t="s">
        <v>96</v>
      </c>
      <c r="E62" s="281" t="s">
        <v>77</v>
      </c>
      <c r="F62" s="281">
        <v>1.0</v>
      </c>
      <c r="G62" s="276">
        <f t="shared" si="1"/>
        <v>14000</v>
      </c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  <c r="AA62" s="270"/>
      <c r="AB62" s="270"/>
    </row>
    <row r="63">
      <c r="A63" s="271" t="s">
        <v>97</v>
      </c>
      <c r="B63" s="272">
        <f>IFERROR(__xludf.DUMMYFUNCTION("""COMPUTED_VALUE"""),1000.0)</f>
        <v>1000</v>
      </c>
      <c r="C63" s="273" t="s">
        <v>121</v>
      </c>
      <c r="D63" s="274" t="s">
        <v>97</v>
      </c>
      <c r="E63" s="281" t="s">
        <v>77</v>
      </c>
      <c r="F63" s="281">
        <v>1.0</v>
      </c>
      <c r="G63" s="276">
        <f t="shared" si="1"/>
        <v>1000</v>
      </c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  <c r="AB63" s="270"/>
    </row>
    <row r="64">
      <c r="A64" s="271" t="s">
        <v>99</v>
      </c>
      <c r="B64" s="272">
        <f>IFERROR(__xludf.DUMMYFUNCTION("""COMPUTED_VALUE"""),201.0)</f>
        <v>201</v>
      </c>
      <c r="C64" s="279" t="s">
        <v>77</v>
      </c>
      <c r="D64" s="274" t="s">
        <v>99</v>
      </c>
      <c r="E64" s="281" t="s">
        <v>103</v>
      </c>
      <c r="F64" s="281">
        <v>1.0</v>
      </c>
      <c r="G64" s="276">
        <f t="shared" si="1"/>
        <v>201</v>
      </c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  <c r="AA64" s="270"/>
      <c r="AB64" s="270"/>
    </row>
    <row r="65">
      <c r="A65" s="271" t="s">
        <v>100</v>
      </c>
      <c r="B65" s="272">
        <f>IFERROR(__xludf.DUMMYFUNCTION("""COMPUTED_VALUE"""),2500.0)</f>
        <v>2500</v>
      </c>
      <c r="C65" s="273" t="s">
        <v>121</v>
      </c>
      <c r="D65" s="274" t="s">
        <v>100</v>
      </c>
      <c r="E65" s="281" t="s">
        <v>121</v>
      </c>
      <c r="F65" s="281">
        <v>1.0</v>
      </c>
      <c r="G65" s="276">
        <f t="shared" si="1"/>
        <v>2500</v>
      </c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  <c r="AA65" s="270"/>
      <c r="AB65" s="270"/>
    </row>
    <row r="66">
      <c r="A66" s="271" t="s">
        <v>98</v>
      </c>
      <c r="B66" s="272">
        <f>IFERROR(__xludf.DUMMYFUNCTION("""COMPUTED_VALUE"""),431.0)</f>
        <v>431</v>
      </c>
      <c r="C66" s="273" t="s">
        <v>77</v>
      </c>
      <c r="D66" s="274" t="s">
        <v>98</v>
      </c>
      <c r="E66" s="281" t="s">
        <v>121</v>
      </c>
      <c r="F66" s="281">
        <v>1.0</v>
      </c>
      <c r="G66" s="276">
        <f t="shared" si="1"/>
        <v>431</v>
      </c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  <c r="AA66" s="270"/>
      <c r="AB66" s="270"/>
    </row>
    <row r="67">
      <c r="A67" s="289" t="s">
        <v>171</v>
      </c>
      <c r="B67" s="272">
        <f>IFERROR(__xludf.DUMMYFUNCTION("""COMPUTED_VALUE"""),0.0)</f>
        <v>0</v>
      </c>
      <c r="C67" s="290" t="s">
        <v>121</v>
      </c>
      <c r="D67" s="291" t="s">
        <v>171</v>
      </c>
      <c r="E67" s="268" t="s">
        <v>77</v>
      </c>
      <c r="F67" s="266">
        <v>1.0</v>
      </c>
      <c r="G67" s="276">
        <f t="shared" si="1"/>
        <v>0</v>
      </c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  <c r="AA67" s="270"/>
      <c r="AB67" s="270"/>
    </row>
    <row r="68">
      <c r="A68" s="289" t="s">
        <v>104</v>
      </c>
      <c r="B68" s="272">
        <f>IFERROR(__xludf.DUMMYFUNCTION("""COMPUTED_VALUE"""),2882.0)</f>
        <v>2882</v>
      </c>
      <c r="C68" s="290" t="s">
        <v>121</v>
      </c>
      <c r="D68" s="291" t="s">
        <v>104</v>
      </c>
      <c r="E68" s="268" t="s">
        <v>121</v>
      </c>
      <c r="F68" s="266">
        <v>1.0</v>
      </c>
      <c r="G68" s="276">
        <f t="shared" si="1"/>
        <v>2882</v>
      </c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  <c r="Z68" s="270"/>
      <c r="AA68" s="270"/>
      <c r="AB68" s="270"/>
    </row>
    <row r="69">
      <c r="A69" s="289" t="s">
        <v>172</v>
      </c>
      <c r="B69" s="272">
        <f>IFERROR(__xludf.DUMMYFUNCTION("""COMPUTED_VALUE"""),2123.0)</f>
        <v>2123</v>
      </c>
      <c r="C69" s="290" t="s">
        <v>121</v>
      </c>
      <c r="D69" s="291" t="s">
        <v>172</v>
      </c>
      <c r="E69" s="268" t="s">
        <v>77</v>
      </c>
      <c r="F69" s="266">
        <v>1.0</v>
      </c>
      <c r="G69" s="276">
        <f t="shared" si="1"/>
        <v>2123</v>
      </c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  <c r="AA69" s="270"/>
      <c r="AB69" s="270"/>
    </row>
    <row r="70">
      <c r="A70" s="289" t="s">
        <v>105</v>
      </c>
      <c r="B70" s="272">
        <f>IFERROR(__xludf.DUMMYFUNCTION("""COMPUTED_VALUE"""),3078.0)</f>
        <v>3078</v>
      </c>
      <c r="C70" s="290" t="s">
        <v>121</v>
      </c>
      <c r="D70" s="291" t="s">
        <v>105</v>
      </c>
      <c r="E70" s="268" t="s">
        <v>121</v>
      </c>
      <c r="F70" s="266">
        <v>1.0</v>
      </c>
      <c r="G70" s="276">
        <f t="shared" si="1"/>
        <v>3078</v>
      </c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  <c r="AA70" s="270"/>
      <c r="AB70" s="270"/>
    </row>
    <row r="71">
      <c r="A71" s="289" t="s">
        <v>173</v>
      </c>
      <c r="B71" s="272">
        <f>IFERROR(__xludf.DUMMYFUNCTION("""COMPUTED_VALUE"""),0.0)</f>
        <v>0</v>
      </c>
      <c r="C71" s="290" t="s">
        <v>121</v>
      </c>
      <c r="D71" s="291" t="s">
        <v>173</v>
      </c>
      <c r="E71" s="268" t="s">
        <v>121</v>
      </c>
      <c r="F71" s="266">
        <v>1.0</v>
      </c>
      <c r="G71" s="276">
        <f t="shared" si="1"/>
        <v>0</v>
      </c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  <c r="AB71" s="270"/>
    </row>
  </sheetData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5"/>
    <col customWidth="1" min="2" max="2" width="22.63"/>
    <col customWidth="1" min="3" max="3" width="12.38"/>
    <col customWidth="1" min="4" max="4" width="6.5"/>
    <col customWidth="1" min="5" max="5" width="10.88"/>
    <col customWidth="1" min="6" max="6" width="10.38"/>
    <col customWidth="1" min="7" max="7" width="9.88"/>
    <col customWidth="1" min="8" max="8" width="12.25"/>
    <col customWidth="1" min="9" max="9" width="14.0"/>
    <col customWidth="1" min="10" max="10" width="12.25"/>
    <col customWidth="1" min="11" max="11" width="9.38"/>
    <col customWidth="1" min="12" max="12" width="23.0"/>
    <col customWidth="1" min="13" max="13" width="13.0"/>
    <col customWidth="1" min="14" max="14" width="12.25"/>
    <col customWidth="1" min="15" max="15" width="9.63"/>
    <col customWidth="1" min="16" max="17" width="15.25"/>
  </cols>
  <sheetData>
    <row r="1">
      <c r="C1" s="294" t="s">
        <v>175</v>
      </c>
      <c r="D1" s="294" t="s">
        <v>176</v>
      </c>
      <c r="E1" s="295" t="s">
        <v>177</v>
      </c>
      <c r="F1" s="294" t="s">
        <v>178</v>
      </c>
      <c r="G1" s="296" t="s">
        <v>179</v>
      </c>
      <c r="H1" s="294" t="s">
        <v>180</v>
      </c>
      <c r="I1" s="297" t="s">
        <v>181</v>
      </c>
      <c r="J1" s="294" t="s">
        <v>182</v>
      </c>
      <c r="K1" s="294" t="s">
        <v>183</v>
      </c>
      <c r="L1" s="298" t="s">
        <v>184</v>
      </c>
      <c r="M1" s="298" t="s">
        <v>185</v>
      </c>
      <c r="N1" s="299" t="s">
        <v>186</v>
      </c>
      <c r="O1" s="294" t="s">
        <v>187</v>
      </c>
      <c r="P1" s="294" t="s">
        <v>188</v>
      </c>
      <c r="Q1" s="300"/>
    </row>
    <row r="2">
      <c r="C2" s="298">
        <f>VLOOKUP(A2, 'Rekap Stock Keluar Inventory'!$D$2:$G$71, 4, )</f>
        <v>456000</v>
      </c>
      <c r="D2" s="294"/>
      <c r="E2" s="295"/>
      <c r="F2" s="294"/>
      <c r="G2" s="296"/>
      <c r="H2" s="298">
        <f t="shared" ref="H2:H42" si="1">B2-(C2-D2-E2-F2-G2)</f>
        <v>-153720</v>
      </c>
      <c r="I2" s="303"/>
      <c r="J2" s="298">
        <f t="shared" ref="J2:J42" si="2">H2-I2</f>
        <v>-153720</v>
      </c>
      <c r="K2" s="304">
        <f>IFERROR(__xludf.DUMMYFUNCTION("TO_PERCENT(J2/C2)"),-0.33710526315789474)</f>
        <v>-0.3371052632</v>
      </c>
      <c r="L2" s="298">
        <f t="shared" ref="L2:L42" si="3">B2+(B2*3%)</f>
        <v>311348.4</v>
      </c>
      <c r="M2" s="298">
        <f t="shared" ref="M2:M42" si="4">B2*1%</f>
        <v>3022.8</v>
      </c>
      <c r="N2" s="305">
        <f t="shared" ref="N2:N42" si="5">J2+M2</f>
        <v>-150697.2</v>
      </c>
      <c r="O2" s="306">
        <v>2.7</v>
      </c>
      <c r="P2" s="307"/>
      <c r="Q2" s="308"/>
    </row>
    <row r="3">
      <c r="C3" s="298">
        <f>VLOOKUP(A3, 'Rekap Stock Keluar Inventory'!$D$2:$G$71, 4, )</f>
        <v>93023</v>
      </c>
      <c r="D3" s="309">
        <v>2420.0</v>
      </c>
      <c r="E3" s="310">
        <v>2090.0</v>
      </c>
      <c r="F3" s="309">
        <v>260.0</v>
      </c>
      <c r="G3" s="311">
        <v>3510.0</v>
      </c>
      <c r="H3" s="298">
        <f t="shared" si="1"/>
        <v>4068</v>
      </c>
      <c r="I3" s="303">
        <v>2346.0</v>
      </c>
      <c r="J3" s="298">
        <f t="shared" si="2"/>
        <v>1722</v>
      </c>
      <c r="K3" s="304">
        <f>IFERROR(__xludf.DUMMYFUNCTION("TO_PERCENT(J3/C3)"),0.018511550906764995)</f>
        <v>0.01851155091</v>
      </c>
      <c r="L3" s="298">
        <f t="shared" si="3"/>
        <v>91475.33</v>
      </c>
      <c r="M3" s="298">
        <f t="shared" si="4"/>
        <v>888.11</v>
      </c>
      <c r="N3" s="305">
        <f t="shared" si="5"/>
        <v>2610.11</v>
      </c>
      <c r="O3" s="306">
        <v>49.0</v>
      </c>
      <c r="P3" s="307">
        <f t="shared" ref="P3:P42" si="6">N3*O3</f>
        <v>127895.39</v>
      </c>
      <c r="Q3" s="300"/>
    </row>
    <row r="4">
      <c r="C4" s="298">
        <f>VLOOKUP(A4, 'Rekap Stock Keluar Inventory'!$D$2:$G$71, 4, )</f>
        <v>201</v>
      </c>
      <c r="D4" s="294"/>
      <c r="E4" s="295"/>
      <c r="F4" s="294"/>
      <c r="G4" s="296"/>
      <c r="H4" s="298">
        <f t="shared" si="1"/>
        <v>-1</v>
      </c>
      <c r="I4" s="313"/>
      <c r="J4" s="298">
        <f t="shared" si="2"/>
        <v>-1</v>
      </c>
      <c r="K4" s="304">
        <f>IFERROR(__xludf.DUMMYFUNCTION("TO_PERCENT(J4/C4)"),-0.004975124378109453)</f>
        <v>-0.004975124378</v>
      </c>
      <c r="L4" s="298">
        <f t="shared" si="3"/>
        <v>206</v>
      </c>
      <c r="M4" s="298">
        <f t="shared" si="4"/>
        <v>2</v>
      </c>
      <c r="N4" s="305">
        <f t="shared" si="5"/>
        <v>1</v>
      </c>
      <c r="O4" s="306">
        <v>2530.0</v>
      </c>
      <c r="P4" s="307">
        <f t="shared" si="6"/>
        <v>2530</v>
      </c>
      <c r="Q4" s="300"/>
    </row>
    <row r="5">
      <c r="C5" s="298">
        <f>VLOOKUP(A5, 'Rekap Stock Keluar Inventory'!$D$2:$G$71, 4, )</f>
        <v>150000</v>
      </c>
      <c r="D5" s="309">
        <v>5000.0</v>
      </c>
      <c r="E5" s="310">
        <v>590.0</v>
      </c>
      <c r="F5" s="309">
        <v>135.0</v>
      </c>
      <c r="G5" s="311">
        <v>3982.0</v>
      </c>
      <c r="H5" s="298">
        <f t="shared" si="1"/>
        <v>8423</v>
      </c>
      <c r="I5" s="303">
        <v>776.0</v>
      </c>
      <c r="J5" s="298">
        <f t="shared" si="2"/>
        <v>7647</v>
      </c>
      <c r="K5" s="304">
        <f>IFERROR(__xludf.DUMMYFUNCTION("TO_PERCENT(J5/C5)"),0.05098)</f>
        <v>0.05098</v>
      </c>
      <c r="L5" s="298">
        <f t="shared" si="3"/>
        <v>153177.48</v>
      </c>
      <c r="M5" s="298">
        <f t="shared" si="4"/>
        <v>1487.16</v>
      </c>
      <c r="N5" s="305">
        <f t="shared" si="5"/>
        <v>9134.16</v>
      </c>
      <c r="O5" s="306">
        <v>16.0</v>
      </c>
      <c r="P5" s="307">
        <f t="shared" si="6"/>
        <v>146146.56</v>
      </c>
      <c r="Q5" s="314"/>
    </row>
    <row r="6">
      <c r="C6" s="298">
        <f>VLOOKUP(A6, 'Rekap Stock Keluar Inventory'!$D$2:$G$71, 4, )</f>
        <v>14000</v>
      </c>
      <c r="D6" s="294"/>
      <c r="E6" s="295"/>
      <c r="F6" s="309">
        <v>15.0</v>
      </c>
      <c r="G6" s="311">
        <v>442.0</v>
      </c>
      <c r="H6" s="298">
        <f t="shared" si="1"/>
        <v>2981</v>
      </c>
      <c r="I6" s="313"/>
      <c r="J6" s="298">
        <f t="shared" si="2"/>
        <v>2981</v>
      </c>
      <c r="K6" s="304">
        <f>IFERROR(__xludf.DUMMYFUNCTION("TO_PERCENT(J6/C6)"),0.21292857142857144)</f>
        <v>0.2129285714</v>
      </c>
      <c r="L6" s="298">
        <f t="shared" si="3"/>
        <v>17019.72</v>
      </c>
      <c r="M6" s="298">
        <f t="shared" si="4"/>
        <v>165.24</v>
      </c>
      <c r="N6" s="305">
        <f t="shared" si="5"/>
        <v>3146.24</v>
      </c>
      <c r="O6" s="306">
        <v>31.0</v>
      </c>
      <c r="P6" s="307">
        <f t="shared" si="6"/>
        <v>97533.44</v>
      </c>
      <c r="Q6" s="300"/>
    </row>
    <row r="7">
      <c r="C7" s="298">
        <f>VLOOKUP(A7, 'Rekap Stock Keluar Inventory'!$D$2:$G$71, 4, )</f>
        <v>1900</v>
      </c>
      <c r="D7" s="309">
        <v>1.0</v>
      </c>
      <c r="E7" s="310">
        <v>7.0</v>
      </c>
      <c r="F7" s="294"/>
      <c r="G7" s="296"/>
      <c r="H7" s="298">
        <f t="shared" si="1"/>
        <v>27</v>
      </c>
      <c r="I7" s="303">
        <v>32.0</v>
      </c>
      <c r="J7" s="298">
        <f t="shared" si="2"/>
        <v>-5</v>
      </c>
      <c r="K7" s="304">
        <f>IFERROR(__xludf.DUMMYFUNCTION("TO_PERCENT(J7/C7)"),-0.002631578947368421)</f>
        <v>-0.002631578947</v>
      </c>
      <c r="L7" s="298">
        <f t="shared" si="3"/>
        <v>1976.57</v>
      </c>
      <c r="M7" s="298">
        <f t="shared" si="4"/>
        <v>19.19</v>
      </c>
      <c r="N7" s="305">
        <f t="shared" si="5"/>
        <v>14.19</v>
      </c>
      <c r="O7" s="315"/>
      <c r="P7" s="307">
        <f t="shared" si="6"/>
        <v>0</v>
      </c>
      <c r="Q7" s="300"/>
    </row>
    <row r="8">
      <c r="C8" s="298">
        <f>VLOOKUP(A8, 'Rekap Stock Keluar Inventory'!$D$2:$G$71, 4, )</f>
        <v>100</v>
      </c>
      <c r="D8" s="309">
        <v>143.0</v>
      </c>
      <c r="E8" s="295"/>
      <c r="F8" s="294"/>
      <c r="G8" s="296"/>
      <c r="H8" s="298">
        <f t="shared" si="1"/>
        <v>63</v>
      </c>
      <c r="I8" s="303">
        <v>57.0</v>
      </c>
      <c r="J8" s="298">
        <f t="shared" si="2"/>
        <v>6</v>
      </c>
      <c r="K8" s="304">
        <f>IFERROR(__xludf.DUMMYFUNCTION("TO_PERCENT(J8/C8)"),0.06)</f>
        <v>0.06</v>
      </c>
      <c r="L8" s="298">
        <f t="shared" si="3"/>
        <v>20.6</v>
      </c>
      <c r="M8" s="298">
        <f t="shared" si="4"/>
        <v>0.2</v>
      </c>
      <c r="N8" s="305">
        <f t="shared" si="5"/>
        <v>6.2</v>
      </c>
      <c r="O8" s="306">
        <v>1085.0</v>
      </c>
      <c r="P8" s="307">
        <f t="shared" si="6"/>
        <v>6727</v>
      </c>
      <c r="Q8" s="300"/>
    </row>
    <row r="9">
      <c r="C9" s="298">
        <f>VLOOKUP(A9, 'Rekap Stock Keluar Inventory'!$D$2:$G$71, 4, )</f>
        <v>100</v>
      </c>
      <c r="D9" s="294"/>
      <c r="E9" s="310">
        <v>51.0</v>
      </c>
      <c r="F9" s="294"/>
      <c r="G9" s="296"/>
      <c r="H9" s="298">
        <f t="shared" si="1"/>
        <v>156</v>
      </c>
      <c r="I9" s="303">
        <v>30.0</v>
      </c>
      <c r="J9" s="298">
        <f t="shared" si="2"/>
        <v>126</v>
      </c>
      <c r="K9" s="304">
        <f>IFERROR(__xludf.DUMMYFUNCTION("TO_PERCENT(J9/C9)"),1.26)</f>
        <v>1.26</v>
      </c>
      <c r="L9" s="298">
        <f t="shared" si="3"/>
        <v>211.15</v>
      </c>
      <c r="M9" s="298">
        <f t="shared" si="4"/>
        <v>2.05</v>
      </c>
      <c r="N9" s="305">
        <f t="shared" si="5"/>
        <v>128.05</v>
      </c>
      <c r="O9" s="306">
        <v>1350.0</v>
      </c>
      <c r="P9" s="307">
        <f t="shared" si="6"/>
        <v>172867.5</v>
      </c>
      <c r="Q9" s="300"/>
    </row>
    <row r="10">
      <c r="C10" s="298">
        <f>VLOOKUP(A10, 'Rekap Stock Keluar Inventory'!$D$2:$G$71, 4, )</f>
        <v>1063</v>
      </c>
      <c r="D10" s="309">
        <v>671.0</v>
      </c>
      <c r="E10" s="295"/>
      <c r="F10" s="294"/>
      <c r="G10" s="296"/>
      <c r="H10" s="298">
        <f t="shared" si="1"/>
        <v>648</v>
      </c>
      <c r="I10" s="303">
        <v>459.0</v>
      </c>
      <c r="J10" s="298">
        <f t="shared" si="2"/>
        <v>189</v>
      </c>
      <c r="K10" s="304">
        <f>IFERROR(__xludf.DUMMYFUNCTION("TO_PERCENT(J10/C10)"),0.17779868297271872)</f>
        <v>0.177798683</v>
      </c>
      <c r="L10" s="298">
        <f t="shared" si="3"/>
        <v>1071.2</v>
      </c>
      <c r="M10" s="298">
        <f t="shared" si="4"/>
        <v>10.4</v>
      </c>
      <c r="N10" s="305">
        <f t="shared" si="5"/>
        <v>199.4</v>
      </c>
      <c r="O10" s="306">
        <v>121.0</v>
      </c>
      <c r="P10" s="307">
        <f t="shared" si="6"/>
        <v>24127.4</v>
      </c>
      <c r="Q10" s="300"/>
    </row>
    <row r="11">
      <c r="C11" s="298">
        <f>VLOOKUP(A11, 'Rekap Stock Keluar Inventory'!$D$2:$G$71, 4, )</f>
        <v>1000</v>
      </c>
      <c r="D11" s="294"/>
      <c r="E11" s="310">
        <v>409.0</v>
      </c>
      <c r="F11" s="309">
        <v>2.5</v>
      </c>
      <c r="G11" s="311">
        <v>73.8</v>
      </c>
      <c r="H11" s="298">
        <f t="shared" si="1"/>
        <v>2319.3</v>
      </c>
      <c r="I11" s="303">
        <v>362.0</v>
      </c>
      <c r="J11" s="298">
        <f t="shared" si="2"/>
        <v>1957.3</v>
      </c>
      <c r="K11" s="304">
        <f>IFERROR(__xludf.DUMMYFUNCTION("TO_PERCENT(J11/C11)"),1.9573000000000003)</f>
        <v>1.9573</v>
      </c>
      <c r="L11" s="298">
        <f t="shared" si="3"/>
        <v>2919.02</v>
      </c>
      <c r="M11" s="298">
        <f t="shared" si="4"/>
        <v>28.34</v>
      </c>
      <c r="N11" s="305">
        <f t="shared" si="5"/>
        <v>1985.64</v>
      </c>
      <c r="O11" s="306">
        <v>40.0</v>
      </c>
      <c r="P11" s="307">
        <f t="shared" si="6"/>
        <v>79425.6</v>
      </c>
      <c r="Q11" s="300"/>
    </row>
    <row r="12">
      <c r="C12" s="298">
        <f>VLOOKUP(A12, 'Rekap Stock Keluar Inventory'!$D$2:$G$71, 4, )</f>
        <v>650</v>
      </c>
      <c r="D12" s="309">
        <v>2.0</v>
      </c>
      <c r="E12" s="310">
        <v>40.0</v>
      </c>
      <c r="F12" s="294"/>
      <c r="G12" s="296"/>
      <c r="H12" s="298">
        <f t="shared" si="1"/>
        <v>49</v>
      </c>
      <c r="I12" s="303">
        <v>57.0</v>
      </c>
      <c r="J12" s="298">
        <f t="shared" si="2"/>
        <v>-8</v>
      </c>
      <c r="K12" s="304">
        <f>IFERROR(__xludf.DUMMYFUNCTION("TO_PERCENT(J12/C12)"),-0.012307692307692308)</f>
        <v>-0.01230769231</v>
      </c>
      <c r="L12" s="298">
        <f t="shared" si="3"/>
        <v>676.71</v>
      </c>
      <c r="M12" s="298">
        <f t="shared" si="4"/>
        <v>6.57</v>
      </c>
      <c r="N12" s="305">
        <f t="shared" si="5"/>
        <v>-1.43</v>
      </c>
      <c r="O12" s="306">
        <v>554.0</v>
      </c>
      <c r="P12" s="307">
        <f t="shared" si="6"/>
        <v>-792.22</v>
      </c>
      <c r="Q12" s="316">
        <f>sum(P12,P14,P15,P21,P27,P32,P34,P38,P40,P42)</f>
        <v>-31823.753</v>
      </c>
    </row>
    <row r="13">
      <c r="C13" s="298">
        <f>VLOOKUP(A13, 'Rekap Stock Keluar Inventory'!$D$2:$G$71, 4, )</f>
        <v>294</v>
      </c>
      <c r="D13" s="294"/>
      <c r="E13" s="295"/>
      <c r="F13" s="294"/>
      <c r="G13" s="296"/>
      <c r="H13" s="298">
        <f t="shared" si="1"/>
        <v>-1</v>
      </c>
      <c r="I13" s="313"/>
      <c r="J13" s="298">
        <f t="shared" si="2"/>
        <v>-1</v>
      </c>
      <c r="K13" s="304">
        <f>IFERROR(__xludf.DUMMYFUNCTION("TO_PERCENT(J13/C13)"),-0.003401360544217687)</f>
        <v>-0.003401360544</v>
      </c>
      <c r="L13" s="298">
        <f t="shared" si="3"/>
        <v>301.79</v>
      </c>
      <c r="M13" s="298">
        <f t="shared" si="4"/>
        <v>2.93</v>
      </c>
      <c r="N13" s="305">
        <f t="shared" si="5"/>
        <v>1.93</v>
      </c>
      <c r="O13" s="306">
        <v>2200.0</v>
      </c>
      <c r="P13" s="307">
        <f t="shared" si="6"/>
        <v>4246</v>
      </c>
      <c r="Q13" s="300"/>
    </row>
    <row r="14">
      <c r="C14" s="298">
        <f>VLOOKUP(A14, 'Rekap Stock Keluar Inventory'!$D$2:$G$71, 4, )</f>
        <v>22128</v>
      </c>
      <c r="D14" s="294"/>
      <c r="E14" s="310">
        <v>1111.0</v>
      </c>
      <c r="F14" s="294"/>
      <c r="G14" s="296"/>
      <c r="H14" s="298">
        <f t="shared" si="1"/>
        <v>403</v>
      </c>
      <c r="I14" s="303">
        <v>647.0</v>
      </c>
      <c r="J14" s="298">
        <f t="shared" si="2"/>
        <v>-244</v>
      </c>
      <c r="K14" s="304">
        <f>IFERROR(__xludf.DUMMYFUNCTION("TO_PERCENT(J14/C14)"),-0.011026753434562546)</f>
        <v>-0.01102675343</v>
      </c>
      <c r="L14" s="298">
        <f t="shared" si="3"/>
        <v>22062.6</v>
      </c>
      <c r="M14" s="298">
        <f t="shared" si="4"/>
        <v>214.2</v>
      </c>
      <c r="N14" s="305">
        <f t="shared" si="5"/>
        <v>-29.8</v>
      </c>
      <c r="O14" s="306">
        <v>127.0</v>
      </c>
      <c r="P14" s="307">
        <f t="shared" si="6"/>
        <v>-3784.6</v>
      </c>
      <c r="Q14" s="300"/>
    </row>
    <row r="15">
      <c r="C15" s="298">
        <f>VLOOKUP(A15, 'Rekap Stock Keluar Inventory'!$D$2:$G$71, 4, )</f>
        <v>200</v>
      </c>
      <c r="D15" s="309">
        <v>206.0</v>
      </c>
      <c r="E15" s="295"/>
      <c r="F15" s="294"/>
      <c r="G15" s="296"/>
      <c r="H15" s="298">
        <f t="shared" si="1"/>
        <v>180</v>
      </c>
      <c r="I15" s="303">
        <v>184.0</v>
      </c>
      <c r="J15" s="298">
        <f t="shared" si="2"/>
        <v>-4</v>
      </c>
      <c r="K15" s="304">
        <f>IFERROR(__xludf.DUMMYFUNCTION("TO_PERCENT(J15/C15)"),-0.02)</f>
        <v>-0.02</v>
      </c>
      <c r="L15" s="298">
        <f t="shared" si="3"/>
        <v>179.22</v>
      </c>
      <c r="M15" s="298">
        <f t="shared" si="4"/>
        <v>1.74</v>
      </c>
      <c r="N15" s="305">
        <f t="shared" si="5"/>
        <v>-2.26</v>
      </c>
      <c r="O15" s="306">
        <v>210.0</v>
      </c>
      <c r="P15" s="307">
        <f t="shared" si="6"/>
        <v>-474.6</v>
      </c>
      <c r="Q15" s="300"/>
    </row>
    <row r="16">
      <c r="C16" s="298">
        <f>VLOOKUP(A16, 'Rekap Stock Keluar Inventory'!$D$2:$G$71, 4, )</f>
        <v>870</v>
      </c>
      <c r="D16" s="294"/>
      <c r="E16" s="310">
        <v>89.0</v>
      </c>
      <c r="F16" s="294"/>
      <c r="G16" s="296"/>
      <c r="H16" s="298">
        <f t="shared" si="1"/>
        <v>545</v>
      </c>
      <c r="I16" s="303"/>
      <c r="J16" s="298">
        <f t="shared" si="2"/>
        <v>545</v>
      </c>
      <c r="K16" s="304">
        <f>IFERROR(__xludf.DUMMYFUNCTION("TO_PERCENT(J16/C16)"),0.6264367816091954)</f>
        <v>0.6264367816</v>
      </c>
      <c r="L16" s="298">
        <f t="shared" si="3"/>
        <v>1365.78</v>
      </c>
      <c r="M16" s="298">
        <f t="shared" si="4"/>
        <v>13.26</v>
      </c>
      <c r="N16" s="305">
        <f t="shared" si="5"/>
        <v>558.26</v>
      </c>
      <c r="O16" s="306">
        <v>25.0</v>
      </c>
      <c r="P16" s="307">
        <f t="shared" si="6"/>
        <v>13956.5</v>
      </c>
      <c r="Q16" s="300"/>
    </row>
    <row r="17">
      <c r="C17" s="298">
        <f>VLOOKUP(A17, 'Rekap Stock Keluar Inventory'!$D$2:$G$71, 4, )</f>
        <v>2500</v>
      </c>
      <c r="D17" s="309">
        <v>769.0</v>
      </c>
      <c r="E17" s="295"/>
      <c r="F17" s="294"/>
      <c r="G17" s="296"/>
      <c r="H17" s="298">
        <f t="shared" si="1"/>
        <v>269</v>
      </c>
      <c r="I17" s="317">
        <v>215.0</v>
      </c>
      <c r="J17" s="298">
        <f t="shared" si="2"/>
        <v>54</v>
      </c>
      <c r="K17" s="304">
        <f>IFERROR(__xludf.DUMMYFUNCTION("TO_PERCENT(J17/C17)"),0.0216)</f>
        <v>0.0216</v>
      </c>
      <c r="L17" s="298">
        <f t="shared" si="3"/>
        <v>2060</v>
      </c>
      <c r="M17" s="298">
        <f t="shared" si="4"/>
        <v>20</v>
      </c>
      <c r="N17" s="305">
        <f t="shared" si="5"/>
        <v>74</v>
      </c>
      <c r="O17" s="306">
        <v>40.0</v>
      </c>
      <c r="P17" s="307">
        <f t="shared" si="6"/>
        <v>2960</v>
      </c>
      <c r="Q17" s="300"/>
    </row>
    <row r="18">
      <c r="C18" s="298">
        <f>VLOOKUP(A18, 'Rekap Stock Keluar Inventory'!$D$2:$G$71, 4, )</f>
        <v>431</v>
      </c>
      <c r="D18" s="309">
        <v>28.0</v>
      </c>
      <c r="E18" s="295"/>
      <c r="F18" s="294"/>
      <c r="G18" s="296"/>
      <c r="H18" s="298">
        <f t="shared" si="1"/>
        <v>-3</v>
      </c>
      <c r="I18" s="303"/>
      <c r="J18" s="298">
        <f t="shared" si="2"/>
        <v>-3</v>
      </c>
      <c r="K18" s="304">
        <f>IFERROR(__xludf.DUMMYFUNCTION("TO_PERCENT(J18/C18)"),-0.0069605568445475635)</f>
        <v>-0.006960556845</v>
      </c>
      <c r="L18" s="298">
        <f t="shared" si="3"/>
        <v>412</v>
      </c>
      <c r="M18" s="298">
        <f t="shared" si="4"/>
        <v>4</v>
      </c>
      <c r="N18" s="305">
        <f t="shared" si="5"/>
        <v>1</v>
      </c>
      <c r="O18" s="306">
        <v>440.0</v>
      </c>
      <c r="P18" s="307">
        <f t="shared" si="6"/>
        <v>440</v>
      </c>
      <c r="Q18" s="300"/>
    </row>
    <row r="19">
      <c r="C19" s="298">
        <f>VLOOKUP(A19, 'Rekap Stock Keluar Inventory'!$D$2:$G$71, 4, )</f>
        <v>25</v>
      </c>
      <c r="D19" s="294"/>
      <c r="E19" s="295"/>
      <c r="F19" s="294"/>
      <c r="G19" s="296"/>
      <c r="H19" s="298">
        <f t="shared" si="1"/>
        <v>119130</v>
      </c>
      <c r="I19" s="303"/>
      <c r="J19" s="298">
        <f t="shared" si="2"/>
        <v>119130</v>
      </c>
      <c r="K19" s="304">
        <f>IFERROR(__xludf.DUMMYFUNCTION("TO_PERCENT(J19/C19)"),4765.2)</f>
        <v>4765.2</v>
      </c>
      <c r="L19" s="298">
        <f t="shared" si="3"/>
        <v>122729.65</v>
      </c>
      <c r="M19" s="298">
        <f t="shared" si="4"/>
        <v>1191.55</v>
      </c>
      <c r="N19" s="305">
        <f t="shared" si="5"/>
        <v>120321.55</v>
      </c>
      <c r="O19" s="306">
        <v>1.4</v>
      </c>
      <c r="P19" s="307">
        <f t="shared" si="6"/>
        <v>168450.17</v>
      </c>
      <c r="Q19" s="300"/>
    </row>
    <row r="20">
      <c r="C20" s="298">
        <f>VLOOKUP(A20, 'Rekap Stock Keluar Inventory'!$D$2:$G$71, 4, )</f>
        <v>0</v>
      </c>
      <c r="D20" s="309">
        <v>477.0</v>
      </c>
      <c r="E20" s="295"/>
      <c r="F20" s="294"/>
      <c r="G20" s="296"/>
      <c r="H20" s="298">
        <f t="shared" si="1"/>
        <v>1477</v>
      </c>
      <c r="I20" s="317">
        <v>481.0</v>
      </c>
      <c r="J20" s="298">
        <f t="shared" si="2"/>
        <v>996</v>
      </c>
      <c r="K20" s="304" t="str">
        <f>IFERROR(__xludf.DUMMYFUNCTION("TO_PERCENT(J20/C20)"),"#DIV/0!")</f>
        <v>#DIV/0!</v>
      </c>
      <c r="L20" s="298">
        <f t="shared" si="3"/>
        <v>1030</v>
      </c>
      <c r="M20" s="298">
        <f t="shared" si="4"/>
        <v>10</v>
      </c>
      <c r="N20" s="305">
        <f t="shared" si="5"/>
        <v>1006</v>
      </c>
      <c r="O20" s="306">
        <v>7.9</v>
      </c>
      <c r="P20" s="307">
        <f t="shared" si="6"/>
        <v>7947.4</v>
      </c>
      <c r="Q20" s="300"/>
    </row>
    <row r="21">
      <c r="C21" s="298">
        <f>VLOOKUP(A21, 'Rekap Stock Keluar Inventory'!$D$2:$G$71, 4, )</f>
        <v>0</v>
      </c>
      <c r="D21" s="309">
        <v>459.0</v>
      </c>
      <c r="E21" s="295"/>
      <c r="F21" s="294"/>
      <c r="G21" s="296"/>
      <c r="H21" s="298">
        <f t="shared" si="1"/>
        <v>633</v>
      </c>
      <c r="I21" s="303">
        <v>770.0</v>
      </c>
      <c r="J21" s="298">
        <f t="shared" si="2"/>
        <v>-137</v>
      </c>
      <c r="K21" s="304" t="str">
        <f>IFERROR(__xludf.DUMMYFUNCTION("TO_PERCENT(J21/C21)"),"#DIV/0!")</f>
        <v>#DIV/0!</v>
      </c>
      <c r="L21" s="298">
        <f t="shared" si="3"/>
        <v>179.22</v>
      </c>
      <c r="M21" s="298">
        <f t="shared" si="4"/>
        <v>1.74</v>
      </c>
      <c r="N21" s="305">
        <f t="shared" si="5"/>
        <v>-135.26</v>
      </c>
      <c r="O21" s="306">
        <v>18.7</v>
      </c>
      <c r="P21" s="307">
        <f t="shared" si="6"/>
        <v>-2529.362</v>
      </c>
      <c r="Q21" s="300"/>
    </row>
    <row r="22">
      <c r="C22" s="298">
        <f>VLOOKUP(A22, 'Rekap Stock Keluar Inventory'!$D$2:$G$71, 4, )</f>
        <v>3000</v>
      </c>
      <c r="D22" s="294"/>
      <c r="E22" s="310">
        <v>132.0</v>
      </c>
      <c r="F22" s="294"/>
      <c r="G22" s="296"/>
      <c r="H22" s="298">
        <f t="shared" si="1"/>
        <v>1712</v>
      </c>
      <c r="I22" s="303">
        <v>419.0</v>
      </c>
      <c r="J22" s="298">
        <f t="shared" si="2"/>
        <v>1293</v>
      </c>
      <c r="K22" s="304">
        <f>IFERROR(__xludf.DUMMYFUNCTION("TO_PERCENT(J22/C22)"),0.431)</f>
        <v>0.431</v>
      </c>
      <c r="L22" s="298">
        <f t="shared" si="3"/>
        <v>4717.4</v>
      </c>
      <c r="M22" s="298">
        <f t="shared" si="4"/>
        <v>45.8</v>
      </c>
      <c r="N22" s="305">
        <f t="shared" si="5"/>
        <v>1338.8</v>
      </c>
      <c r="O22" s="306">
        <v>32.0</v>
      </c>
      <c r="P22" s="307">
        <f t="shared" si="6"/>
        <v>42841.6</v>
      </c>
      <c r="Q22" s="300"/>
    </row>
    <row r="23">
      <c r="C23" s="298">
        <f>VLOOKUP(A23, 'Rekap Stock Keluar Inventory'!$D$2:$G$71, 4, )</f>
        <v>200</v>
      </c>
      <c r="D23" s="294"/>
      <c r="E23" s="310">
        <v>33.0</v>
      </c>
      <c r="F23" s="294"/>
      <c r="G23" s="296"/>
      <c r="H23" s="298">
        <f t="shared" si="1"/>
        <v>33</v>
      </c>
      <c r="I23" s="317">
        <v>30.0</v>
      </c>
      <c r="J23" s="298">
        <f t="shared" si="2"/>
        <v>3</v>
      </c>
      <c r="K23" s="304">
        <f>IFERROR(__xludf.DUMMYFUNCTION("TO_PERCENT(J23/C23)"),0.015)</f>
        <v>0.015</v>
      </c>
      <c r="L23" s="298">
        <f t="shared" si="3"/>
        <v>206</v>
      </c>
      <c r="M23" s="298">
        <f t="shared" si="4"/>
        <v>2</v>
      </c>
      <c r="N23" s="305">
        <f t="shared" si="5"/>
        <v>5</v>
      </c>
      <c r="O23" s="306">
        <v>500.0</v>
      </c>
      <c r="P23" s="307">
        <f t="shared" si="6"/>
        <v>2500</v>
      </c>
      <c r="Q23" s="300"/>
    </row>
    <row r="24">
      <c r="C24" s="298">
        <f>VLOOKUP(A24, 'Rekap Stock Keluar Inventory'!$D$2:$G$71, 4, )</f>
        <v>1131</v>
      </c>
      <c r="D24" s="294"/>
      <c r="E24" s="295"/>
      <c r="F24" s="294"/>
      <c r="G24" s="311">
        <v>15.0</v>
      </c>
      <c r="H24" s="298">
        <f t="shared" si="1"/>
        <v>103</v>
      </c>
      <c r="I24" s="303"/>
      <c r="J24" s="298">
        <f t="shared" si="2"/>
        <v>103</v>
      </c>
      <c r="K24" s="304">
        <f>IFERROR(__xludf.DUMMYFUNCTION("TO_PERCENT(J24/C24)"),0.09106984969053934)</f>
        <v>0.09106984969</v>
      </c>
      <c r="L24" s="298">
        <f t="shared" si="3"/>
        <v>1255.57</v>
      </c>
      <c r="M24" s="298">
        <f t="shared" si="4"/>
        <v>12.19</v>
      </c>
      <c r="N24" s="305">
        <f t="shared" si="5"/>
        <v>115.19</v>
      </c>
      <c r="O24" s="306">
        <v>4095.0</v>
      </c>
      <c r="P24" s="307">
        <f t="shared" si="6"/>
        <v>471703.05</v>
      </c>
      <c r="Q24" s="300"/>
    </row>
    <row r="25">
      <c r="C25" s="298">
        <f>VLOOKUP(A25, 'Rekap Stock Keluar Inventory'!$D$2:$G$71, 4, )</f>
        <v>2882</v>
      </c>
      <c r="D25" s="294"/>
      <c r="E25" s="295"/>
      <c r="F25" s="294"/>
      <c r="G25" s="296"/>
      <c r="H25" s="298">
        <f t="shared" si="1"/>
        <v>118</v>
      </c>
      <c r="I25" s="303"/>
      <c r="J25" s="298">
        <f t="shared" si="2"/>
        <v>118</v>
      </c>
      <c r="K25" s="304">
        <f>IFERROR(__xludf.DUMMYFUNCTION("TO_PERCENT(J25/C25)"),0.040943789035392086)</f>
        <v>0.04094378904</v>
      </c>
      <c r="L25" s="298">
        <f t="shared" si="3"/>
        <v>3090</v>
      </c>
      <c r="M25" s="298">
        <f t="shared" si="4"/>
        <v>30</v>
      </c>
      <c r="N25" s="305">
        <f t="shared" si="5"/>
        <v>148</v>
      </c>
      <c r="O25" s="319">
        <v>10.0</v>
      </c>
      <c r="P25" s="307">
        <f t="shared" si="6"/>
        <v>1480</v>
      </c>
      <c r="Q25" s="300"/>
    </row>
    <row r="26">
      <c r="C26" s="298">
        <f>VLOOKUP(A26, 'Rekap Stock Keluar Inventory'!$D$2:$G$71, 4, )</f>
        <v>275</v>
      </c>
      <c r="D26" s="309">
        <v>2.0</v>
      </c>
      <c r="E26" s="310">
        <v>19.0</v>
      </c>
      <c r="F26" s="294"/>
      <c r="G26" s="296"/>
      <c r="H26" s="298">
        <f t="shared" si="1"/>
        <v>4</v>
      </c>
      <c r="I26" s="303">
        <v>4.0</v>
      </c>
      <c r="J26" s="298">
        <f t="shared" si="2"/>
        <v>0</v>
      </c>
      <c r="K26" s="304">
        <f>IFERROR(__xludf.DUMMYFUNCTION("TO_PERCENT(J26/C26)"),0.0)</f>
        <v>0</v>
      </c>
      <c r="L26" s="298">
        <f t="shared" si="3"/>
        <v>265.74</v>
      </c>
      <c r="M26" s="298">
        <f t="shared" si="4"/>
        <v>2.58</v>
      </c>
      <c r="N26" s="305">
        <f t="shared" si="5"/>
        <v>2.58</v>
      </c>
      <c r="O26" s="306">
        <v>548.0</v>
      </c>
      <c r="P26" s="307">
        <f t="shared" si="6"/>
        <v>1413.84</v>
      </c>
      <c r="Q26" s="300"/>
    </row>
    <row r="27">
      <c r="C27" s="298">
        <f>VLOOKUP(A27, 'Rekap Stock Keluar Inventory'!$D$2:$G$71, 4, )</f>
        <v>500</v>
      </c>
      <c r="D27" s="309">
        <v>447.0</v>
      </c>
      <c r="E27" s="295"/>
      <c r="F27" s="294"/>
      <c r="G27" s="296"/>
      <c r="H27" s="298">
        <f t="shared" si="1"/>
        <v>237</v>
      </c>
      <c r="I27" s="303">
        <v>350.0</v>
      </c>
      <c r="J27" s="298">
        <f t="shared" si="2"/>
        <v>-113</v>
      </c>
      <c r="K27" s="304">
        <f>IFERROR(__xludf.DUMMYFUNCTION("TO_PERCENT(J27/C27)"),-0.226)</f>
        <v>-0.226</v>
      </c>
      <c r="L27" s="298">
        <f t="shared" si="3"/>
        <v>298.7</v>
      </c>
      <c r="M27" s="298">
        <f t="shared" si="4"/>
        <v>2.9</v>
      </c>
      <c r="N27" s="305">
        <f t="shared" si="5"/>
        <v>-110.1</v>
      </c>
      <c r="O27" s="306">
        <v>44.0</v>
      </c>
      <c r="P27" s="307">
        <f t="shared" si="6"/>
        <v>-4844.4</v>
      </c>
      <c r="Q27" s="300"/>
    </row>
    <row r="28">
      <c r="C28" s="298">
        <f>VLOOKUP(A28, 'Rekap Stock Keluar Inventory'!$D$2:$G$71, 4, )</f>
        <v>235</v>
      </c>
      <c r="D28" s="294"/>
      <c r="E28" s="295"/>
      <c r="F28" s="294"/>
      <c r="G28" s="296"/>
      <c r="H28" s="298">
        <f t="shared" si="1"/>
        <v>0</v>
      </c>
      <c r="I28" s="313"/>
      <c r="J28" s="298">
        <f t="shared" si="2"/>
        <v>0</v>
      </c>
      <c r="K28" s="304">
        <f>IFERROR(__xludf.DUMMYFUNCTION("TO_PERCENT(J28/C28)"),0.0)</f>
        <v>0</v>
      </c>
      <c r="L28" s="298">
        <f t="shared" si="3"/>
        <v>242.05</v>
      </c>
      <c r="M28" s="298">
        <f t="shared" si="4"/>
        <v>2.35</v>
      </c>
      <c r="N28" s="305">
        <f t="shared" si="5"/>
        <v>2.35</v>
      </c>
      <c r="O28" s="306">
        <v>1000.0</v>
      </c>
      <c r="P28" s="307">
        <f t="shared" si="6"/>
        <v>2350</v>
      </c>
      <c r="Q28" s="300"/>
    </row>
    <row r="29">
      <c r="C29" s="298">
        <f>VLOOKUP(A29, 'Rekap Stock Keluar Inventory'!$D$2:$G$71, 4, )</f>
        <v>10000</v>
      </c>
      <c r="D29" s="294"/>
      <c r="E29" s="310">
        <v>1871.0</v>
      </c>
      <c r="F29" s="294"/>
      <c r="G29" s="296"/>
      <c r="H29" s="298">
        <f t="shared" si="1"/>
        <v>1331</v>
      </c>
      <c r="I29" s="303">
        <v>1200.0</v>
      </c>
      <c r="J29" s="298">
        <f t="shared" si="2"/>
        <v>131</v>
      </c>
      <c r="K29" s="304">
        <f>IFERROR(__xludf.DUMMYFUNCTION("TO_PERCENT(J29/C29)"),0.0131)</f>
        <v>0.0131</v>
      </c>
      <c r="L29" s="298">
        <f t="shared" si="3"/>
        <v>9743.8</v>
      </c>
      <c r="M29" s="298">
        <f t="shared" si="4"/>
        <v>94.6</v>
      </c>
      <c r="N29" s="305">
        <f t="shared" si="5"/>
        <v>225.6</v>
      </c>
      <c r="O29" s="306">
        <v>28.75</v>
      </c>
      <c r="P29" s="307">
        <f t="shared" si="6"/>
        <v>6486</v>
      </c>
      <c r="Q29" s="300"/>
    </row>
    <row r="30">
      <c r="C30" s="298">
        <f>VLOOKUP(A30, 'Rekap Stock Keluar Inventory'!$D$2:$G$71, 4, )</f>
        <v>500</v>
      </c>
      <c r="D30" s="294"/>
      <c r="E30" s="310">
        <v>378.0</v>
      </c>
      <c r="F30" s="294"/>
      <c r="G30" s="296"/>
      <c r="H30" s="298">
        <f t="shared" si="1"/>
        <v>535</v>
      </c>
      <c r="I30" s="303">
        <v>504.0</v>
      </c>
      <c r="J30" s="298">
        <f t="shared" si="2"/>
        <v>31</v>
      </c>
      <c r="K30" s="304">
        <f>IFERROR(__xludf.DUMMYFUNCTION("TO_PERCENT(J30/C30)"),0.062)</f>
        <v>0.062</v>
      </c>
      <c r="L30" s="298">
        <f t="shared" si="3"/>
        <v>676.71</v>
      </c>
      <c r="M30" s="298">
        <f t="shared" si="4"/>
        <v>6.57</v>
      </c>
      <c r="N30" s="305">
        <f t="shared" si="5"/>
        <v>37.57</v>
      </c>
      <c r="O30" s="306">
        <v>20.0</v>
      </c>
      <c r="P30" s="307">
        <f t="shared" si="6"/>
        <v>751.4</v>
      </c>
      <c r="Q30" s="300"/>
    </row>
    <row r="31">
      <c r="C31" s="298">
        <f>VLOOKUP(A31, 'Rekap Stock Keluar Inventory'!$D$2:$G$71, 4, )</f>
        <v>9000</v>
      </c>
      <c r="D31" s="294"/>
      <c r="E31" s="310">
        <v>1363.0</v>
      </c>
      <c r="F31" s="294"/>
      <c r="G31" s="296"/>
      <c r="H31" s="298">
        <f t="shared" si="1"/>
        <v>4928</v>
      </c>
      <c r="I31" s="303">
        <v>3659.0</v>
      </c>
      <c r="J31" s="298">
        <f t="shared" si="2"/>
        <v>1269</v>
      </c>
      <c r="K31" s="304">
        <f>IFERROR(__xludf.DUMMYFUNCTION("TO_PERCENT(J31/C31)"),0.141)</f>
        <v>0.141</v>
      </c>
      <c r="L31" s="298">
        <f t="shared" si="3"/>
        <v>12941.95</v>
      </c>
      <c r="M31" s="298">
        <f t="shared" si="4"/>
        <v>125.65</v>
      </c>
      <c r="N31" s="305">
        <f t="shared" si="5"/>
        <v>1394.65</v>
      </c>
      <c r="O31" s="306">
        <v>15.6</v>
      </c>
      <c r="P31" s="307">
        <f t="shared" si="6"/>
        <v>21756.54</v>
      </c>
      <c r="Q31" s="300"/>
    </row>
    <row r="32">
      <c r="C32" s="298">
        <f>VLOOKUP(A32, 'Rekap Stock Keluar Inventory'!$D$2:$G$71, 4, )</f>
        <v>1500</v>
      </c>
      <c r="D32" s="309">
        <v>270.0</v>
      </c>
      <c r="E32" s="295"/>
      <c r="F32" s="294"/>
      <c r="G32" s="296"/>
      <c r="H32" s="298">
        <f t="shared" si="1"/>
        <v>-255</v>
      </c>
      <c r="I32" s="303">
        <v>184.0</v>
      </c>
      <c r="J32" s="298">
        <f t="shared" si="2"/>
        <v>-439</v>
      </c>
      <c r="K32" s="304">
        <f>IFERROR(__xludf.DUMMYFUNCTION("TO_PERCENT(J32/C32)"),-0.2926666666666667)</f>
        <v>-0.2926666667</v>
      </c>
      <c r="L32" s="298">
        <f t="shared" si="3"/>
        <v>1004.25</v>
      </c>
      <c r="M32" s="298">
        <f t="shared" si="4"/>
        <v>9.75</v>
      </c>
      <c r="N32" s="305">
        <f t="shared" si="5"/>
        <v>-429.25</v>
      </c>
      <c r="O32" s="306">
        <v>24.5</v>
      </c>
      <c r="P32" s="307">
        <f t="shared" si="6"/>
        <v>-10516.625</v>
      </c>
      <c r="Q32" s="300"/>
    </row>
    <row r="33">
      <c r="C33" s="298">
        <f>VLOOKUP(A33, 'Rekap Stock Keluar Inventory'!$D$2:$G$71, 4, )</f>
        <v>55</v>
      </c>
      <c r="D33" s="294"/>
      <c r="E33" s="295"/>
      <c r="F33" s="294"/>
      <c r="G33" s="296"/>
      <c r="H33" s="298">
        <f t="shared" si="1"/>
        <v>0</v>
      </c>
      <c r="I33" s="313"/>
      <c r="J33" s="298">
        <f t="shared" si="2"/>
        <v>0</v>
      </c>
      <c r="K33" s="304">
        <f>IFERROR(__xludf.DUMMYFUNCTION("TO_PERCENT(J33/C33)"),0.0)</f>
        <v>0</v>
      </c>
      <c r="L33" s="298">
        <f t="shared" si="3"/>
        <v>56.65</v>
      </c>
      <c r="M33" s="298">
        <f t="shared" si="4"/>
        <v>0.55</v>
      </c>
      <c r="N33" s="305">
        <f t="shared" si="5"/>
        <v>0.55</v>
      </c>
      <c r="O33" s="306">
        <v>1650.0</v>
      </c>
      <c r="P33" s="307">
        <f t="shared" si="6"/>
        <v>907.5</v>
      </c>
      <c r="Q33" s="300"/>
    </row>
    <row r="34">
      <c r="C34" s="298">
        <f>VLOOKUP(A34, 'Rekap Stock Keluar Inventory'!$D$2:$G$71, 4, )</f>
        <v>1133</v>
      </c>
      <c r="D34" s="309">
        <v>695.0</v>
      </c>
      <c r="E34" s="295"/>
      <c r="F34" s="294"/>
      <c r="G34" s="296"/>
      <c r="H34" s="298">
        <f t="shared" si="1"/>
        <v>42</v>
      </c>
      <c r="I34" s="303">
        <v>161.0</v>
      </c>
      <c r="J34" s="298">
        <f t="shared" si="2"/>
        <v>-119</v>
      </c>
      <c r="K34" s="304">
        <f>IFERROR(__xludf.DUMMYFUNCTION("TO_PERCENT(J34/C34)"),-0.10503089143865843)</f>
        <v>-0.1050308914</v>
      </c>
      <c r="L34" s="298">
        <f t="shared" si="3"/>
        <v>494.4</v>
      </c>
      <c r="M34" s="298">
        <f t="shared" si="4"/>
        <v>4.8</v>
      </c>
      <c r="N34" s="305">
        <f t="shared" si="5"/>
        <v>-114.2</v>
      </c>
      <c r="O34" s="306">
        <v>54.63</v>
      </c>
      <c r="P34" s="307">
        <f t="shared" si="6"/>
        <v>-6238.746</v>
      </c>
      <c r="Q34" s="300"/>
    </row>
    <row r="35">
      <c r="C35" s="298">
        <f>VLOOKUP(A35, 'Rekap Stock Keluar Inventory'!$D$2:$G$71, 4, )</f>
        <v>9000</v>
      </c>
      <c r="D35" s="294"/>
      <c r="E35" s="310">
        <v>550.0</v>
      </c>
      <c r="F35" s="294"/>
      <c r="G35" s="296"/>
      <c r="H35" s="298">
        <f t="shared" si="1"/>
        <v>3300</v>
      </c>
      <c r="I35" s="303">
        <v>900.0</v>
      </c>
      <c r="J35" s="298">
        <f t="shared" si="2"/>
        <v>2400</v>
      </c>
      <c r="K35" s="304">
        <f>IFERROR(__xludf.DUMMYFUNCTION("TO_PERCENT(J35/C35)"),0.26666666666666666)</f>
        <v>0.2666666667</v>
      </c>
      <c r="L35" s="298">
        <f t="shared" si="3"/>
        <v>12102.5</v>
      </c>
      <c r="M35" s="298">
        <f t="shared" si="4"/>
        <v>117.5</v>
      </c>
      <c r="N35" s="305">
        <f t="shared" si="5"/>
        <v>2517.5</v>
      </c>
      <c r="O35" s="306">
        <v>18.0</v>
      </c>
      <c r="P35" s="307">
        <f t="shared" si="6"/>
        <v>45315</v>
      </c>
      <c r="Q35" s="300"/>
    </row>
    <row r="36">
      <c r="C36" s="298">
        <f>VLOOKUP(A36, 'Rekap Stock Keluar Inventory'!$D$2:$G$71, 4, )</f>
        <v>24</v>
      </c>
      <c r="D36" s="294"/>
      <c r="E36" s="310">
        <v>500.0</v>
      </c>
      <c r="F36" s="294"/>
      <c r="G36" s="296"/>
      <c r="H36" s="298">
        <f t="shared" si="1"/>
        <v>508.8831</v>
      </c>
      <c r="I36" s="303"/>
      <c r="J36" s="298">
        <f t="shared" si="2"/>
        <v>508.8831</v>
      </c>
      <c r="K36" s="304">
        <f>IFERROR(__xludf.DUMMYFUNCTION("TO_PERCENT(J36/C36)"),21.2034625)</f>
        <v>21.2034625</v>
      </c>
      <c r="L36" s="298">
        <f t="shared" si="3"/>
        <v>33.869593</v>
      </c>
      <c r="M36" s="298">
        <f t="shared" si="4"/>
        <v>0.328831</v>
      </c>
      <c r="N36" s="305">
        <f t="shared" si="5"/>
        <v>509.211931</v>
      </c>
      <c r="O36" s="320">
        <v>126.0</v>
      </c>
      <c r="P36" s="307">
        <f t="shared" si="6"/>
        <v>64160.70331</v>
      </c>
      <c r="Q36" s="300"/>
    </row>
    <row r="37">
      <c r="C37" s="298">
        <f>VLOOKUP(A37, 'Rekap Stock Keluar Inventory'!$D$2:$G$71, 4, )</f>
        <v>126</v>
      </c>
      <c r="D37" s="294"/>
      <c r="E37" s="295"/>
      <c r="F37" s="294"/>
      <c r="G37" s="311">
        <v>10.0</v>
      </c>
      <c r="H37" s="298">
        <f t="shared" si="1"/>
        <v>0</v>
      </c>
      <c r="I37" s="303"/>
      <c r="J37" s="298">
        <f t="shared" si="2"/>
        <v>0</v>
      </c>
      <c r="K37" s="304">
        <f>IFERROR(__xludf.DUMMYFUNCTION("TO_PERCENT(J37/C37)"),0.0)</f>
        <v>0</v>
      </c>
      <c r="L37" s="298">
        <f t="shared" si="3"/>
        <v>119.48</v>
      </c>
      <c r="M37" s="298">
        <f t="shared" si="4"/>
        <v>1.16</v>
      </c>
      <c r="N37" s="305">
        <f t="shared" si="5"/>
        <v>1.16</v>
      </c>
      <c r="O37" s="306">
        <v>1800.0</v>
      </c>
      <c r="P37" s="307">
        <f t="shared" si="6"/>
        <v>2088</v>
      </c>
      <c r="Q37" s="300"/>
    </row>
    <row r="38">
      <c r="C38" s="298">
        <f>VLOOKUP(A38, 'Rekap Stock Keluar Inventory'!$D$2:$G$71, 4, )</f>
        <v>50</v>
      </c>
      <c r="D38" s="294"/>
      <c r="E38" s="310">
        <v>21.0</v>
      </c>
      <c r="F38" s="294"/>
      <c r="G38" s="296"/>
      <c r="H38" s="298">
        <f t="shared" si="1"/>
        <v>-2</v>
      </c>
      <c r="I38" s="303"/>
      <c r="J38" s="298">
        <f t="shared" si="2"/>
        <v>-2</v>
      </c>
      <c r="K38" s="304">
        <f>IFERROR(__xludf.DUMMYFUNCTION("TO_PERCENT(J38/C38)"),-0.04)</f>
        <v>-0.04</v>
      </c>
      <c r="L38" s="298">
        <f t="shared" si="3"/>
        <v>27.81</v>
      </c>
      <c r="M38" s="298">
        <f t="shared" si="4"/>
        <v>0.27</v>
      </c>
      <c r="N38" s="305">
        <f t="shared" si="5"/>
        <v>-1.73</v>
      </c>
      <c r="O38" s="306">
        <v>880.0</v>
      </c>
      <c r="P38" s="307">
        <f t="shared" si="6"/>
        <v>-1522.4</v>
      </c>
      <c r="Q38" s="300"/>
    </row>
    <row r="39">
      <c r="C39" s="298">
        <f>VLOOKUP(A39, 'Rekap Stock Keluar Inventory'!$D$2:$G$71, 4, )</f>
        <v>2123</v>
      </c>
      <c r="D39" s="309">
        <v>270.0</v>
      </c>
      <c r="E39" s="295"/>
      <c r="F39" s="294"/>
      <c r="G39" s="296"/>
      <c r="H39" s="298">
        <f t="shared" si="1"/>
        <v>147</v>
      </c>
      <c r="I39" s="321">
        <v>130.0</v>
      </c>
      <c r="J39" s="298">
        <f t="shared" si="2"/>
        <v>17</v>
      </c>
      <c r="K39" s="304">
        <f>IFERROR(__xludf.DUMMYFUNCTION("TO_PERCENT(J39/C39)"),0.00800753650494583)</f>
        <v>0.008007536505</v>
      </c>
      <c r="L39" s="298">
        <f t="shared" si="3"/>
        <v>2060</v>
      </c>
      <c r="M39" s="298">
        <f t="shared" si="4"/>
        <v>20</v>
      </c>
      <c r="N39" s="305">
        <f t="shared" si="5"/>
        <v>37</v>
      </c>
      <c r="O39" s="306">
        <v>30.5</v>
      </c>
      <c r="P39" s="307">
        <f t="shared" si="6"/>
        <v>1128.5</v>
      </c>
      <c r="Q39" s="300"/>
    </row>
    <row r="40">
      <c r="C40" s="298">
        <f>VLOOKUP(A40, 'Rekap Stock Keluar Inventory'!$D$2:$G$71, 4, )</f>
        <v>1925</v>
      </c>
      <c r="D40" s="294"/>
      <c r="E40" s="310">
        <v>15.0</v>
      </c>
      <c r="F40" s="294"/>
      <c r="G40" s="296"/>
      <c r="H40" s="298">
        <f t="shared" si="1"/>
        <v>9</v>
      </c>
      <c r="I40" s="321">
        <v>32.0</v>
      </c>
      <c r="J40" s="298">
        <f t="shared" si="2"/>
        <v>-23</v>
      </c>
      <c r="K40" s="304">
        <f>IFERROR(__xludf.DUMMYFUNCTION("TO_PERCENT(J40/C40)"),-0.011948051948051949)</f>
        <v>-0.01194805195</v>
      </c>
      <c r="L40" s="298">
        <f t="shared" si="3"/>
        <v>1976.57</v>
      </c>
      <c r="M40" s="298">
        <f t="shared" si="4"/>
        <v>19.19</v>
      </c>
      <c r="N40" s="305">
        <f t="shared" si="5"/>
        <v>-3.81</v>
      </c>
      <c r="O40" s="306">
        <v>330.0</v>
      </c>
      <c r="P40" s="307">
        <f t="shared" si="6"/>
        <v>-1257.3</v>
      </c>
      <c r="Q40" s="300"/>
    </row>
    <row r="41">
      <c r="C41" s="298">
        <f>VLOOKUP(A41, 'Rekap Stock Keluar Inventory'!$D$2:$G$71, 4, )</f>
        <v>50</v>
      </c>
      <c r="D41" s="294"/>
      <c r="E41" s="310">
        <v>10.0</v>
      </c>
      <c r="F41" s="294"/>
      <c r="G41" s="296"/>
      <c r="H41" s="298">
        <f t="shared" si="1"/>
        <v>77.5</v>
      </c>
      <c r="I41" s="321">
        <v>45.0</v>
      </c>
      <c r="J41" s="298">
        <f t="shared" si="2"/>
        <v>32.5</v>
      </c>
      <c r="K41" s="304">
        <f>IFERROR(__xludf.DUMMYFUNCTION("TO_PERCENT(J41/C41)"),0.65)</f>
        <v>0.65</v>
      </c>
      <c r="L41" s="298">
        <f t="shared" si="3"/>
        <v>121.025</v>
      </c>
      <c r="M41" s="298">
        <f t="shared" si="4"/>
        <v>1.175</v>
      </c>
      <c r="N41" s="305">
        <f t="shared" si="5"/>
        <v>33.675</v>
      </c>
      <c r="O41" s="306">
        <v>336.0</v>
      </c>
      <c r="P41" s="307">
        <f t="shared" si="6"/>
        <v>11314.8</v>
      </c>
      <c r="Q41" s="300"/>
    </row>
    <row r="42">
      <c r="C42" s="298">
        <f>VLOOKUP(A42, 'Rekap Stock Keluar Inventory'!$D$2:$G$71, 4, )</f>
        <v>3078</v>
      </c>
      <c r="D42" s="294"/>
      <c r="E42" s="310">
        <v>57.1</v>
      </c>
      <c r="F42" s="294"/>
      <c r="G42" s="296"/>
      <c r="H42" s="298">
        <f t="shared" si="1"/>
        <v>-20.9</v>
      </c>
      <c r="I42" s="303"/>
      <c r="J42" s="298">
        <f t="shared" si="2"/>
        <v>-20.9</v>
      </c>
      <c r="K42" s="304">
        <f>IFERROR(__xludf.DUMMYFUNCTION("TO_PERCENT(J42/C42)"),-0.006790123456790153)</f>
        <v>-0.006790123457</v>
      </c>
      <c r="L42" s="298">
        <f t="shared" si="3"/>
        <v>3090</v>
      </c>
      <c r="M42" s="298">
        <f t="shared" si="4"/>
        <v>30</v>
      </c>
      <c r="N42" s="305">
        <f t="shared" si="5"/>
        <v>9.1</v>
      </c>
      <c r="O42" s="319">
        <v>15.0</v>
      </c>
      <c r="P42" s="307">
        <f t="shared" si="6"/>
        <v>136.5</v>
      </c>
      <c r="Q42" s="300"/>
    </row>
  </sheetData>
  <autoFilter ref="$P$1:$P$42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22.88"/>
    <col customWidth="1" min="3" max="4" width="22.38"/>
    <col customWidth="1" min="5" max="5" width="25.75"/>
    <col customWidth="1" min="6" max="6" width="26.0"/>
    <col customWidth="1" min="7" max="7" width="26.5"/>
    <col customWidth="1" min="8" max="8" width="18.38"/>
    <col customWidth="1" min="9" max="9" width="22.38"/>
    <col customWidth="1" min="10" max="10" width="14.13"/>
    <col customWidth="1" min="11" max="11" width="13.0"/>
    <col customWidth="1" min="12" max="12" width="15.25"/>
    <col customWidth="1" min="13" max="13" width="13.88"/>
  </cols>
  <sheetData>
    <row r="1">
      <c r="A1" s="322" t="s">
        <v>189</v>
      </c>
      <c r="H1" s="239"/>
      <c r="I1" s="239"/>
      <c r="J1" s="239"/>
      <c r="K1" s="239"/>
      <c r="L1" s="239"/>
      <c r="M1" s="75"/>
    </row>
    <row r="2">
      <c r="A2" s="264"/>
      <c r="B2" s="264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75"/>
    </row>
    <row r="3">
      <c r="A3" s="264"/>
      <c r="B3" s="264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75"/>
    </row>
    <row r="4">
      <c r="A4" s="323" t="s">
        <v>190</v>
      </c>
      <c r="B4" s="324" t="s">
        <v>187</v>
      </c>
      <c r="C4" s="239"/>
      <c r="D4" s="239"/>
      <c r="E4" s="239"/>
      <c r="H4" s="239"/>
      <c r="I4" s="239"/>
      <c r="J4" s="239"/>
      <c r="K4" s="239"/>
      <c r="L4" s="239"/>
      <c r="M4" s="75"/>
    </row>
    <row r="5">
      <c r="A5" s="325" t="s">
        <v>12</v>
      </c>
      <c r="B5" s="326">
        <v>4096.0</v>
      </c>
      <c r="C5" s="239"/>
      <c r="D5" s="239"/>
      <c r="E5" s="239"/>
      <c r="H5" s="239"/>
      <c r="I5" s="239"/>
      <c r="J5" s="239"/>
      <c r="K5" s="239"/>
      <c r="L5" s="239"/>
      <c r="M5" s="75"/>
    </row>
    <row r="6">
      <c r="A6" s="327" t="s">
        <v>10</v>
      </c>
      <c r="B6" s="328">
        <v>6370.0</v>
      </c>
      <c r="C6" s="239"/>
      <c r="D6" s="239"/>
      <c r="E6" s="239"/>
      <c r="H6" s="239"/>
      <c r="I6" s="239"/>
      <c r="J6" s="239"/>
      <c r="K6" s="239"/>
      <c r="L6" s="239"/>
      <c r="M6" s="75"/>
    </row>
    <row r="7">
      <c r="A7" s="327" t="s">
        <v>11</v>
      </c>
      <c r="B7" s="328">
        <v>7010.0</v>
      </c>
      <c r="C7" s="239"/>
      <c r="D7" s="239"/>
      <c r="E7" s="239"/>
      <c r="H7" s="239"/>
      <c r="I7" s="239"/>
      <c r="J7" s="239"/>
      <c r="K7" s="239"/>
      <c r="L7" s="239"/>
      <c r="M7" s="75"/>
    </row>
    <row r="8">
      <c r="A8" s="329" t="s">
        <v>191</v>
      </c>
      <c r="B8" s="328">
        <v>1515.0</v>
      </c>
      <c r="C8" s="239"/>
      <c r="D8" s="239"/>
      <c r="E8" s="239"/>
      <c r="H8" s="239"/>
      <c r="I8" s="239"/>
      <c r="J8" s="239"/>
      <c r="K8" s="239"/>
      <c r="L8" s="239"/>
      <c r="M8" s="75"/>
    </row>
    <row r="9">
      <c r="A9" s="330" t="s">
        <v>192</v>
      </c>
      <c r="B9" s="331">
        <v>1750.0</v>
      </c>
      <c r="C9" s="239"/>
      <c r="D9" s="239"/>
      <c r="E9" s="239"/>
      <c r="H9" s="239"/>
      <c r="I9" s="239"/>
      <c r="J9" s="239"/>
      <c r="K9" s="239"/>
      <c r="L9" s="239"/>
      <c r="M9" s="75"/>
    </row>
    <row r="10">
      <c r="A10" s="239"/>
      <c r="B10" s="239"/>
      <c r="C10" s="239"/>
      <c r="D10" s="239"/>
      <c r="E10" s="239"/>
      <c r="F10" s="239"/>
      <c r="G10" s="263"/>
      <c r="H10" s="239"/>
      <c r="I10" s="239"/>
      <c r="J10" s="239"/>
      <c r="K10" s="239"/>
      <c r="L10" s="239"/>
      <c r="M10" s="75"/>
    </row>
    <row r="11">
      <c r="A11" s="239"/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75"/>
    </row>
    <row r="12">
      <c r="A12" s="239"/>
      <c r="B12" s="332"/>
      <c r="C12" s="239"/>
      <c r="D12" s="239"/>
      <c r="E12" s="239"/>
      <c r="F12" s="332"/>
      <c r="G12" s="239"/>
      <c r="H12" s="263"/>
      <c r="I12" s="263"/>
      <c r="J12" s="263"/>
      <c r="K12" s="263"/>
      <c r="L12" s="263"/>
      <c r="M12" s="333"/>
    </row>
    <row r="13">
      <c r="A13" s="334" t="s">
        <v>193</v>
      </c>
      <c r="B13" s="135" t="s">
        <v>194</v>
      </c>
      <c r="C13" s="136" t="s">
        <v>195</v>
      </c>
      <c r="D13" s="135" t="s">
        <v>196</v>
      </c>
      <c r="E13" s="135" t="s">
        <v>197</v>
      </c>
      <c r="F13" s="335" t="s">
        <v>198</v>
      </c>
      <c r="G13" s="336" t="s">
        <v>199</v>
      </c>
      <c r="H13" s="239"/>
      <c r="I13" s="263"/>
      <c r="J13" s="263"/>
      <c r="K13" s="263"/>
      <c r="L13" s="263"/>
      <c r="M13" s="337"/>
    </row>
    <row r="14">
      <c r="A14" s="338" t="s">
        <v>200</v>
      </c>
      <c r="B14" s="262">
        <v>8.0</v>
      </c>
      <c r="C14" s="262">
        <v>5.0</v>
      </c>
      <c r="D14" s="136"/>
      <c r="E14" s="262">
        <v>24.0</v>
      </c>
      <c r="F14" s="262">
        <v>6.0</v>
      </c>
      <c r="G14" s="261">
        <f>Sum(B15:G15)</f>
        <v>111478</v>
      </c>
      <c r="H14" s="264"/>
      <c r="I14" s="263"/>
      <c r="J14" s="263"/>
      <c r="K14" s="263"/>
      <c r="L14" s="263"/>
      <c r="M14" s="337"/>
    </row>
    <row r="15">
      <c r="A15" s="91"/>
      <c r="B15" s="135">
        <f>B14*B5</f>
        <v>32768</v>
      </c>
      <c r="C15" s="135">
        <f>C14*B6</f>
        <v>31850</v>
      </c>
      <c r="D15" s="135">
        <f>D14*B7</f>
        <v>0</v>
      </c>
      <c r="E15" s="135">
        <f>E14*B8</f>
        <v>36360</v>
      </c>
      <c r="F15" s="135">
        <f>F14*B9</f>
        <v>10500</v>
      </c>
      <c r="G15" s="91"/>
      <c r="H15" s="264"/>
      <c r="I15" s="263"/>
      <c r="J15" s="263"/>
      <c r="K15" s="263"/>
      <c r="L15" s="263"/>
      <c r="M15" s="337"/>
    </row>
    <row r="16">
      <c r="A16" s="338" t="s">
        <v>201</v>
      </c>
      <c r="B16" s="262"/>
      <c r="C16" s="262">
        <v>11.0</v>
      </c>
      <c r="D16" s="136"/>
      <c r="E16" s="262">
        <v>17.0</v>
      </c>
      <c r="F16" s="262">
        <v>4.0</v>
      </c>
      <c r="G16" s="339">
        <f>SUM(B17:G17)</f>
        <v>102825</v>
      </c>
      <c r="H16" s="264"/>
      <c r="I16" s="263"/>
      <c r="J16" s="263"/>
      <c r="K16" s="263"/>
      <c r="L16" s="263"/>
      <c r="M16" s="337"/>
    </row>
    <row r="17">
      <c r="A17" s="91"/>
      <c r="B17" s="335">
        <f>B16*B5</f>
        <v>0</v>
      </c>
      <c r="C17" s="135">
        <f>C16*B6</f>
        <v>70070</v>
      </c>
      <c r="D17" s="135">
        <f>D16*B7</f>
        <v>0</v>
      </c>
      <c r="E17" s="135">
        <f>E16*B8</f>
        <v>25755</v>
      </c>
      <c r="F17" s="135">
        <f>F16*B9</f>
        <v>7000</v>
      </c>
      <c r="G17" s="91"/>
      <c r="H17" s="264"/>
      <c r="I17" s="263"/>
      <c r="J17" s="263"/>
      <c r="K17" s="263"/>
      <c r="L17" s="263"/>
      <c r="M17" s="337"/>
    </row>
    <row r="18">
      <c r="A18" s="338" t="s">
        <v>202</v>
      </c>
      <c r="B18" s="262">
        <v>7.0</v>
      </c>
      <c r="C18" s="262">
        <v>11.0</v>
      </c>
      <c r="D18" s="136"/>
      <c r="E18" s="262">
        <v>18.0</v>
      </c>
      <c r="F18" s="136"/>
      <c r="G18" s="261">
        <f>Sum(B19:G19)</f>
        <v>126012</v>
      </c>
      <c r="H18" s="264"/>
      <c r="I18" s="263"/>
      <c r="J18" s="263"/>
      <c r="K18" s="263"/>
      <c r="L18" s="263"/>
      <c r="M18" s="337"/>
    </row>
    <row r="19">
      <c r="A19" s="91"/>
      <c r="B19" s="135">
        <f>B18*B5</f>
        <v>28672</v>
      </c>
      <c r="C19" s="135">
        <f>C18*B6</f>
        <v>70070</v>
      </c>
      <c r="D19" s="135">
        <f>D18*B7</f>
        <v>0</v>
      </c>
      <c r="E19" s="135">
        <f>E18*B8</f>
        <v>27270</v>
      </c>
      <c r="F19" s="135">
        <f>F18*B9</f>
        <v>0</v>
      </c>
      <c r="G19" s="91"/>
      <c r="H19" s="264"/>
      <c r="I19" s="263"/>
      <c r="J19" s="263"/>
      <c r="K19" s="263"/>
      <c r="L19" s="263"/>
      <c r="M19" s="337"/>
    </row>
    <row r="20">
      <c r="A20" s="133"/>
      <c r="B20" s="136"/>
      <c r="C20" s="136"/>
      <c r="D20" s="136"/>
      <c r="E20" s="136"/>
      <c r="F20" s="136"/>
      <c r="G20" s="339">
        <f>SUM(B21:G21)</f>
        <v>0</v>
      </c>
      <c r="H20" s="264"/>
      <c r="I20" s="263"/>
      <c r="J20" s="263"/>
      <c r="K20" s="263"/>
      <c r="L20" s="263"/>
      <c r="M20" s="337"/>
    </row>
    <row r="21">
      <c r="A21" s="91"/>
      <c r="B21" s="335">
        <f>B20*B5</f>
        <v>0</v>
      </c>
      <c r="C21" s="135">
        <f>C20*B6</f>
        <v>0</v>
      </c>
      <c r="D21" s="135">
        <f>D20*B7</f>
        <v>0</v>
      </c>
      <c r="E21" s="135">
        <f>E20*B8</f>
        <v>0</v>
      </c>
      <c r="F21" s="135">
        <f>F20*B9</f>
        <v>0</v>
      </c>
      <c r="G21" s="91"/>
      <c r="H21" s="264"/>
      <c r="I21" s="263"/>
      <c r="J21" s="263"/>
      <c r="K21" s="263"/>
      <c r="L21" s="263"/>
      <c r="M21" s="337"/>
    </row>
    <row r="22">
      <c r="A22" s="239"/>
      <c r="B22" s="332"/>
      <c r="C22" s="332"/>
      <c r="D22" s="263"/>
      <c r="E22" s="263"/>
      <c r="F22" s="332"/>
      <c r="G22" s="340">
        <f>Sum(G14:G21)</f>
        <v>340315</v>
      </c>
      <c r="H22" s="263"/>
      <c r="I22" s="263"/>
      <c r="J22" s="263"/>
      <c r="K22" s="263"/>
      <c r="L22" s="263"/>
      <c r="M22" s="337"/>
    </row>
    <row r="23">
      <c r="A23" s="341"/>
      <c r="B23" s="342"/>
      <c r="C23" s="343"/>
      <c r="D23" s="342"/>
      <c r="E23" s="263"/>
      <c r="F23" s="332"/>
      <c r="G23" s="239"/>
      <c r="H23" s="239"/>
      <c r="I23" s="239"/>
      <c r="J23" s="239"/>
      <c r="K23" s="239"/>
      <c r="L23" s="239"/>
      <c r="M23" s="75"/>
    </row>
    <row r="24">
      <c r="A24" s="341"/>
      <c r="B24" s="342"/>
      <c r="C24" s="343"/>
      <c r="D24" s="342"/>
      <c r="E24" s="263"/>
      <c r="F24" s="332"/>
      <c r="G24" s="239"/>
      <c r="H24" s="239"/>
      <c r="I24" s="239"/>
      <c r="J24" s="239"/>
      <c r="K24" s="239"/>
      <c r="L24" s="239"/>
      <c r="M24" s="75"/>
    </row>
    <row r="25">
      <c r="A25" s="332"/>
      <c r="B25" s="263"/>
      <c r="C25" s="263"/>
      <c r="D25" s="263"/>
      <c r="E25" s="263"/>
      <c r="F25" s="263"/>
      <c r="G25" s="332"/>
      <c r="H25" s="263"/>
      <c r="I25" s="263"/>
      <c r="J25" s="263"/>
      <c r="K25" s="263"/>
      <c r="L25" s="263"/>
      <c r="M25" s="75"/>
    </row>
    <row r="26">
      <c r="A26" s="344" t="s">
        <v>203</v>
      </c>
      <c r="B26" s="265"/>
      <c r="C26" s="265"/>
      <c r="D26" s="265"/>
      <c r="E26" s="265"/>
      <c r="F26" s="265"/>
      <c r="G26" s="263"/>
      <c r="H26" s="263"/>
      <c r="I26" s="263"/>
      <c r="J26" s="263"/>
      <c r="K26" s="263"/>
      <c r="L26" s="263"/>
      <c r="M26" s="75"/>
    </row>
    <row r="27"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75"/>
    </row>
    <row r="28">
      <c r="A28" s="136" t="s">
        <v>204</v>
      </c>
      <c r="B28" s="136" t="s">
        <v>205</v>
      </c>
      <c r="C28" s="136" t="s">
        <v>206</v>
      </c>
      <c r="D28" s="136" t="s">
        <v>207</v>
      </c>
      <c r="E28" s="136" t="s">
        <v>41</v>
      </c>
      <c r="F28" s="265"/>
      <c r="G28" s="332"/>
      <c r="H28" s="263"/>
      <c r="I28" s="263"/>
      <c r="J28" s="263"/>
      <c r="K28" s="263"/>
      <c r="L28" s="263"/>
      <c r="M28" s="75"/>
    </row>
    <row r="29">
      <c r="A29" s="345">
        <v>1.0</v>
      </c>
      <c r="B29" s="135" t="s">
        <v>158</v>
      </c>
      <c r="C29" s="346">
        <v>24.0</v>
      </c>
      <c r="D29" s="347">
        <v>6000.0</v>
      </c>
      <c r="E29" s="135">
        <f t="shared" ref="E29:E50" si="1">C29*D29</f>
        <v>144000</v>
      </c>
      <c r="F29" s="263"/>
      <c r="G29" s="332"/>
      <c r="H29" s="263"/>
      <c r="I29" s="263"/>
      <c r="J29" s="263"/>
      <c r="K29" s="263"/>
      <c r="L29" s="263"/>
      <c r="M29" s="75"/>
    </row>
    <row r="30">
      <c r="A30" s="129">
        <v>2.0</v>
      </c>
      <c r="B30" s="335" t="s">
        <v>157</v>
      </c>
      <c r="C30" s="346">
        <v>15.0</v>
      </c>
      <c r="D30" s="348">
        <v>20000.0</v>
      </c>
      <c r="E30" s="135">
        <f t="shared" si="1"/>
        <v>300000</v>
      </c>
      <c r="F30" s="332"/>
      <c r="G30" s="263"/>
      <c r="H30" s="263"/>
      <c r="I30" s="263"/>
      <c r="J30" s="263"/>
      <c r="K30" s="263"/>
      <c r="L30" s="263"/>
      <c r="M30" s="75"/>
    </row>
    <row r="31">
      <c r="A31" s="129">
        <v>3.0</v>
      </c>
      <c r="B31" s="129" t="s">
        <v>208</v>
      </c>
      <c r="C31" s="346">
        <v>27.0</v>
      </c>
      <c r="D31" s="348">
        <v>17000.0</v>
      </c>
      <c r="E31" s="135">
        <f t="shared" si="1"/>
        <v>459000</v>
      </c>
      <c r="F31" s="239"/>
      <c r="G31" s="239"/>
      <c r="H31" s="239"/>
      <c r="I31" s="239"/>
      <c r="J31" s="239"/>
      <c r="K31" s="239"/>
      <c r="L31" s="239"/>
      <c r="M31" s="75"/>
    </row>
    <row r="32">
      <c r="A32" s="129">
        <v>4.0</v>
      </c>
      <c r="B32" s="129" t="s">
        <v>209</v>
      </c>
      <c r="C32" s="346">
        <v>0.0</v>
      </c>
      <c r="D32" s="348">
        <v>34000.0</v>
      </c>
      <c r="E32" s="135">
        <f t="shared" si="1"/>
        <v>0</v>
      </c>
      <c r="F32" s="239"/>
      <c r="G32" s="239"/>
      <c r="H32" s="239"/>
      <c r="I32" s="239"/>
      <c r="J32" s="239"/>
      <c r="K32" s="239"/>
      <c r="L32" s="239"/>
      <c r="M32" s="75"/>
    </row>
    <row r="33">
      <c r="A33" s="129">
        <v>5.0</v>
      </c>
      <c r="B33" s="129" t="s">
        <v>210</v>
      </c>
      <c r="C33" s="346">
        <v>9.0</v>
      </c>
      <c r="D33" s="348">
        <v>9000.0</v>
      </c>
      <c r="E33" s="135">
        <f t="shared" si="1"/>
        <v>81000</v>
      </c>
      <c r="F33" s="239"/>
      <c r="G33" s="239"/>
      <c r="H33" s="239"/>
      <c r="I33" s="239"/>
      <c r="J33" s="239"/>
      <c r="K33" s="239"/>
      <c r="L33" s="239"/>
      <c r="M33" s="75"/>
    </row>
    <row r="34">
      <c r="A34" s="129">
        <v>6.0</v>
      </c>
      <c r="B34" s="135" t="s">
        <v>211</v>
      </c>
      <c r="C34" s="346">
        <v>22.0</v>
      </c>
      <c r="D34" s="348">
        <v>9500.0</v>
      </c>
      <c r="E34" s="135">
        <f t="shared" si="1"/>
        <v>209000</v>
      </c>
      <c r="F34" s="239"/>
      <c r="G34" s="239"/>
      <c r="H34" s="239"/>
      <c r="I34" s="239"/>
      <c r="J34" s="239"/>
      <c r="K34" s="239"/>
      <c r="L34" s="239"/>
      <c r="M34" s="75"/>
    </row>
    <row r="35">
      <c r="A35" s="129">
        <v>7.0</v>
      </c>
      <c r="B35" s="135" t="s">
        <v>212</v>
      </c>
      <c r="C35" s="346">
        <v>13.0</v>
      </c>
      <c r="D35" s="348">
        <v>9500.0</v>
      </c>
      <c r="E35" s="135">
        <f t="shared" si="1"/>
        <v>123500</v>
      </c>
      <c r="F35" s="239"/>
      <c r="G35" s="239"/>
      <c r="H35" s="239"/>
      <c r="I35" s="239"/>
      <c r="J35" s="239"/>
      <c r="K35" s="239"/>
      <c r="L35" s="239"/>
      <c r="M35" s="75"/>
    </row>
    <row r="36">
      <c r="A36" s="129">
        <v>8.0</v>
      </c>
      <c r="B36" s="135" t="s">
        <v>213</v>
      </c>
      <c r="C36" s="346">
        <v>12.0</v>
      </c>
      <c r="D36" s="348">
        <v>1120.0</v>
      </c>
      <c r="E36" s="135">
        <f t="shared" si="1"/>
        <v>13440</v>
      </c>
      <c r="F36" s="239"/>
      <c r="G36" s="239"/>
      <c r="H36" s="239"/>
      <c r="I36" s="239"/>
      <c r="J36" s="239"/>
      <c r="K36" s="239"/>
      <c r="L36" s="239"/>
      <c r="M36" s="75"/>
    </row>
    <row r="37">
      <c r="A37" s="16">
        <v>8.0</v>
      </c>
      <c r="B37" s="135" t="s">
        <v>214</v>
      </c>
      <c r="C37" s="346">
        <v>8.0</v>
      </c>
      <c r="D37" s="348">
        <v>9000.0</v>
      </c>
      <c r="E37" s="135">
        <f t="shared" si="1"/>
        <v>72000</v>
      </c>
      <c r="F37" s="239"/>
      <c r="G37" s="239"/>
      <c r="H37" s="239"/>
      <c r="I37" s="239"/>
      <c r="J37" s="239"/>
      <c r="K37" s="239"/>
      <c r="L37" s="239"/>
      <c r="M37" s="75"/>
    </row>
    <row r="38">
      <c r="A38" s="16">
        <v>9.0</v>
      </c>
      <c r="B38" s="135" t="s">
        <v>164</v>
      </c>
      <c r="C38" s="346">
        <v>0.0</v>
      </c>
      <c r="D38" s="348">
        <v>4600.0</v>
      </c>
      <c r="E38" s="135">
        <f t="shared" si="1"/>
        <v>0</v>
      </c>
      <c r="F38" s="239"/>
      <c r="G38" s="239"/>
      <c r="H38" s="239"/>
      <c r="I38" s="239"/>
      <c r="J38" s="239"/>
      <c r="K38" s="239"/>
      <c r="L38" s="239"/>
      <c r="M38" s="75"/>
    </row>
    <row r="39">
      <c r="A39" s="16">
        <v>10.0</v>
      </c>
      <c r="B39" s="16" t="s">
        <v>215</v>
      </c>
      <c r="C39" s="346">
        <v>1.0</v>
      </c>
      <c r="D39" s="348">
        <v>30000.0</v>
      </c>
      <c r="E39" s="135">
        <f t="shared" si="1"/>
        <v>30000</v>
      </c>
      <c r="F39" s="239"/>
      <c r="G39" s="239"/>
      <c r="H39" s="239"/>
      <c r="I39" s="239"/>
      <c r="J39" s="239"/>
      <c r="K39" s="239"/>
      <c r="L39" s="239"/>
      <c r="M39" s="75"/>
    </row>
    <row r="40">
      <c r="A40" s="16">
        <v>11.0</v>
      </c>
      <c r="B40" s="16" t="s">
        <v>216</v>
      </c>
      <c r="C40" s="346">
        <v>1.0</v>
      </c>
      <c r="D40" s="348">
        <v>22900.0</v>
      </c>
      <c r="E40" s="135">
        <f t="shared" si="1"/>
        <v>22900</v>
      </c>
      <c r="F40" s="239"/>
      <c r="G40" s="239"/>
      <c r="H40" s="239"/>
      <c r="I40" s="239"/>
      <c r="J40" s="239"/>
      <c r="K40" s="239"/>
      <c r="L40" s="239"/>
      <c r="M40" s="75"/>
    </row>
    <row r="41">
      <c r="A41" s="16">
        <v>12.0</v>
      </c>
      <c r="B41" s="16" t="s">
        <v>217</v>
      </c>
      <c r="C41" s="349">
        <v>1.8</v>
      </c>
      <c r="D41" s="348">
        <v>28500.0</v>
      </c>
      <c r="E41" s="135">
        <f t="shared" si="1"/>
        <v>51300</v>
      </c>
      <c r="F41" s="239"/>
      <c r="G41" s="239"/>
      <c r="H41" s="239"/>
      <c r="I41" s="239"/>
      <c r="J41" s="239"/>
      <c r="K41" s="239"/>
      <c r="L41" s="239"/>
      <c r="M41" s="75"/>
    </row>
    <row r="42">
      <c r="A42" s="16">
        <v>13.0</v>
      </c>
      <c r="B42" s="16" t="s">
        <v>218</v>
      </c>
      <c r="C42" s="346">
        <v>1.0</v>
      </c>
      <c r="D42" s="348">
        <v>20000.0</v>
      </c>
      <c r="E42" s="135">
        <f t="shared" si="1"/>
        <v>20000</v>
      </c>
      <c r="F42" s="239"/>
      <c r="G42" s="239"/>
      <c r="H42" s="239"/>
      <c r="I42" s="239"/>
      <c r="J42" s="239"/>
      <c r="K42" s="239"/>
      <c r="L42" s="239"/>
      <c r="M42" s="75"/>
    </row>
    <row r="43">
      <c r="A43" s="16">
        <v>14.0</v>
      </c>
      <c r="B43" s="16" t="s">
        <v>219</v>
      </c>
      <c r="C43" s="346">
        <v>12.0</v>
      </c>
      <c r="D43" s="348">
        <v>2990.0</v>
      </c>
      <c r="E43" s="135">
        <f t="shared" si="1"/>
        <v>35880</v>
      </c>
      <c r="F43" s="239"/>
      <c r="G43" s="239"/>
      <c r="H43" s="239"/>
      <c r="I43" s="239"/>
      <c r="J43" s="239"/>
      <c r="K43" s="239"/>
      <c r="L43" s="239"/>
      <c r="M43" s="75"/>
    </row>
    <row r="44">
      <c r="A44" s="16">
        <v>15.0</v>
      </c>
      <c r="B44" s="16" t="s">
        <v>220</v>
      </c>
      <c r="C44" s="346">
        <v>1.0</v>
      </c>
      <c r="D44" s="348">
        <v>9000.0</v>
      </c>
      <c r="E44" s="135">
        <f t="shared" si="1"/>
        <v>9000</v>
      </c>
      <c r="F44" s="239"/>
      <c r="G44" s="239"/>
      <c r="H44" s="239"/>
      <c r="I44" s="239"/>
      <c r="J44" s="239"/>
      <c r="K44" s="239"/>
      <c r="L44" s="239"/>
      <c r="M44" s="75"/>
    </row>
    <row r="45">
      <c r="A45" s="16">
        <v>16.0</v>
      </c>
      <c r="B45" s="16" t="s">
        <v>221</v>
      </c>
      <c r="C45" s="350">
        <v>3.0</v>
      </c>
      <c r="D45" s="348">
        <v>4750.0</v>
      </c>
      <c r="E45" s="135">
        <f t="shared" si="1"/>
        <v>14250</v>
      </c>
      <c r="F45" s="239"/>
      <c r="G45" s="239"/>
      <c r="H45" s="239"/>
      <c r="I45" s="239"/>
      <c r="J45" s="239"/>
      <c r="K45" s="239"/>
      <c r="L45" s="239"/>
      <c r="M45" s="75"/>
    </row>
    <row r="46">
      <c r="A46" s="129">
        <v>17.0</v>
      </c>
      <c r="B46" s="16" t="s">
        <v>222</v>
      </c>
      <c r="C46" s="346">
        <v>2.0</v>
      </c>
      <c r="D46" s="348">
        <v>8000.0</v>
      </c>
      <c r="E46" s="135">
        <f t="shared" si="1"/>
        <v>16000</v>
      </c>
      <c r="F46" s="239"/>
      <c r="G46" s="239"/>
      <c r="H46" s="239"/>
      <c r="I46" s="239"/>
      <c r="J46" s="239"/>
      <c r="K46" s="239"/>
      <c r="L46" s="239"/>
      <c r="M46" s="75"/>
    </row>
    <row r="47">
      <c r="A47" s="129">
        <v>18.0</v>
      </c>
      <c r="B47" s="16" t="s">
        <v>163</v>
      </c>
      <c r="C47" s="346">
        <v>27.0</v>
      </c>
      <c r="D47" s="348">
        <v>2750.0</v>
      </c>
      <c r="E47" s="135">
        <f t="shared" si="1"/>
        <v>74250</v>
      </c>
      <c r="F47" s="239"/>
      <c r="G47" s="239"/>
      <c r="H47" s="239"/>
      <c r="I47" s="239"/>
      <c r="J47" s="239"/>
      <c r="K47" s="239"/>
      <c r="L47" s="239"/>
      <c r="M47" s="75"/>
    </row>
    <row r="48">
      <c r="A48" s="16">
        <v>19.0</v>
      </c>
      <c r="B48" s="335" t="s">
        <v>223</v>
      </c>
      <c r="C48" s="346">
        <v>0.0</v>
      </c>
      <c r="D48" s="348">
        <v>1400.0</v>
      </c>
      <c r="E48" s="135">
        <f t="shared" si="1"/>
        <v>0</v>
      </c>
      <c r="F48" s="239"/>
      <c r="G48" s="239"/>
      <c r="H48" s="239"/>
      <c r="I48" s="239"/>
      <c r="J48" s="239"/>
      <c r="K48" s="239"/>
      <c r="L48" s="239"/>
      <c r="M48" s="75"/>
    </row>
    <row r="49">
      <c r="A49" s="16">
        <v>20.0</v>
      </c>
      <c r="B49" s="335" t="s">
        <v>224</v>
      </c>
      <c r="C49" s="346">
        <v>50.0</v>
      </c>
      <c r="D49" s="348">
        <v>84.0</v>
      </c>
      <c r="E49" s="135">
        <f t="shared" si="1"/>
        <v>4200</v>
      </c>
      <c r="F49" s="239"/>
      <c r="G49" s="239"/>
      <c r="H49" s="239"/>
      <c r="I49" s="239"/>
      <c r="J49" s="239"/>
      <c r="K49" s="239"/>
      <c r="L49" s="239"/>
      <c r="M49" s="75"/>
    </row>
    <row r="50">
      <c r="A50" s="16">
        <v>21.0</v>
      </c>
      <c r="B50" s="335" t="s">
        <v>225</v>
      </c>
      <c r="C50" s="346">
        <v>0.0</v>
      </c>
      <c r="D50" s="348">
        <v>11000.0</v>
      </c>
      <c r="E50" s="135">
        <f t="shared" si="1"/>
        <v>0</v>
      </c>
      <c r="F50" s="239"/>
      <c r="G50" s="239"/>
      <c r="H50" s="239"/>
      <c r="I50" s="239"/>
      <c r="J50" s="239"/>
      <c r="K50" s="239"/>
      <c r="L50" s="239"/>
      <c r="M50" s="75"/>
    </row>
    <row r="51">
      <c r="A51" s="239"/>
      <c r="B51" s="332"/>
      <c r="C51" s="239"/>
      <c r="D51" s="263"/>
      <c r="E51" s="337">
        <f>SUM(E29:E50)</f>
        <v>1679720</v>
      </c>
      <c r="F51" s="239"/>
      <c r="G51" s="239"/>
      <c r="H51" s="239"/>
      <c r="I51" s="239"/>
      <c r="J51" s="239"/>
      <c r="K51" s="239"/>
      <c r="L51" s="239"/>
      <c r="M51" s="75"/>
    </row>
    <row r="52">
      <c r="A52" s="239"/>
      <c r="B52" s="332"/>
      <c r="C52" s="264"/>
      <c r="D52" s="263"/>
      <c r="E52" s="263"/>
      <c r="F52" s="239"/>
      <c r="G52" s="239"/>
      <c r="H52" s="239"/>
      <c r="I52" s="239"/>
      <c r="J52" s="239"/>
      <c r="K52" s="239"/>
      <c r="L52" s="239"/>
      <c r="M52" s="75"/>
    </row>
    <row r="53">
      <c r="A53" s="351" t="s">
        <v>226</v>
      </c>
      <c r="B53" s="332"/>
      <c r="C53" s="239"/>
      <c r="D53" s="263"/>
      <c r="E53" s="263"/>
      <c r="F53" s="239"/>
      <c r="G53" s="239"/>
      <c r="H53" s="239"/>
      <c r="I53" s="239"/>
      <c r="J53" s="239"/>
      <c r="K53" s="239"/>
      <c r="L53" s="239"/>
      <c r="M53" s="75"/>
    </row>
    <row r="54">
      <c r="A54" s="352" t="s">
        <v>227</v>
      </c>
      <c r="B54" s="332"/>
      <c r="C54" s="239"/>
      <c r="D54" s="263"/>
      <c r="E54" s="263"/>
      <c r="F54" s="239"/>
      <c r="G54" s="239"/>
      <c r="H54" s="239"/>
      <c r="I54" s="239"/>
      <c r="J54" s="239"/>
      <c r="K54" s="239"/>
      <c r="L54" s="239"/>
      <c r="M54" s="75"/>
    </row>
    <row r="55">
      <c r="A55" s="239"/>
      <c r="B55" s="332"/>
      <c r="C55" s="239"/>
      <c r="D55" s="263"/>
      <c r="E55" s="263"/>
      <c r="F55" s="239"/>
      <c r="G55" s="239"/>
      <c r="H55" s="239"/>
      <c r="I55" s="239"/>
      <c r="J55" s="239"/>
      <c r="K55" s="239"/>
      <c r="L55" s="239"/>
      <c r="M55" s="75"/>
    </row>
    <row r="56">
      <c r="A56" s="353" t="s">
        <v>228</v>
      </c>
      <c r="B56" s="354">
        <f>G22</f>
        <v>340315</v>
      </c>
      <c r="C56" s="239"/>
      <c r="D56" s="263"/>
      <c r="E56" s="263"/>
      <c r="F56" s="239"/>
      <c r="G56" s="239"/>
      <c r="H56" s="239"/>
      <c r="I56" s="239"/>
      <c r="J56" s="239"/>
      <c r="K56" s="239"/>
      <c r="L56" s="239"/>
      <c r="M56" s="75"/>
    </row>
    <row r="57">
      <c r="A57" s="353" t="s">
        <v>229</v>
      </c>
      <c r="B57" s="354">
        <f>E51</f>
        <v>1679720</v>
      </c>
      <c r="C57" s="239"/>
      <c r="D57" s="263"/>
      <c r="E57" s="263"/>
      <c r="F57" s="239"/>
      <c r="G57" s="239"/>
      <c r="H57" s="239"/>
      <c r="I57" s="239"/>
      <c r="J57" s="239"/>
      <c r="K57" s="239"/>
      <c r="L57" s="239"/>
      <c r="M57" s="75"/>
    </row>
    <row r="58">
      <c r="A58" s="353" t="s">
        <v>230</v>
      </c>
      <c r="B58" s="355">
        <f>'Slip Gaji'!E17</f>
        <v>5661368.247</v>
      </c>
      <c r="C58" s="263"/>
      <c r="D58" s="239"/>
      <c r="E58" s="263"/>
      <c r="F58" s="239"/>
      <c r="G58" s="239"/>
      <c r="H58" s="239"/>
      <c r="I58" s="239"/>
      <c r="J58" s="239"/>
      <c r="K58" s="239"/>
      <c r="L58" s="239"/>
      <c r="M58" s="75"/>
    </row>
    <row r="59">
      <c r="A59" s="353" t="s">
        <v>231</v>
      </c>
      <c r="B59" s="355">
        <v>553093.0</v>
      </c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75"/>
    </row>
    <row r="60">
      <c r="A60" s="351" t="s">
        <v>232</v>
      </c>
      <c r="B60" s="355">
        <v>264850.0</v>
      </c>
      <c r="C60" s="263"/>
      <c r="D60" s="239"/>
      <c r="E60" s="239"/>
      <c r="F60" s="239"/>
      <c r="G60" s="239"/>
      <c r="H60" s="239"/>
      <c r="I60" s="239"/>
      <c r="J60" s="239"/>
      <c r="K60" s="239"/>
      <c r="L60" s="239"/>
      <c r="M60" s="75"/>
    </row>
    <row r="61">
      <c r="A61" s="353" t="s">
        <v>233</v>
      </c>
      <c r="B61" s="355">
        <v>2000000.0</v>
      </c>
      <c r="C61" s="263"/>
      <c r="D61" s="239"/>
      <c r="E61" s="239"/>
      <c r="F61" s="239"/>
      <c r="G61" s="239"/>
      <c r="H61" s="239"/>
      <c r="I61" s="239"/>
      <c r="J61" s="239"/>
      <c r="K61" s="239"/>
      <c r="L61" s="239"/>
      <c r="M61" s="75"/>
    </row>
    <row r="62">
      <c r="A62" s="356" t="s">
        <v>41</v>
      </c>
      <c r="B62" s="357">
        <f>Sum(B56:B61)</f>
        <v>10499346.25</v>
      </c>
      <c r="C62" s="358"/>
      <c r="D62" s="239"/>
      <c r="E62" s="239"/>
      <c r="F62" s="239"/>
      <c r="G62" s="239"/>
      <c r="H62" s="239"/>
      <c r="I62" s="239"/>
      <c r="J62" s="239"/>
      <c r="K62" s="239"/>
      <c r="L62" s="239"/>
      <c r="M62" s="75"/>
    </row>
    <row r="63">
      <c r="A63" s="264"/>
      <c r="B63" s="332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75"/>
    </row>
    <row r="64">
      <c r="A64" s="353" t="s">
        <v>3</v>
      </c>
      <c r="B64" s="359">
        <f>Keuangan!B34</f>
        <v>23886982.54</v>
      </c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75"/>
    </row>
    <row r="65">
      <c r="A65" s="353" t="s">
        <v>234</v>
      </c>
      <c r="B65" s="359">
        <f>Keuangan!C34</f>
        <v>40175067</v>
      </c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75"/>
    </row>
    <row r="66">
      <c r="A66" s="360" t="s">
        <v>235</v>
      </c>
      <c r="B66" s="361"/>
      <c r="C66" s="362">
        <f>B65-B64</f>
        <v>16288084.46</v>
      </c>
      <c r="D66" s="239"/>
      <c r="E66" s="239"/>
      <c r="F66" s="239"/>
      <c r="G66" s="239"/>
      <c r="H66" s="239"/>
      <c r="I66" s="239"/>
      <c r="J66" s="239"/>
      <c r="K66" s="239"/>
      <c r="L66" s="239"/>
      <c r="M66" s="75"/>
    </row>
    <row r="67">
      <c r="A67" s="239"/>
      <c r="B67" s="332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75"/>
    </row>
    <row r="68">
      <c r="A68" s="360" t="s">
        <v>236</v>
      </c>
      <c r="B68" s="361"/>
      <c r="C68" s="363">
        <f>C66-B62</f>
        <v>5788738.213</v>
      </c>
      <c r="D68" s="239"/>
      <c r="E68" s="239"/>
      <c r="F68" s="239"/>
      <c r="G68" s="239"/>
      <c r="H68" s="239"/>
      <c r="I68" s="239"/>
      <c r="J68" s="239"/>
      <c r="K68" s="239"/>
      <c r="L68" s="239"/>
      <c r="M68" s="75"/>
    </row>
    <row r="69">
      <c r="A69" s="351" t="s">
        <v>237</v>
      </c>
      <c r="B69" s="332"/>
      <c r="C69" s="364">
        <f>B65*5%</f>
        <v>2008753.35</v>
      </c>
      <c r="D69" s="239"/>
      <c r="E69" s="239"/>
      <c r="F69" s="239"/>
      <c r="G69" s="239"/>
      <c r="H69" s="239"/>
      <c r="I69" s="239"/>
      <c r="J69" s="239"/>
      <c r="K69" s="239"/>
      <c r="L69" s="239"/>
      <c r="M69" s="75"/>
    </row>
    <row r="70">
      <c r="A70" s="353" t="s">
        <v>238</v>
      </c>
      <c r="B70" s="239"/>
      <c r="C70" s="337">
        <f>C68-C69</f>
        <v>3779984.863</v>
      </c>
      <c r="D70" s="239"/>
      <c r="E70" s="239"/>
      <c r="F70" s="239"/>
      <c r="G70" s="239"/>
      <c r="H70" s="239"/>
      <c r="I70" s="239"/>
      <c r="J70" s="239"/>
      <c r="K70" s="239"/>
      <c r="L70" s="239"/>
      <c r="M70" s="75"/>
    </row>
    <row r="71">
      <c r="A71" s="351" t="s">
        <v>239</v>
      </c>
      <c r="B71" s="353"/>
      <c r="C71" s="337">
        <f>C68*30%</f>
        <v>1736621.464</v>
      </c>
      <c r="D71" s="239"/>
      <c r="E71" s="239"/>
      <c r="F71" s="239"/>
      <c r="G71" s="239"/>
      <c r="H71" s="239"/>
      <c r="I71" s="239"/>
      <c r="J71" s="239"/>
      <c r="K71" s="239"/>
      <c r="L71" s="239"/>
      <c r="M71" s="75"/>
    </row>
    <row r="72">
      <c r="A72" s="239"/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75"/>
    </row>
    <row r="73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75"/>
    </row>
    <row r="74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75"/>
    </row>
    <row r="75">
      <c r="A75" s="239"/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75"/>
    </row>
    <row r="76">
      <c r="A76" s="239"/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75"/>
    </row>
    <row r="77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75"/>
    </row>
    <row r="78">
      <c r="A78" s="239"/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75"/>
    </row>
    <row r="79">
      <c r="A79" s="239"/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75"/>
    </row>
    <row r="80">
      <c r="A80" s="239"/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75"/>
    </row>
    <row r="81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75"/>
    </row>
    <row r="82">
      <c r="A82" s="239"/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75"/>
    </row>
    <row r="83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75"/>
    </row>
    <row r="84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75"/>
    </row>
    <row r="85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75"/>
    </row>
    <row r="86">
      <c r="A86" s="239"/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75"/>
    </row>
    <row r="87">
      <c r="A87" s="239"/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75"/>
    </row>
    <row r="88">
      <c r="A88" s="239"/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75"/>
    </row>
    <row r="89">
      <c r="A89" s="239"/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75"/>
    </row>
    <row r="90">
      <c r="A90" s="239"/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75"/>
    </row>
    <row r="91">
      <c r="A91" s="239"/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75"/>
    </row>
    <row r="92">
      <c r="A92" s="239"/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75"/>
    </row>
    <row r="93">
      <c r="A93" s="239"/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75"/>
    </row>
    <row r="94">
      <c r="A94" s="239"/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75"/>
    </row>
    <row r="95">
      <c r="A95" s="239"/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75"/>
    </row>
    <row r="96">
      <c r="A96" s="239"/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75"/>
    </row>
    <row r="97">
      <c r="A97" s="239"/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75"/>
    </row>
    <row r="98">
      <c r="A98" s="239"/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75"/>
    </row>
    <row r="99">
      <c r="A99" s="239"/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75"/>
    </row>
    <row r="100">
      <c r="A100" s="239"/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75"/>
    </row>
    <row r="101">
      <c r="A101" s="239"/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75"/>
    </row>
    <row r="102">
      <c r="A102" s="239"/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75"/>
    </row>
    <row r="103">
      <c r="A103" s="239"/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75"/>
    </row>
    <row r="104">
      <c r="A104" s="239"/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75"/>
    </row>
    <row r="105">
      <c r="A105" s="239"/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75"/>
    </row>
    <row r="106">
      <c r="A106" s="239"/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75"/>
    </row>
    <row r="107">
      <c r="A107" s="239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75"/>
    </row>
    <row r="108">
      <c r="A108" s="239"/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  <c r="L108" s="239"/>
      <c r="M108" s="75"/>
    </row>
    <row r="109">
      <c r="A109" s="239"/>
      <c r="B109" s="239"/>
      <c r="C109" s="239"/>
      <c r="D109" s="239"/>
      <c r="E109" s="239"/>
      <c r="F109" s="239"/>
      <c r="G109" s="239"/>
      <c r="H109" s="239"/>
      <c r="I109" s="239"/>
      <c r="J109" s="239"/>
      <c r="K109" s="239"/>
      <c r="L109" s="239"/>
      <c r="M109" s="75"/>
    </row>
    <row r="110">
      <c r="A110" s="239"/>
      <c r="B110" s="239"/>
      <c r="C110" s="239"/>
      <c r="D110" s="239"/>
      <c r="E110" s="239"/>
      <c r="F110" s="239"/>
      <c r="G110" s="239"/>
      <c r="H110" s="239"/>
      <c r="I110" s="239"/>
      <c r="J110" s="239"/>
      <c r="K110" s="239"/>
      <c r="L110" s="239"/>
      <c r="M110" s="75"/>
    </row>
    <row r="111">
      <c r="A111" s="239"/>
      <c r="B111" s="239"/>
      <c r="C111" s="239"/>
      <c r="D111" s="239"/>
      <c r="E111" s="239"/>
      <c r="F111" s="239"/>
      <c r="G111" s="239"/>
      <c r="H111" s="239"/>
      <c r="I111" s="239"/>
      <c r="J111" s="239"/>
      <c r="K111" s="239"/>
      <c r="L111" s="239"/>
      <c r="M111" s="75"/>
    </row>
    <row r="112">
      <c r="A112" s="239"/>
      <c r="B112" s="239"/>
      <c r="C112" s="239"/>
      <c r="D112" s="239"/>
      <c r="E112" s="239"/>
      <c r="F112" s="239"/>
      <c r="G112" s="239"/>
      <c r="H112" s="239"/>
      <c r="I112" s="239"/>
      <c r="J112" s="239"/>
      <c r="K112" s="239"/>
      <c r="L112" s="239"/>
      <c r="M112" s="75"/>
    </row>
    <row r="113">
      <c r="A113" s="239"/>
      <c r="B113" s="239"/>
      <c r="C113" s="239"/>
      <c r="D113" s="239"/>
      <c r="E113" s="239"/>
      <c r="F113" s="239"/>
      <c r="G113" s="239"/>
      <c r="H113" s="239"/>
      <c r="I113" s="239"/>
      <c r="J113" s="239"/>
      <c r="K113" s="239"/>
      <c r="L113" s="239"/>
      <c r="M113" s="75"/>
    </row>
    <row r="114">
      <c r="A114" s="239"/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  <c r="L114" s="239"/>
      <c r="M114" s="75"/>
    </row>
    <row r="115">
      <c r="A115" s="239"/>
      <c r="B115" s="239"/>
      <c r="C115" s="239"/>
      <c r="D115" s="239"/>
      <c r="E115" s="239"/>
      <c r="F115" s="239"/>
      <c r="G115" s="239"/>
      <c r="H115" s="239"/>
      <c r="I115" s="239"/>
      <c r="J115" s="239"/>
      <c r="K115" s="239"/>
      <c r="L115" s="239"/>
      <c r="M115" s="75"/>
    </row>
    <row r="116">
      <c r="A116" s="239"/>
      <c r="B116" s="239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75"/>
    </row>
    <row r="117">
      <c r="A117" s="239"/>
      <c r="B117" s="239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75"/>
    </row>
    <row r="118">
      <c r="A118" s="239"/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75"/>
    </row>
    <row r="119">
      <c r="A119" s="239"/>
      <c r="B119" s="239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75"/>
    </row>
    <row r="120">
      <c r="A120" s="239"/>
      <c r="B120" s="239"/>
      <c r="C120" s="239"/>
      <c r="D120" s="239"/>
      <c r="E120" s="239"/>
      <c r="F120" s="239"/>
      <c r="G120" s="239"/>
      <c r="H120" s="239"/>
      <c r="I120" s="239"/>
      <c r="J120" s="239"/>
      <c r="K120" s="239"/>
      <c r="L120" s="239"/>
      <c r="M120" s="75"/>
    </row>
    <row r="121">
      <c r="A121" s="239"/>
      <c r="B121" s="239"/>
      <c r="C121" s="239"/>
      <c r="D121" s="239"/>
      <c r="E121" s="239"/>
      <c r="F121" s="239"/>
      <c r="G121" s="239"/>
      <c r="H121" s="239"/>
      <c r="I121" s="239"/>
      <c r="J121" s="239"/>
      <c r="K121" s="239"/>
      <c r="L121" s="239"/>
      <c r="M121" s="75"/>
    </row>
    <row r="122">
      <c r="A122" s="239"/>
      <c r="B122" s="239"/>
      <c r="C122" s="239"/>
      <c r="D122" s="239"/>
      <c r="E122" s="239"/>
      <c r="F122" s="239"/>
      <c r="G122" s="239"/>
      <c r="H122" s="239"/>
      <c r="I122" s="239"/>
      <c r="J122" s="239"/>
      <c r="K122" s="239"/>
      <c r="L122" s="239"/>
      <c r="M122" s="75"/>
    </row>
    <row r="123">
      <c r="A123" s="239"/>
      <c r="B123" s="239"/>
      <c r="C123" s="239"/>
      <c r="D123" s="239"/>
      <c r="E123" s="239"/>
      <c r="F123" s="239"/>
      <c r="G123" s="239"/>
      <c r="H123" s="239"/>
      <c r="I123" s="239"/>
      <c r="J123" s="239"/>
      <c r="K123" s="239"/>
      <c r="L123" s="239"/>
      <c r="M123" s="75"/>
    </row>
    <row r="124">
      <c r="A124" s="239"/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75"/>
    </row>
    <row r="125">
      <c r="A125" s="239"/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  <c r="L125" s="239"/>
      <c r="M125" s="75"/>
    </row>
    <row r="126">
      <c r="A126" s="239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  <c r="L126" s="239"/>
      <c r="M126" s="75"/>
    </row>
    <row r="127">
      <c r="A127" s="239"/>
      <c r="B127" s="239"/>
      <c r="C127" s="239"/>
      <c r="D127" s="239"/>
      <c r="E127" s="239"/>
      <c r="F127" s="239"/>
      <c r="G127" s="239"/>
      <c r="H127" s="239"/>
      <c r="I127" s="239"/>
      <c r="J127" s="239"/>
      <c r="K127" s="239"/>
      <c r="L127" s="239"/>
      <c r="M127" s="75"/>
    </row>
    <row r="128">
      <c r="A128" s="239"/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  <c r="L128" s="239"/>
      <c r="M128" s="75"/>
    </row>
    <row r="129">
      <c r="A129" s="239"/>
      <c r="B129" s="239"/>
      <c r="C129" s="239"/>
      <c r="D129" s="239"/>
      <c r="E129" s="239"/>
      <c r="F129" s="239"/>
      <c r="G129" s="239"/>
      <c r="H129" s="239"/>
      <c r="I129" s="239"/>
      <c r="J129" s="239"/>
      <c r="K129" s="239"/>
      <c r="L129" s="239"/>
      <c r="M129" s="75"/>
    </row>
    <row r="130">
      <c r="A130" s="239"/>
      <c r="B130" s="239"/>
      <c r="C130" s="239"/>
      <c r="D130" s="239"/>
      <c r="E130" s="239"/>
      <c r="F130" s="239"/>
      <c r="G130" s="239"/>
      <c r="H130" s="239"/>
      <c r="I130" s="239"/>
      <c r="J130" s="239"/>
      <c r="K130" s="239"/>
      <c r="L130" s="239"/>
      <c r="M130" s="75"/>
    </row>
    <row r="131">
      <c r="A131" s="239"/>
      <c r="B131" s="239"/>
      <c r="C131" s="239"/>
      <c r="D131" s="239"/>
      <c r="E131" s="239"/>
      <c r="F131" s="239"/>
      <c r="G131" s="239"/>
      <c r="H131" s="239"/>
      <c r="I131" s="239"/>
      <c r="J131" s="239"/>
      <c r="K131" s="239"/>
      <c r="L131" s="239"/>
      <c r="M131" s="75"/>
    </row>
    <row r="132">
      <c r="A132" s="239"/>
      <c r="B132" s="239"/>
      <c r="C132" s="239"/>
      <c r="D132" s="239"/>
      <c r="E132" s="239"/>
      <c r="F132" s="239"/>
      <c r="G132" s="239"/>
      <c r="H132" s="239"/>
      <c r="I132" s="239"/>
      <c r="J132" s="239"/>
      <c r="K132" s="239"/>
      <c r="L132" s="239"/>
      <c r="M132" s="75"/>
    </row>
    <row r="133">
      <c r="A133" s="239"/>
      <c r="B133" s="239"/>
      <c r="C133" s="239"/>
      <c r="D133" s="239"/>
      <c r="E133" s="239"/>
      <c r="F133" s="239"/>
      <c r="G133" s="239"/>
      <c r="H133" s="239"/>
      <c r="I133" s="239"/>
      <c r="J133" s="239"/>
      <c r="K133" s="239"/>
      <c r="L133" s="239"/>
      <c r="M133" s="75"/>
    </row>
    <row r="134">
      <c r="A134" s="239"/>
      <c r="B134" s="239"/>
      <c r="C134" s="239"/>
      <c r="D134" s="239"/>
      <c r="E134" s="239"/>
      <c r="F134" s="239"/>
      <c r="G134" s="239"/>
      <c r="H134" s="239"/>
      <c r="I134" s="239"/>
      <c r="J134" s="239"/>
      <c r="K134" s="239"/>
      <c r="L134" s="239"/>
      <c r="M134" s="75"/>
    </row>
    <row r="135">
      <c r="A135" s="239"/>
      <c r="B135" s="239"/>
      <c r="C135" s="239"/>
      <c r="D135" s="239"/>
      <c r="E135" s="239"/>
      <c r="F135" s="239"/>
      <c r="G135" s="239"/>
      <c r="H135" s="239"/>
      <c r="I135" s="239"/>
      <c r="J135" s="239"/>
      <c r="K135" s="239"/>
      <c r="L135" s="239"/>
      <c r="M135" s="75"/>
    </row>
    <row r="136">
      <c r="A136" s="239"/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  <c r="L136" s="239"/>
      <c r="M136" s="75"/>
    </row>
    <row r="137">
      <c r="A137" s="239"/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  <c r="L137" s="239"/>
      <c r="M137" s="75"/>
    </row>
    <row r="138">
      <c r="A138" s="239"/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  <c r="L138" s="239"/>
      <c r="M138" s="75"/>
    </row>
    <row r="139">
      <c r="A139" s="239"/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  <c r="L139" s="239"/>
      <c r="M139" s="75"/>
    </row>
    <row r="140">
      <c r="A140" s="239"/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  <c r="L140" s="239"/>
      <c r="M140" s="75"/>
    </row>
    <row r="141">
      <c r="A141" s="239"/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  <c r="L141" s="239"/>
      <c r="M141" s="75"/>
    </row>
    <row r="142">
      <c r="A142" s="239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  <c r="L142" s="239"/>
      <c r="M142" s="75"/>
    </row>
    <row r="143">
      <c r="A143" s="239"/>
      <c r="B143" s="239"/>
      <c r="C143" s="239"/>
      <c r="D143" s="239"/>
      <c r="E143" s="239"/>
      <c r="F143" s="239"/>
      <c r="G143" s="239"/>
      <c r="H143" s="239"/>
      <c r="I143" s="239"/>
      <c r="J143" s="239"/>
      <c r="K143" s="239"/>
      <c r="L143" s="239"/>
      <c r="M143" s="75"/>
    </row>
    <row r="144">
      <c r="A144" s="239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  <c r="L144" s="239"/>
      <c r="M144" s="75"/>
    </row>
    <row r="145">
      <c r="A145" s="239"/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  <c r="L145" s="239"/>
      <c r="M145" s="75"/>
    </row>
    <row r="146">
      <c r="A146" s="239"/>
      <c r="B146" s="239"/>
      <c r="C146" s="239"/>
      <c r="D146" s="239"/>
      <c r="E146" s="239"/>
      <c r="F146" s="239"/>
      <c r="G146" s="239"/>
      <c r="H146" s="239"/>
      <c r="I146" s="239"/>
      <c r="J146" s="239"/>
      <c r="K146" s="239"/>
      <c r="L146" s="239"/>
      <c r="M146" s="75"/>
    </row>
    <row r="147">
      <c r="A147" s="239"/>
      <c r="B147" s="239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75"/>
    </row>
    <row r="148">
      <c r="A148" s="239"/>
      <c r="B148" s="239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75"/>
    </row>
    <row r="149">
      <c r="A149" s="239"/>
      <c r="B149" s="239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75"/>
    </row>
    <row r="150">
      <c r="A150" s="239"/>
      <c r="B150" s="239"/>
      <c r="C150" s="239"/>
      <c r="D150" s="239"/>
      <c r="E150" s="239"/>
      <c r="F150" s="239"/>
      <c r="G150" s="239"/>
      <c r="H150" s="239"/>
      <c r="I150" s="239"/>
      <c r="J150" s="239"/>
      <c r="K150" s="239"/>
      <c r="L150" s="239"/>
      <c r="M150" s="75"/>
    </row>
    <row r="151">
      <c r="A151" s="239"/>
      <c r="B151" s="239"/>
      <c r="C151" s="239"/>
      <c r="D151" s="239"/>
      <c r="E151" s="239"/>
      <c r="F151" s="239"/>
      <c r="G151" s="239"/>
      <c r="H151" s="239"/>
      <c r="I151" s="239"/>
      <c r="J151" s="239"/>
      <c r="K151" s="239"/>
      <c r="L151" s="239"/>
      <c r="M151" s="75"/>
    </row>
    <row r="152">
      <c r="A152" s="239"/>
      <c r="B152" s="239"/>
      <c r="C152" s="239"/>
      <c r="D152" s="239"/>
      <c r="E152" s="239"/>
      <c r="F152" s="239"/>
      <c r="G152" s="239"/>
      <c r="H152" s="239"/>
      <c r="I152" s="239"/>
      <c r="J152" s="239"/>
      <c r="K152" s="239"/>
      <c r="L152" s="239"/>
      <c r="M152" s="75"/>
    </row>
    <row r="153">
      <c r="A153" s="239"/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  <c r="L153" s="239"/>
      <c r="M153" s="75"/>
    </row>
    <row r="154">
      <c r="A154" s="239"/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  <c r="L154" s="239"/>
      <c r="M154" s="75"/>
    </row>
    <row r="155">
      <c r="A155" s="239"/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  <c r="L155" s="239"/>
      <c r="M155" s="75"/>
    </row>
    <row r="156">
      <c r="A156" s="239"/>
      <c r="B156" s="239"/>
      <c r="C156" s="239"/>
      <c r="D156" s="239"/>
      <c r="E156" s="239"/>
      <c r="F156" s="239"/>
      <c r="G156" s="239"/>
      <c r="H156" s="239"/>
      <c r="I156" s="239"/>
      <c r="J156" s="239"/>
      <c r="K156" s="239"/>
      <c r="L156" s="239"/>
      <c r="M156" s="75"/>
    </row>
    <row r="157">
      <c r="A157" s="239"/>
      <c r="B157" s="239"/>
      <c r="C157" s="239"/>
      <c r="D157" s="239"/>
      <c r="E157" s="239"/>
      <c r="F157" s="239"/>
      <c r="G157" s="239"/>
      <c r="H157" s="239"/>
      <c r="I157" s="239"/>
      <c r="J157" s="239"/>
      <c r="K157" s="239"/>
      <c r="L157" s="239"/>
      <c r="M157" s="75"/>
    </row>
    <row r="158">
      <c r="A158" s="239"/>
      <c r="B158" s="239"/>
      <c r="C158" s="239"/>
      <c r="D158" s="239"/>
      <c r="E158" s="239"/>
      <c r="F158" s="239"/>
      <c r="G158" s="239"/>
      <c r="H158" s="239"/>
      <c r="I158" s="239"/>
      <c r="J158" s="239"/>
      <c r="K158" s="239"/>
      <c r="L158" s="239"/>
      <c r="M158" s="75"/>
    </row>
    <row r="159">
      <c r="A159" s="239"/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  <c r="L159" s="239"/>
      <c r="M159" s="75"/>
    </row>
    <row r="160">
      <c r="A160" s="239"/>
      <c r="B160" s="239"/>
      <c r="C160" s="239"/>
      <c r="D160" s="239"/>
      <c r="E160" s="239"/>
      <c r="F160" s="239"/>
      <c r="G160" s="239"/>
      <c r="H160" s="239"/>
      <c r="I160" s="239"/>
      <c r="J160" s="239"/>
      <c r="K160" s="239"/>
      <c r="L160" s="239"/>
      <c r="M160" s="75"/>
    </row>
    <row r="161">
      <c r="A161" s="239"/>
      <c r="B161" s="239"/>
      <c r="C161" s="239"/>
      <c r="D161" s="239"/>
      <c r="E161" s="239"/>
      <c r="F161" s="239"/>
      <c r="G161" s="239"/>
      <c r="H161" s="239"/>
      <c r="I161" s="239"/>
      <c r="J161" s="239"/>
      <c r="K161" s="239"/>
      <c r="L161" s="239"/>
      <c r="M161" s="75"/>
    </row>
    <row r="162">
      <c r="A162" s="239"/>
      <c r="B162" s="239"/>
      <c r="C162" s="239"/>
      <c r="D162" s="239"/>
      <c r="E162" s="239"/>
      <c r="F162" s="239"/>
      <c r="G162" s="239"/>
      <c r="H162" s="239"/>
      <c r="I162" s="239"/>
      <c r="J162" s="239"/>
      <c r="K162" s="239"/>
      <c r="L162" s="239"/>
      <c r="M162" s="75"/>
    </row>
    <row r="163">
      <c r="A163" s="239"/>
      <c r="B163" s="239"/>
      <c r="C163" s="239"/>
      <c r="D163" s="239"/>
      <c r="E163" s="239"/>
      <c r="F163" s="239"/>
      <c r="G163" s="239"/>
      <c r="H163" s="239"/>
      <c r="I163" s="239"/>
      <c r="J163" s="239"/>
      <c r="K163" s="239"/>
      <c r="L163" s="239"/>
      <c r="M163" s="75"/>
    </row>
    <row r="164">
      <c r="A164" s="239"/>
      <c r="B164" s="239"/>
      <c r="C164" s="239"/>
      <c r="D164" s="239"/>
      <c r="E164" s="239"/>
      <c r="F164" s="239"/>
      <c r="G164" s="239"/>
      <c r="H164" s="239"/>
      <c r="I164" s="239"/>
      <c r="J164" s="239"/>
      <c r="K164" s="239"/>
      <c r="L164" s="239"/>
      <c r="M164" s="75"/>
    </row>
    <row r="165">
      <c r="A165" s="239"/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  <c r="L165" s="239"/>
      <c r="M165" s="75"/>
    </row>
    <row r="166">
      <c r="A166" s="239"/>
      <c r="B166" s="239"/>
      <c r="C166" s="239"/>
      <c r="D166" s="239"/>
      <c r="E166" s="239"/>
      <c r="F166" s="239"/>
      <c r="G166" s="239"/>
      <c r="H166" s="239"/>
      <c r="I166" s="239"/>
      <c r="J166" s="239"/>
      <c r="K166" s="239"/>
      <c r="L166" s="239"/>
      <c r="M166" s="75"/>
    </row>
    <row r="167">
      <c r="A167" s="239"/>
      <c r="B167" s="239"/>
      <c r="C167" s="239"/>
      <c r="D167" s="239"/>
      <c r="E167" s="239"/>
      <c r="F167" s="239"/>
      <c r="G167" s="239"/>
      <c r="H167" s="239"/>
      <c r="I167" s="239"/>
      <c r="J167" s="239"/>
      <c r="K167" s="239"/>
      <c r="L167" s="239"/>
      <c r="M167" s="75"/>
    </row>
    <row r="168">
      <c r="A168" s="239"/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75"/>
    </row>
    <row r="169">
      <c r="A169" s="239"/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75"/>
    </row>
    <row r="170">
      <c r="A170" s="239"/>
      <c r="B170" s="239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75"/>
    </row>
    <row r="171">
      <c r="A171" s="239"/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  <c r="L171" s="239"/>
      <c r="M171" s="75"/>
    </row>
    <row r="172">
      <c r="A172" s="239"/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  <c r="L172" s="239"/>
      <c r="M172" s="75"/>
    </row>
    <row r="173">
      <c r="A173" s="239"/>
      <c r="B173" s="239"/>
      <c r="C173" s="239"/>
      <c r="D173" s="239"/>
      <c r="E173" s="239"/>
      <c r="F173" s="239"/>
      <c r="G173" s="239"/>
      <c r="H173" s="239"/>
      <c r="I173" s="239"/>
      <c r="J173" s="239"/>
      <c r="K173" s="239"/>
      <c r="L173" s="239"/>
      <c r="M173" s="75"/>
    </row>
    <row r="174">
      <c r="A174" s="239"/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  <c r="L174" s="239"/>
      <c r="M174" s="75"/>
    </row>
    <row r="175">
      <c r="A175" s="239"/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  <c r="L175" s="239"/>
      <c r="M175" s="75"/>
    </row>
    <row r="176">
      <c r="A176" s="239"/>
      <c r="B176" s="239"/>
      <c r="C176" s="239"/>
      <c r="D176" s="239"/>
      <c r="E176" s="239"/>
      <c r="F176" s="239"/>
      <c r="G176" s="239"/>
      <c r="H176" s="239"/>
      <c r="I176" s="239"/>
      <c r="J176" s="239"/>
      <c r="K176" s="239"/>
      <c r="L176" s="239"/>
      <c r="M176" s="75"/>
    </row>
    <row r="177">
      <c r="A177" s="239"/>
      <c r="B177" s="239"/>
      <c r="C177" s="239"/>
      <c r="D177" s="239"/>
      <c r="E177" s="239"/>
      <c r="F177" s="239"/>
      <c r="G177" s="239"/>
      <c r="H177" s="239"/>
      <c r="I177" s="239"/>
      <c r="J177" s="239"/>
      <c r="K177" s="239"/>
      <c r="L177" s="239"/>
      <c r="M177" s="75"/>
    </row>
    <row r="178">
      <c r="A178" s="239"/>
      <c r="B178" s="239"/>
      <c r="C178" s="239"/>
      <c r="D178" s="239"/>
      <c r="E178" s="239"/>
      <c r="F178" s="239"/>
      <c r="G178" s="239"/>
      <c r="H178" s="239"/>
      <c r="I178" s="239"/>
      <c r="J178" s="239"/>
      <c r="K178" s="239"/>
      <c r="L178" s="239"/>
      <c r="M178" s="75"/>
    </row>
    <row r="179">
      <c r="A179" s="239"/>
      <c r="B179" s="239"/>
      <c r="C179" s="239"/>
      <c r="D179" s="239"/>
      <c r="E179" s="239"/>
      <c r="F179" s="239"/>
      <c r="G179" s="239"/>
      <c r="H179" s="239"/>
      <c r="I179" s="239"/>
      <c r="J179" s="239"/>
      <c r="K179" s="239"/>
      <c r="L179" s="239"/>
      <c r="M179" s="75"/>
    </row>
    <row r="180">
      <c r="A180" s="239"/>
      <c r="B180" s="239"/>
      <c r="C180" s="239"/>
      <c r="D180" s="239"/>
      <c r="E180" s="239"/>
      <c r="F180" s="239"/>
      <c r="G180" s="239"/>
      <c r="H180" s="239"/>
      <c r="I180" s="239"/>
      <c r="J180" s="239"/>
      <c r="K180" s="239"/>
      <c r="L180" s="239"/>
      <c r="M180" s="75"/>
    </row>
    <row r="181">
      <c r="A181" s="239"/>
      <c r="B181" s="239"/>
      <c r="C181" s="239"/>
      <c r="D181" s="239"/>
      <c r="E181" s="239"/>
      <c r="F181" s="239"/>
      <c r="G181" s="239"/>
      <c r="H181" s="239"/>
      <c r="I181" s="239"/>
      <c r="J181" s="239"/>
      <c r="K181" s="239"/>
      <c r="L181" s="239"/>
      <c r="M181" s="75"/>
    </row>
    <row r="182">
      <c r="A182" s="239"/>
      <c r="B182" s="239"/>
      <c r="C182" s="239"/>
      <c r="D182" s="239"/>
      <c r="E182" s="239"/>
      <c r="F182" s="239"/>
      <c r="G182" s="239"/>
      <c r="H182" s="239"/>
      <c r="I182" s="239"/>
      <c r="J182" s="239"/>
      <c r="K182" s="239"/>
      <c r="L182" s="239"/>
      <c r="M182" s="75"/>
    </row>
    <row r="183">
      <c r="A183" s="239"/>
      <c r="B183" s="239"/>
      <c r="C183" s="239"/>
      <c r="D183" s="239"/>
      <c r="E183" s="239"/>
      <c r="F183" s="239"/>
      <c r="G183" s="239"/>
      <c r="H183" s="239"/>
      <c r="I183" s="239"/>
      <c r="J183" s="239"/>
      <c r="K183" s="239"/>
      <c r="L183" s="239"/>
      <c r="M183" s="75"/>
    </row>
    <row r="184">
      <c r="A184" s="239"/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  <c r="L184" s="239"/>
      <c r="M184" s="75"/>
    </row>
    <row r="185">
      <c r="A185" s="239"/>
      <c r="B185" s="239"/>
      <c r="C185" s="239"/>
      <c r="D185" s="239"/>
      <c r="E185" s="239"/>
      <c r="F185" s="239"/>
      <c r="G185" s="239"/>
      <c r="H185" s="239"/>
      <c r="I185" s="239"/>
      <c r="J185" s="239"/>
      <c r="K185" s="239"/>
      <c r="L185" s="239"/>
      <c r="M185" s="75"/>
    </row>
    <row r="186">
      <c r="A186" s="239"/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  <c r="L186" s="239"/>
      <c r="M186" s="75"/>
    </row>
    <row r="187">
      <c r="A187" s="239"/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  <c r="L187" s="239"/>
      <c r="M187" s="75"/>
    </row>
    <row r="188">
      <c r="A188" s="239"/>
      <c r="B188" s="239"/>
      <c r="C188" s="239"/>
      <c r="D188" s="239"/>
      <c r="E188" s="239"/>
      <c r="F188" s="239"/>
      <c r="G188" s="239"/>
      <c r="H188" s="239"/>
      <c r="I188" s="239"/>
      <c r="J188" s="239"/>
      <c r="K188" s="239"/>
      <c r="L188" s="239"/>
      <c r="M188" s="75"/>
    </row>
    <row r="189">
      <c r="A189" s="239"/>
      <c r="B189" s="239"/>
      <c r="C189" s="239"/>
      <c r="D189" s="239"/>
      <c r="E189" s="239"/>
      <c r="F189" s="239"/>
      <c r="G189" s="239"/>
      <c r="H189" s="239"/>
      <c r="I189" s="239"/>
      <c r="J189" s="239"/>
      <c r="K189" s="239"/>
      <c r="L189" s="239"/>
      <c r="M189" s="75"/>
    </row>
    <row r="190">
      <c r="A190" s="239"/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  <c r="L190" s="239"/>
      <c r="M190" s="75"/>
    </row>
    <row r="191">
      <c r="A191" s="239"/>
      <c r="B191" s="239"/>
      <c r="C191" s="239"/>
      <c r="D191" s="239"/>
      <c r="E191" s="239"/>
      <c r="F191" s="239"/>
      <c r="G191" s="239"/>
      <c r="H191" s="239"/>
      <c r="I191" s="239"/>
      <c r="J191" s="239"/>
      <c r="K191" s="239"/>
      <c r="L191" s="239"/>
      <c r="M191" s="75"/>
    </row>
    <row r="192">
      <c r="A192" s="239"/>
      <c r="B192" s="239"/>
      <c r="C192" s="239"/>
      <c r="D192" s="239"/>
      <c r="E192" s="239"/>
      <c r="F192" s="239"/>
      <c r="G192" s="239"/>
      <c r="H192" s="239"/>
      <c r="I192" s="239"/>
      <c r="J192" s="239"/>
      <c r="K192" s="239"/>
      <c r="L192" s="239"/>
      <c r="M192" s="75"/>
    </row>
    <row r="193">
      <c r="A193" s="239"/>
      <c r="B193" s="239"/>
      <c r="C193" s="239"/>
      <c r="D193" s="239"/>
      <c r="E193" s="239"/>
      <c r="F193" s="239"/>
      <c r="G193" s="239"/>
      <c r="H193" s="239"/>
      <c r="I193" s="239"/>
      <c r="J193" s="239"/>
      <c r="K193" s="239"/>
      <c r="L193" s="239"/>
      <c r="M193" s="75"/>
    </row>
    <row r="194">
      <c r="A194" s="239"/>
      <c r="B194" s="239"/>
      <c r="C194" s="239"/>
      <c r="D194" s="239"/>
      <c r="E194" s="239"/>
      <c r="F194" s="239"/>
      <c r="G194" s="239"/>
      <c r="H194" s="239"/>
      <c r="I194" s="239"/>
      <c r="J194" s="239"/>
      <c r="K194" s="239"/>
      <c r="L194" s="239"/>
      <c r="M194" s="75"/>
    </row>
    <row r="195">
      <c r="A195" s="239"/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  <c r="L195" s="239"/>
      <c r="M195" s="75"/>
    </row>
    <row r="196">
      <c r="A196" s="239"/>
      <c r="B196" s="239"/>
      <c r="C196" s="239"/>
      <c r="D196" s="239"/>
      <c r="E196" s="239"/>
      <c r="F196" s="239"/>
      <c r="G196" s="239"/>
      <c r="H196" s="239"/>
      <c r="I196" s="239"/>
      <c r="J196" s="239"/>
      <c r="K196" s="239"/>
      <c r="L196" s="239"/>
      <c r="M196" s="75"/>
    </row>
    <row r="197">
      <c r="A197" s="239"/>
      <c r="B197" s="239"/>
      <c r="C197" s="239"/>
      <c r="D197" s="239"/>
      <c r="E197" s="239"/>
      <c r="F197" s="239"/>
      <c r="G197" s="239"/>
      <c r="H197" s="239"/>
      <c r="I197" s="239"/>
      <c r="J197" s="239"/>
      <c r="K197" s="239"/>
      <c r="L197" s="239"/>
      <c r="M197" s="75"/>
    </row>
    <row r="198">
      <c r="A198" s="239"/>
      <c r="B198" s="239"/>
      <c r="C198" s="239"/>
      <c r="D198" s="239"/>
      <c r="E198" s="239"/>
      <c r="F198" s="239"/>
      <c r="G198" s="239"/>
      <c r="H198" s="239"/>
      <c r="I198" s="239"/>
      <c r="J198" s="239"/>
      <c r="K198" s="239"/>
      <c r="L198" s="239"/>
      <c r="M198" s="75"/>
    </row>
    <row r="199">
      <c r="A199" s="239"/>
      <c r="B199" s="239"/>
      <c r="C199" s="239"/>
      <c r="D199" s="239"/>
      <c r="E199" s="239"/>
      <c r="F199" s="239"/>
      <c r="G199" s="239"/>
      <c r="H199" s="239"/>
      <c r="I199" s="239"/>
      <c r="J199" s="239"/>
      <c r="K199" s="239"/>
      <c r="L199" s="239"/>
      <c r="M199" s="75"/>
    </row>
    <row r="200">
      <c r="A200" s="239"/>
      <c r="B200" s="239"/>
      <c r="C200" s="239"/>
      <c r="D200" s="239"/>
      <c r="E200" s="239"/>
      <c r="F200" s="239"/>
      <c r="G200" s="239"/>
      <c r="H200" s="239"/>
      <c r="I200" s="239"/>
      <c r="J200" s="239"/>
      <c r="K200" s="239"/>
      <c r="L200" s="239"/>
      <c r="M200" s="75"/>
    </row>
    <row r="201">
      <c r="A201" s="239"/>
      <c r="B201" s="239"/>
      <c r="C201" s="239"/>
      <c r="D201" s="239"/>
      <c r="E201" s="239"/>
      <c r="F201" s="239"/>
      <c r="G201" s="239"/>
      <c r="H201" s="239"/>
      <c r="I201" s="239"/>
      <c r="J201" s="239"/>
      <c r="K201" s="239"/>
      <c r="L201" s="239"/>
      <c r="M201" s="75"/>
    </row>
    <row r="202">
      <c r="A202" s="239"/>
      <c r="B202" s="239"/>
      <c r="C202" s="239"/>
      <c r="D202" s="239"/>
      <c r="E202" s="239"/>
      <c r="F202" s="239"/>
      <c r="G202" s="239"/>
      <c r="H202" s="239"/>
      <c r="I202" s="239"/>
      <c r="J202" s="239"/>
      <c r="K202" s="239"/>
      <c r="L202" s="239"/>
      <c r="M202" s="75"/>
    </row>
    <row r="203">
      <c r="A203" s="239"/>
      <c r="B203" s="239"/>
      <c r="C203" s="239"/>
      <c r="D203" s="239"/>
      <c r="E203" s="239"/>
      <c r="F203" s="239"/>
      <c r="G203" s="239"/>
      <c r="H203" s="239"/>
      <c r="I203" s="239"/>
      <c r="J203" s="239"/>
      <c r="K203" s="239"/>
      <c r="L203" s="239"/>
      <c r="M203" s="75"/>
    </row>
    <row r="204">
      <c r="A204" s="239"/>
      <c r="B204" s="239"/>
      <c r="C204" s="239"/>
      <c r="D204" s="239"/>
      <c r="E204" s="239"/>
      <c r="F204" s="239"/>
      <c r="G204" s="239"/>
      <c r="H204" s="239"/>
      <c r="I204" s="239"/>
      <c r="J204" s="239"/>
      <c r="K204" s="239"/>
      <c r="L204" s="239"/>
      <c r="M204" s="75"/>
    </row>
    <row r="205">
      <c r="A205" s="239"/>
      <c r="B205" s="239"/>
      <c r="C205" s="239"/>
      <c r="D205" s="239"/>
      <c r="E205" s="239"/>
      <c r="F205" s="239"/>
      <c r="G205" s="239"/>
      <c r="H205" s="239"/>
      <c r="I205" s="239"/>
      <c r="J205" s="239"/>
      <c r="K205" s="239"/>
      <c r="L205" s="239"/>
      <c r="M205" s="75"/>
    </row>
    <row r="206">
      <c r="A206" s="239"/>
      <c r="B206" s="239"/>
      <c r="C206" s="239"/>
      <c r="D206" s="239"/>
      <c r="E206" s="239"/>
      <c r="F206" s="239"/>
      <c r="G206" s="239"/>
      <c r="H206" s="239"/>
      <c r="I206" s="239"/>
      <c r="J206" s="239"/>
      <c r="K206" s="239"/>
      <c r="L206" s="239"/>
      <c r="M206" s="75"/>
    </row>
    <row r="207">
      <c r="A207" s="239"/>
      <c r="B207" s="239"/>
      <c r="C207" s="239"/>
      <c r="D207" s="239"/>
      <c r="E207" s="239"/>
      <c r="F207" s="239"/>
      <c r="G207" s="239"/>
      <c r="H207" s="239"/>
      <c r="I207" s="239"/>
      <c r="J207" s="239"/>
      <c r="K207" s="239"/>
      <c r="L207" s="239"/>
      <c r="M207" s="75"/>
    </row>
    <row r="208">
      <c r="A208" s="239"/>
      <c r="B208" s="239"/>
      <c r="C208" s="239"/>
      <c r="D208" s="239"/>
      <c r="E208" s="239"/>
      <c r="F208" s="239"/>
      <c r="G208" s="239"/>
      <c r="H208" s="239"/>
      <c r="I208" s="239"/>
      <c r="J208" s="239"/>
      <c r="K208" s="239"/>
      <c r="L208" s="239"/>
      <c r="M208" s="75"/>
    </row>
    <row r="209">
      <c r="A209" s="239"/>
      <c r="B209" s="239"/>
      <c r="C209" s="239"/>
      <c r="D209" s="239"/>
      <c r="E209" s="239"/>
      <c r="F209" s="239"/>
      <c r="G209" s="239"/>
      <c r="H209" s="239"/>
      <c r="I209" s="239"/>
      <c r="J209" s="239"/>
      <c r="K209" s="239"/>
      <c r="L209" s="239"/>
      <c r="M209" s="75"/>
    </row>
    <row r="210">
      <c r="A210" s="239"/>
      <c r="B210" s="239"/>
      <c r="C210" s="239"/>
      <c r="D210" s="239"/>
      <c r="E210" s="239"/>
      <c r="F210" s="239"/>
      <c r="G210" s="239"/>
      <c r="H210" s="239"/>
      <c r="I210" s="239"/>
      <c r="J210" s="239"/>
      <c r="K210" s="239"/>
      <c r="L210" s="239"/>
      <c r="M210" s="75"/>
    </row>
    <row r="211">
      <c r="A211" s="239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39"/>
      <c r="M211" s="75"/>
    </row>
    <row r="212">
      <c r="A212" s="239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39"/>
      <c r="M212" s="75"/>
    </row>
    <row r="213">
      <c r="A213" s="239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39"/>
      <c r="M213" s="75"/>
    </row>
    <row r="214">
      <c r="A214" s="239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39"/>
      <c r="M214" s="75"/>
    </row>
    <row r="215">
      <c r="A215" s="239"/>
      <c r="B215" s="239"/>
      <c r="C215" s="239"/>
      <c r="D215" s="239"/>
      <c r="E215" s="239"/>
      <c r="F215" s="239"/>
      <c r="G215" s="239"/>
      <c r="H215" s="239"/>
      <c r="I215" s="239"/>
      <c r="J215" s="239"/>
      <c r="K215" s="239"/>
      <c r="L215" s="239"/>
      <c r="M215" s="75"/>
    </row>
    <row r="216">
      <c r="A216" s="239"/>
      <c r="B216" s="239"/>
      <c r="C216" s="239"/>
      <c r="D216" s="239"/>
      <c r="E216" s="239"/>
      <c r="F216" s="239"/>
      <c r="G216" s="239"/>
      <c r="H216" s="239"/>
      <c r="I216" s="239"/>
      <c r="J216" s="239"/>
      <c r="K216" s="239"/>
      <c r="L216" s="239"/>
      <c r="M216" s="75"/>
    </row>
    <row r="217">
      <c r="A217" s="239"/>
      <c r="B217" s="239"/>
      <c r="C217" s="239"/>
      <c r="D217" s="239"/>
      <c r="E217" s="239"/>
      <c r="F217" s="239"/>
      <c r="G217" s="239"/>
      <c r="H217" s="239"/>
      <c r="I217" s="239"/>
      <c r="J217" s="239"/>
      <c r="K217" s="239"/>
      <c r="L217" s="239"/>
      <c r="M217" s="75"/>
    </row>
    <row r="218">
      <c r="A218" s="239"/>
      <c r="B218" s="239"/>
      <c r="C218" s="239"/>
      <c r="D218" s="239"/>
      <c r="E218" s="239"/>
      <c r="F218" s="239"/>
      <c r="G218" s="239"/>
      <c r="H218" s="239"/>
      <c r="I218" s="239"/>
      <c r="J218" s="239"/>
      <c r="K218" s="239"/>
      <c r="L218" s="239"/>
      <c r="M218" s="75"/>
    </row>
    <row r="219">
      <c r="A219" s="239"/>
      <c r="B219" s="239"/>
      <c r="C219" s="239"/>
      <c r="D219" s="239"/>
      <c r="E219" s="239"/>
      <c r="F219" s="239"/>
      <c r="G219" s="239"/>
      <c r="H219" s="239"/>
      <c r="I219" s="239"/>
      <c r="J219" s="239"/>
      <c r="K219" s="239"/>
      <c r="L219" s="239"/>
      <c r="M219" s="75"/>
    </row>
    <row r="220">
      <c r="A220" s="239"/>
      <c r="B220" s="239"/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75"/>
    </row>
    <row r="221">
      <c r="A221" s="239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75"/>
    </row>
    <row r="222">
      <c r="A222" s="239"/>
      <c r="B222" s="239"/>
      <c r="C222" s="239"/>
      <c r="D222" s="239"/>
      <c r="E222" s="239"/>
      <c r="F222" s="239"/>
      <c r="G222" s="239"/>
      <c r="H222" s="239"/>
      <c r="I222" s="239"/>
      <c r="J222" s="239"/>
      <c r="K222" s="239"/>
      <c r="L222" s="239"/>
      <c r="M222" s="75"/>
    </row>
    <row r="223">
      <c r="A223" s="239"/>
      <c r="B223" s="239"/>
      <c r="C223" s="239"/>
      <c r="D223" s="239"/>
      <c r="E223" s="239"/>
      <c r="F223" s="239"/>
      <c r="G223" s="239"/>
      <c r="H223" s="239"/>
      <c r="I223" s="239"/>
      <c r="J223" s="239"/>
      <c r="K223" s="239"/>
      <c r="L223" s="239"/>
      <c r="M223" s="75"/>
    </row>
    <row r="224">
      <c r="A224" s="239"/>
      <c r="B224" s="239"/>
      <c r="C224" s="239"/>
      <c r="D224" s="239"/>
      <c r="E224" s="239"/>
      <c r="F224" s="239"/>
      <c r="G224" s="239"/>
      <c r="H224" s="239"/>
      <c r="I224" s="239"/>
      <c r="J224" s="239"/>
      <c r="K224" s="239"/>
      <c r="L224" s="239"/>
      <c r="M224" s="75"/>
    </row>
    <row r="225">
      <c r="A225" s="239"/>
      <c r="B225" s="239"/>
      <c r="C225" s="239"/>
      <c r="D225" s="239"/>
      <c r="E225" s="239"/>
      <c r="F225" s="239"/>
      <c r="G225" s="239"/>
      <c r="H225" s="239"/>
      <c r="I225" s="239"/>
      <c r="J225" s="239"/>
      <c r="K225" s="239"/>
      <c r="L225" s="239"/>
      <c r="M225" s="75"/>
    </row>
    <row r="226">
      <c r="A226" s="239"/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  <c r="L226" s="239"/>
      <c r="M226" s="75"/>
    </row>
    <row r="227">
      <c r="A227" s="239"/>
      <c r="B227" s="239"/>
      <c r="C227" s="239"/>
      <c r="D227" s="239"/>
      <c r="E227" s="239"/>
      <c r="F227" s="239"/>
      <c r="G227" s="239"/>
      <c r="H227" s="239"/>
      <c r="I227" s="239"/>
      <c r="J227" s="239"/>
      <c r="K227" s="239"/>
      <c r="L227" s="239"/>
      <c r="M227" s="75"/>
    </row>
    <row r="228">
      <c r="A228" s="239"/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  <c r="L228" s="239"/>
      <c r="M228" s="75"/>
    </row>
    <row r="229">
      <c r="A229" s="239"/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  <c r="L229" s="239"/>
      <c r="M229" s="75"/>
    </row>
    <row r="230">
      <c r="A230" s="239"/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  <c r="L230" s="239"/>
      <c r="M230" s="75"/>
    </row>
    <row r="231">
      <c r="A231" s="239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75"/>
    </row>
    <row r="232">
      <c r="A232" s="239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75"/>
    </row>
    <row r="233">
      <c r="A233" s="239"/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  <c r="L233" s="239"/>
      <c r="M233" s="75"/>
    </row>
    <row r="234">
      <c r="A234" s="239"/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75"/>
    </row>
    <row r="235">
      <c r="A235" s="239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75"/>
    </row>
    <row r="236">
      <c r="A236" s="239"/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  <c r="L236" s="239"/>
      <c r="M236" s="75"/>
    </row>
    <row r="237">
      <c r="A237" s="239"/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  <c r="L237" s="239"/>
      <c r="M237" s="75"/>
    </row>
    <row r="238">
      <c r="A238" s="239"/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  <c r="L238" s="239"/>
      <c r="M238" s="75"/>
    </row>
    <row r="239">
      <c r="A239" s="239"/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75"/>
    </row>
    <row r="240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39"/>
      <c r="M240" s="75"/>
    </row>
    <row r="241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75"/>
    </row>
    <row r="242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39"/>
      <c r="M242" s="75"/>
    </row>
    <row r="243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39"/>
      <c r="M243" s="75"/>
    </row>
    <row r="244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75"/>
    </row>
    <row r="245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75"/>
    </row>
    <row r="246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39"/>
      <c r="M246" s="75"/>
    </row>
    <row r="247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75"/>
    </row>
    <row r="248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75"/>
    </row>
    <row r="249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75"/>
    </row>
    <row r="250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75"/>
    </row>
    <row r="25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75"/>
    </row>
    <row r="252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75"/>
    </row>
    <row r="253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75"/>
    </row>
    <row r="254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75"/>
    </row>
    <row r="255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75"/>
    </row>
    <row r="256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75"/>
    </row>
    <row r="257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75"/>
    </row>
    <row r="258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75"/>
    </row>
    <row r="259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75"/>
    </row>
    <row r="260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75"/>
    </row>
    <row r="26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75"/>
    </row>
    <row r="262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75"/>
    </row>
    <row r="263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75"/>
    </row>
    <row r="264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75"/>
    </row>
    <row r="265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75"/>
    </row>
    <row r="266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75"/>
    </row>
    <row r="267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75"/>
    </row>
    <row r="268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75"/>
    </row>
    <row r="269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75"/>
    </row>
    <row r="270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75"/>
    </row>
    <row r="27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75"/>
    </row>
    <row r="272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75"/>
    </row>
    <row r="273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75"/>
    </row>
    <row r="274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75"/>
    </row>
    <row r="275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75"/>
    </row>
    <row r="276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75"/>
    </row>
    <row r="277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75"/>
    </row>
    <row r="278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75"/>
    </row>
    <row r="279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75"/>
    </row>
    <row r="280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75"/>
    </row>
    <row r="28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75"/>
    </row>
    <row r="282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75"/>
    </row>
    <row r="283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75"/>
    </row>
    <row r="284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75"/>
    </row>
    <row r="285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75"/>
    </row>
    <row r="286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75"/>
    </row>
    <row r="287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75"/>
    </row>
    <row r="288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75"/>
    </row>
    <row r="289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75"/>
    </row>
    <row r="290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75"/>
    </row>
    <row r="29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75"/>
    </row>
    <row r="292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75"/>
    </row>
    <row r="293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75"/>
    </row>
    <row r="294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75"/>
    </row>
    <row r="295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75"/>
    </row>
    <row r="296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75"/>
    </row>
    <row r="297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75"/>
    </row>
    <row r="298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75"/>
    </row>
    <row r="299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75"/>
    </row>
    <row r="300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75"/>
    </row>
    <row r="30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75"/>
    </row>
    <row r="302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75"/>
    </row>
    <row r="303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75"/>
    </row>
    <row r="304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75"/>
    </row>
    <row r="305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75"/>
    </row>
    <row r="306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75"/>
    </row>
    <row r="307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75"/>
    </row>
    <row r="308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75"/>
    </row>
    <row r="309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75"/>
    </row>
    <row r="310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75"/>
    </row>
    <row r="31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75"/>
    </row>
    <row r="312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75"/>
    </row>
    <row r="313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75"/>
    </row>
    <row r="314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75"/>
    </row>
    <row r="315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75"/>
    </row>
    <row r="316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75"/>
    </row>
    <row r="317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75"/>
    </row>
    <row r="318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75"/>
    </row>
    <row r="319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75"/>
    </row>
    <row r="320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75"/>
    </row>
    <row r="32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75"/>
    </row>
    <row r="322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75"/>
    </row>
    <row r="323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75"/>
    </row>
    <row r="324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75"/>
    </row>
    <row r="325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75"/>
    </row>
    <row r="326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75"/>
    </row>
    <row r="327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75"/>
    </row>
    <row r="328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75"/>
    </row>
    <row r="329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75"/>
    </row>
    <row r="330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75"/>
    </row>
    <row r="33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75"/>
    </row>
    <row r="332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75"/>
    </row>
    <row r="333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75"/>
    </row>
    <row r="334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75"/>
    </row>
    <row r="335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75"/>
    </row>
    <row r="336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75"/>
    </row>
    <row r="337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75"/>
    </row>
    <row r="338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75"/>
    </row>
    <row r="339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75"/>
    </row>
    <row r="340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75"/>
    </row>
    <row r="34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75"/>
    </row>
    <row r="342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75"/>
    </row>
    <row r="343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75"/>
    </row>
    <row r="344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75"/>
    </row>
    <row r="345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75"/>
    </row>
    <row r="346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75"/>
    </row>
    <row r="347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75"/>
    </row>
    <row r="348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75"/>
    </row>
    <row r="349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75"/>
    </row>
    <row r="350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75"/>
    </row>
    <row r="35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75"/>
    </row>
    <row r="352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75"/>
    </row>
    <row r="353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75"/>
    </row>
    <row r="354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75"/>
    </row>
    <row r="355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75"/>
    </row>
    <row r="356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75"/>
    </row>
    <row r="357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75"/>
    </row>
    <row r="358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75"/>
    </row>
    <row r="359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75"/>
    </row>
    <row r="360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75"/>
    </row>
    <row r="36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75"/>
    </row>
    <row r="362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75"/>
    </row>
    <row r="363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75"/>
    </row>
    <row r="364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75"/>
    </row>
    <row r="365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75"/>
    </row>
    <row r="366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75"/>
    </row>
    <row r="367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75"/>
    </row>
    <row r="368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75"/>
    </row>
    <row r="369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75"/>
    </row>
    <row r="370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75"/>
    </row>
    <row r="37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75"/>
    </row>
    <row r="372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75"/>
    </row>
    <row r="373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75"/>
    </row>
    <row r="374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75"/>
    </row>
    <row r="375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75"/>
    </row>
    <row r="376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75"/>
    </row>
    <row r="377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75"/>
    </row>
    <row r="378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75"/>
    </row>
    <row r="379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75"/>
    </row>
    <row r="380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75"/>
    </row>
    <row r="38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75"/>
    </row>
    <row r="382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75"/>
    </row>
    <row r="383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75"/>
    </row>
    <row r="384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75"/>
    </row>
    <row r="385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75"/>
    </row>
    <row r="386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75"/>
    </row>
    <row r="387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75"/>
    </row>
    <row r="388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75"/>
    </row>
    <row r="389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75"/>
    </row>
    <row r="390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75"/>
    </row>
    <row r="39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75"/>
    </row>
    <row r="392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75"/>
    </row>
    <row r="393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75"/>
    </row>
    <row r="394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75"/>
    </row>
    <row r="395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75"/>
    </row>
    <row r="396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75"/>
    </row>
    <row r="397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75"/>
    </row>
    <row r="398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75"/>
    </row>
    <row r="399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75"/>
    </row>
    <row r="400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75"/>
    </row>
    <row r="40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75"/>
    </row>
    <row r="402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75"/>
    </row>
    <row r="403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75"/>
    </row>
    <row r="404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75"/>
    </row>
    <row r="405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75"/>
    </row>
    <row r="406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75"/>
    </row>
    <row r="407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75"/>
    </row>
    <row r="408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75"/>
    </row>
    <row r="409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75"/>
    </row>
    <row r="410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75"/>
    </row>
    <row r="41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75"/>
    </row>
    <row r="412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75"/>
    </row>
    <row r="413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75"/>
    </row>
    <row r="414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75"/>
    </row>
    <row r="415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75"/>
    </row>
    <row r="416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75"/>
    </row>
    <row r="417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75"/>
    </row>
    <row r="418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75"/>
    </row>
    <row r="419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75"/>
    </row>
    <row r="420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75"/>
    </row>
    <row r="42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75"/>
    </row>
    <row r="422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75"/>
    </row>
    <row r="423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75"/>
    </row>
    <row r="424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75"/>
    </row>
    <row r="425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75"/>
    </row>
    <row r="426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75"/>
    </row>
    <row r="427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75"/>
    </row>
    <row r="428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75"/>
    </row>
    <row r="429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75"/>
    </row>
    <row r="430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75"/>
    </row>
    <row r="43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75"/>
    </row>
    <row r="432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75"/>
    </row>
    <row r="433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75"/>
    </row>
    <row r="434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75"/>
    </row>
    <row r="435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75"/>
    </row>
    <row r="436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75"/>
    </row>
    <row r="437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75"/>
    </row>
    <row r="438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75"/>
    </row>
    <row r="439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75"/>
    </row>
    <row r="440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75"/>
    </row>
    <row r="44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75"/>
    </row>
    <row r="442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75"/>
    </row>
    <row r="443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75"/>
    </row>
    <row r="444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75"/>
    </row>
    <row r="445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75"/>
    </row>
    <row r="446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75"/>
    </row>
    <row r="447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75"/>
    </row>
    <row r="448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75"/>
    </row>
    <row r="449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75"/>
    </row>
    <row r="450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75"/>
    </row>
    <row r="45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75"/>
    </row>
    <row r="452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75"/>
    </row>
    <row r="453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75"/>
    </row>
    <row r="454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75"/>
    </row>
    <row r="455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75"/>
    </row>
    <row r="456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75"/>
    </row>
    <row r="457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75"/>
    </row>
    <row r="458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75"/>
    </row>
    <row r="459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75"/>
    </row>
    <row r="460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75"/>
    </row>
    <row r="46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75"/>
    </row>
    <row r="462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75"/>
    </row>
    <row r="463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75"/>
    </row>
    <row r="464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75"/>
    </row>
    <row r="465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75"/>
    </row>
    <row r="466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75"/>
    </row>
    <row r="467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75"/>
    </row>
    <row r="468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75"/>
    </row>
    <row r="469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75"/>
    </row>
    <row r="470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75"/>
    </row>
    <row r="47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75"/>
    </row>
    <row r="472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75"/>
    </row>
    <row r="473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75"/>
    </row>
    <row r="474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75"/>
    </row>
    <row r="475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75"/>
    </row>
    <row r="476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75"/>
    </row>
    <row r="477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75"/>
    </row>
    <row r="478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75"/>
    </row>
    <row r="479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75"/>
    </row>
    <row r="480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75"/>
    </row>
    <row r="48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75"/>
    </row>
    <row r="482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75"/>
    </row>
    <row r="483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75"/>
    </row>
    <row r="484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75"/>
    </row>
    <row r="485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75"/>
    </row>
    <row r="486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75"/>
    </row>
    <row r="487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75"/>
    </row>
    <row r="488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75"/>
    </row>
    <row r="489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75"/>
    </row>
    <row r="490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75"/>
    </row>
    <row r="49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75"/>
    </row>
    <row r="492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75"/>
    </row>
    <row r="493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75"/>
    </row>
    <row r="494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75"/>
    </row>
    <row r="495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75"/>
    </row>
    <row r="496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75"/>
    </row>
    <row r="497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75"/>
    </row>
    <row r="498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75"/>
    </row>
    <row r="499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75"/>
    </row>
    <row r="500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75"/>
    </row>
    <row r="50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75"/>
    </row>
    <row r="502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75"/>
    </row>
    <row r="503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75"/>
    </row>
    <row r="504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75"/>
    </row>
    <row r="505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75"/>
    </row>
    <row r="506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75"/>
    </row>
    <row r="507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75"/>
    </row>
    <row r="508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75"/>
    </row>
    <row r="509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75"/>
    </row>
    <row r="510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75"/>
    </row>
    <row r="51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75"/>
    </row>
    <row r="512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75"/>
    </row>
    <row r="513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75"/>
    </row>
    <row r="514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75"/>
    </row>
    <row r="515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75"/>
    </row>
    <row r="516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75"/>
    </row>
    <row r="517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75"/>
    </row>
    <row r="518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75"/>
    </row>
    <row r="519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75"/>
    </row>
    <row r="520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75"/>
    </row>
    <row r="52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75"/>
    </row>
    <row r="522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75"/>
    </row>
    <row r="523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75"/>
    </row>
    <row r="524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75"/>
    </row>
    <row r="525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75"/>
    </row>
    <row r="526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75"/>
    </row>
    <row r="527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75"/>
    </row>
    <row r="528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75"/>
    </row>
    <row r="529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75"/>
    </row>
    <row r="530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75"/>
    </row>
    <row r="53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75"/>
    </row>
    <row r="532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75"/>
    </row>
    <row r="533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75"/>
    </row>
    <row r="534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75"/>
    </row>
    <row r="535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75"/>
    </row>
    <row r="536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75"/>
    </row>
    <row r="537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75"/>
    </row>
    <row r="538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75"/>
    </row>
    <row r="539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75"/>
    </row>
    <row r="540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75"/>
    </row>
    <row r="54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75"/>
    </row>
    <row r="542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75"/>
    </row>
    <row r="543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75"/>
    </row>
    <row r="544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75"/>
    </row>
    <row r="545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75"/>
    </row>
    <row r="546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75"/>
    </row>
    <row r="547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75"/>
    </row>
    <row r="548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75"/>
    </row>
    <row r="549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75"/>
    </row>
    <row r="550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75"/>
    </row>
    <row r="55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75"/>
    </row>
    <row r="552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75"/>
    </row>
    <row r="553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75"/>
    </row>
    <row r="554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75"/>
    </row>
    <row r="555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75"/>
    </row>
    <row r="556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75"/>
    </row>
    <row r="557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75"/>
    </row>
    <row r="558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75"/>
    </row>
    <row r="559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75"/>
    </row>
    <row r="560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75"/>
    </row>
    <row r="56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75"/>
    </row>
    <row r="562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75"/>
    </row>
    <row r="563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75"/>
    </row>
    <row r="564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75"/>
    </row>
    <row r="565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75"/>
    </row>
    <row r="566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75"/>
    </row>
    <row r="567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75"/>
    </row>
    <row r="568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75"/>
    </row>
    <row r="569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75"/>
    </row>
    <row r="570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75"/>
    </row>
    <row r="57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75"/>
    </row>
    <row r="572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75"/>
    </row>
    <row r="573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75"/>
    </row>
    <row r="574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75"/>
    </row>
    <row r="575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75"/>
    </row>
    <row r="576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75"/>
    </row>
    <row r="577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75"/>
    </row>
    <row r="578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75"/>
    </row>
    <row r="579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75"/>
    </row>
    <row r="580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75"/>
    </row>
    <row r="58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75"/>
    </row>
    <row r="582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75"/>
    </row>
    <row r="583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75"/>
    </row>
    <row r="584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75"/>
    </row>
    <row r="585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75"/>
    </row>
    <row r="586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75"/>
    </row>
    <row r="587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75"/>
    </row>
    <row r="588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75"/>
    </row>
    <row r="589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75"/>
    </row>
    <row r="590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75"/>
    </row>
    <row r="59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75"/>
    </row>
    <row r="592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75"/>
    </row>
    <row r="593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75"/>
    </row>
    <row r="594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75"/>
    </row>
    <row r="595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75"/>
    </row>
    <row r="596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75"/>
    </row>
    <row r="597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75"/>
    </row>
    <row r="598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75"/>
    </row>
    <row r="599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75"/>
    </row>
    <row r="600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75"/>
    </row>
    <row r="60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75"/>
    </row>
    <row r="602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75"/>
    </row>
    <row r="603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75"/>
    </row>
    <row r="604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75"/>
    </row>
    <row r="605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75"/>
    </row>
    <row r="606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75"/>
    </row>
    <row r="607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75"/>
    </row>
    <row r="608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75"/>
    </row>
    <row r="609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75"/>
    </row>
    <row r="610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75"/>
    </row>
    <row r="61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75"/>
    </row>
    <row r="612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75"/>
    </row>
    <row r="613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75"/>
    </row>
    <row r="614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75"/>
    </row>
    <row r="615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75"/>
    </row>
    <row r="616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75"/>
    </row>
    <row r="617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75"/>
    </row>
    <row r="618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75"/>
    </row>
    <row r="619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75"/>
    </row>
    <row r="620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75"/>
    </row>
    <row r="62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75"/>
    </row>
    <row r="622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75"/>
    </row>
    <row r="623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75"/>
    </row>
    <row r="624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75"/>
    </row>
    <row r="625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75"/>
    </row>
    <row r="626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75"/>
    </row>
    <row r="627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75"/>
    </row>
    <row r="628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75"/>
    </row>
    <row r="629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75"/>
    </row>
    <row r="630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75"/>
    </row>
    <row r="63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75"/>
    </row>
    <row r="632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75"/>
    </row>
    <row r="633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75"/>
    </row>
    <row r="634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75"/>
    </row>
    <row r="635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75"/>
    </row>
    <row r="636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75"/>
    </row>
    <row r="637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75"/>
    </row>
    <row r="638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75"/>
    </row>
    <row r="639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75"/>
    </row>
    <row r="640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75"/>
    </row>
    <row r="64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75"/>
    </row>
    <row r="642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75"/>
    </row>
    <row r="643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75"/>
    </row>
    <row r="644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75"/>
    </row>
    <row r="645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75"/>
    </row>
    <row r="646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75"/>
    </row>
    <row r="647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75"/>
    </row>
    <row r="648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75"/>
    </row>
    <row r="649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75"/>
    </row>
    <row r="650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75"/>
    </row>
    <row r="65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75"/>
    </row>
    <row r="652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75"/>
    </row>
    <row r="653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75"/>
    </row>
    <row r="654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75"/>
    </row>
    <row r="655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75"/>
    </row>
    <row r="656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75"/>
    </row>
    <row r="657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75"/>
    </row>
    <row r="658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75"/>
    </row>
    <row r="659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75"/>
    </row>
    <row r="660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75"/>
    </row>
    <row r="66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75"/>
    </row>
    <row r="662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75"/>
    </row>
    <row r="663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75"/>
    </row>
    <row r="664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75"/>
    </row>
    <row r="665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75"/>
    </row>
    <row r="666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75"/>
    </row>
    <row r="667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75"/>
    </row>
    <row r="668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75"/>
    </row>
    <row r="669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75"/>
    </row>
    <row r="670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75"/>
    </row>
    <row r="67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75"/>
    </row>
    <row r="672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75"/>
    </row>
    <row r="673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75"/>
    </row>
    <row r="674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75"/>
    </row>
    <row r="675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75"/>
    </row>
    <row r="676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75"/>
    </row>
    <row r="677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75"/>
    </row>
    <row r="678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75"/>
    </row>
    <row r="679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75"/>
    </row>
    <row r="680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75"/>
    </row>
    <row r="68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75"/>
    </row>
    <row r="682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75"/>
    </row>
    <row r="683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75"/>
    </row>
    <row r="684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75"/>
    </row>
    <row r="685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75"/>
    </row>
    <row r="686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75"/>
    </row>
    <row r="687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75"/>
    </row>
    <row r="688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75"/>
    </row>
    <row r="689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75"/>
    </row>
    <row r="690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75"/>
    </row>
    <row r="69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75"/>
    </row>
    <row r="692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75"/>
    </row>
    <row r="693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75"/>
    </row>
    <row r="694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75"/>
    </row>
    <row r="695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75"/>
    </row>
    <row r="696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75"/>
    </row>
    <row r="697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75"/>
    </row>
    <row r="698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75"/>
    </row>
    <row r="699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75"/>
    </row>
    <row r="700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75"/>
    </row>
    <row r="70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75"/>
    </row>
    <row r="702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75"/>
    </row>
    <row r="703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75"/>
    </row>
    <row r="704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75"/>
    </row>
    <row r="705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75"/>
    </row>
    <row r="706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75"/>
    </row>
    <row r="707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75"/>
    </row>
    <row r="708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75"/>
    </row>
    <row r="709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75"/>
    </row>
    <row r="710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75"/>
    </row>
    <row r="71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75"/>
    </row>
    <row r="712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75"/>
    </row>
    <row r="713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75"/>
    </row>
    <row r="714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75"/>
    </row>
    <row r="715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75"/>
    </row>
    <row r="716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75"/>
    </row>
    <row r="717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75"/>
    </row>
    <row r="718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75"/>
    </row>
    <row r="719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75"/>
    </row>
    <row r="720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75"/>
    </row>
    <row r="72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75"/>
    </row>
    <row r="722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75"/>
    </row>
    <row r="723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75"/>
    </row>
    <row r="724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75"/>
    </row>
    <row r="725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75"/>
    </row>
    <row r="726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75"/>
    </row>
    <row r="727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75"/>
    </row>
    <row r="728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75"/>
    </row>
    <row r="729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75"/>
    </row>
    <row r="730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75"/>
    </row>
    <row r="73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75"/>
    </row>
    <row r="732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75"/>
    </row>
    <row r="733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75"/>
    </row>
    <row r="734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75"/>
    </row>
    <row r="735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75"/>
    </row>
    <row r="736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75"/>
    </row>
    <row r="737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75"/>
    </row>
    <row r="738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75"/>
    </row>
    <row r="739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75"/>
    </row>
    <row r="740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75"/>
    </row>
    <row r="74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75"/>
    </row>
    <row r="742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75"/>
    </row>
    <row r="743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75"/>
    </row>
    <row r="744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75"/>
    </row>
    <row r="745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75"/>
    </row>
    <row r="746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75"/>
    </row>
    <row r="747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75"/>
    </row>
    <row r="748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75"/>
    </row>
    <row r="749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75"/>
    </row>
    <row r="750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75"/>
    </row>
    <row r="75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75"/>
    </row>
    <row r="752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75"/>
    </row>
    <row r="753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75"/>
    </row>
    <row r="754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75"/>
    </row>
    <row r="755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75"/>
    </row>
    <row r="756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75"/>
    </row>
    <row r="757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75"/>
    </row>
    <row r="758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75"/>
    </row>
    <row r="759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75"/>
    </row>
    <row r="760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75"/>
    </row>
    <row r="76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75"/>
    </row>
    <row r="762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75"/>
    </row>
    <row r="763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75"/>
    </row>
    <row r="764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75"/>
    </row>
    <row r="765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75"/>
    </row>
    <row r="766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75"/>
    </row>
    <row r="767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75"/>
    </row>
    <row r="768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75"/>
    </row>
    <row r="769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75"/>
    </row>
    <row r="770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75"/>
    </row>
    <row r="77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75"/>
    </row>
    <row r="772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75"/>
    </row>
    <row r="773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75"/>
    </row>
    <row r="774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75"/>
    </row>
    <row r="775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75"/>
    </row>
    <row r="776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75"/>
    </row>
    <row r="777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75"/>
    </row>
    <row r="778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75"/>
    </row>
    <row r="779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75"/>
    </row>
    <row r="780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75"/>
    </row>
    <row r="78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75"/>
    </row>
    <row r="782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75"/>
    </row>
    <row r="783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75"/>
    </row>
    <row r="784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75"/>
    </row>
    <row r="785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75"/>
    </row>
    <row r="786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75"/>
    </row>
    <row r="787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75"/>
    </row>
    <row r="788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75"/>
    </row>
    <row r="789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75"/>
    </row>
    <row r="790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75"/>
    </row>
    <row r="79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75"/>
    </row>
    <row r="792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75"/>
    </row>
    <row r="793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75"/>
    </row>
    <row r="794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75"/>
    </row>
    <row r="795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75"/>
    </row>
    <row r="796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75"/>
    </row>
    <row r="797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75"/>
    </row>
    <row r="798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75"/>
    </row>
    <row r="799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75"/>
    </row>
    <row r="800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75"/>
    </row>
    <row r="80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75"/>
    </row>
    <row r="802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75"/>
    </row>
    <row r="803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75"/>
    </row>
    <row r="804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75"/>
    </row>
    <row r="805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75"/>
    </row>
    <row r="806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75"/>
    </row>
    <row r="807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75"/>
    </row>
    <row r="808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75"/>
    </row>
    <row r="809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75"/>
    </row>
    <row r="810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75"/>
    </row>
    <row r="81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75"/>
    </row>
    <row r="812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75"/>
    </row>
    <row r="813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75"/>
    </row>
    <row r="814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75"/>
    </row>
    <row r="815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75"/>
    </row>
    <row r="816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75"/>
    </row>
    <row r="817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75"/>
    </row>
    <row r="818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75"/>
    </row>
    <row r="819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75"/>
    </row>
    <row r="820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75"/>
    </row>
    <row r="82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75"/>
    </row>
    <row r="822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75"/>
    </row>
    <row r="823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75"/>
    </row>
    <row r="824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75"/>
    </row>
    <row r="825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75"/>
    </row>
    <row r="826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75"/>
    </row>
    <row r="827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75"/>
    </row>
    <row r="828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75"/>
    </row>
    <row r="829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75"/>
    </row>
    <row r="830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75"/>
    </row>
    <row r="83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75"/>
    </row>
    <row r="832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75"/>
    </row>
    <row r="833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75"/>
    </row>
    <row r="834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75"/>
    </row>
    <row r="835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75"/>
    </row>
    <row r="836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75"/>
    </row>
    <row r="837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75"/>
    </row>
    <row r="838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75"/>
    </row>
    <row r="839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75"/>
    </row>
    <row r="840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75"/>
    </row>
    <row r="84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75"/>
    </row>
    <row r="842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75"/>
    </row>
    <row r="843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75"/>
    </row>
    <row r="844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75"/>
    </row>
    <row r="845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75"/>
    </row>
    <row r="846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75"/>
    </row>
    <row r="847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75"/>
    </row>
    <row r="848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75"/>
    </row>
    <row r="849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75"/>
    </row>
    <row r="850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75"/>
    </row>
    <row r="85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75"/>
    </row>
    <row r="852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75"/>
    </row>
    <row r="853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75"/>
    </row>
    <row r="854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75"/>
    </row>
    <row r="855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75"/>
    </row>
    <row r="856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75"/>
    </row>
    <row r="857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75"/>
    </row>
    <row r="858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75"/>
    </row>
    <row r="859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75"/>
    </row>
    <row r="860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75"/>
    </row>
    <row r="86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75"/>
    </row>
    <row r="862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75"/>
    </row>
    <row r="863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75"/>
    </row>
    <row r="864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75"/>
    </row>
    <row r="865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75"/>
    </row>
    <row r="866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75"/>
    </row>
    <row r="867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75"/>
    </row>
    <row r="868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75"/>
    </row>
    <row r="869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75"/>
    </row>
    <row r="870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75"/>
    </row>
    <row r="87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75"/>
    </row>
    <row r="872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75"/>
    </row>
    <row r="873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75"/>
    </row>
    <row r="874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75"/>
    </row>
    <row r="875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75"/>
    </row>
    <row r="876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75"/>
    </row>
    <row r="877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75"/>
    </row>
    <row r="878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75"/>
    </row>
    <row r="879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75"/>
    </row>
    <row r="880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75"/>
    </row>
    <row r="88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75"/>
    </row>
    <row r="882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75"/>
    </row>
    <row r="883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75"/>
    </row>
    <row r="884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75"/>
    </row>
    <row r="885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75"/>
    </row>
    <row r="886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75"/>
    </row>
    <row r="887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75"/>
    </row>
    <row r="888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75"/>
    </row>
    <row r="889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75"/>
    </row>
    <row r="890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75"/>
    </row>
    <row r="89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75"/>
    </row>
    <row r="892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75"/>
    </row>
    <row r="893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75"/>
    </row>
    <row r="894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75"/>
    </row>
    <row r="895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75"/>
    </row>
    <row r="896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75"/>
    </row>
    <row r="897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75"/>
    </row>
    <row r="898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75"/>
    </row>
    <row r="899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75"/>
    </row>
    <row r="900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75"/>
    </row>
    <row r="90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75"/>
    </row>
    <row r="902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75"/>
    </row>
    <row r="903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75"/>
    </row>
    <row r="904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75"/>
    </row>
    <row r="905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75"/>
    </row>
    <row r="906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75"/>
    </row>
    <row r="907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75"/>
    </row>
    <row r="908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75"/>
    </row>
    <row r="909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75"/>
    </row>
    <row r="910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75"/>
    </row>
    <row r="91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75"/>
    </row>
    <row r="912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75"/>
    </row>
    <row r="913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75"/>
    </row>
    <row r="914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75"/>
    </row>
    <row r="915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75"/>
    </row>
    <row r="916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75"/>
    </row>
    <row r="917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75"/>
    </row>
    <row r="918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75"/>
    </row>
    <row r="919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75"/>
    </row>
    <row r="920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75"/>
    </row>
    <row r="92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75"/>
    </row>
    <row r="922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75"/>
    </row>
    <row r="923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75"/>
    </row>
    <row r="924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75"/>
    </row>
    <row r="925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75"/>
    </row>
    <row r="926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75"/>
    </row>
    <row r="927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75"/>
    </row>
    <row r="928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75"/>
    </row>
    <row r="929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75"/>
    </row>
    <row r="930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75"/>
    </row>
    <row r="93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75"/>
    </row>
    <row r="932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75"/>
    </row>
    <row r="933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75"/>
    </row>
    <row r="934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75"/>
    </row>
    <row r="935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75"/>
    </row>
    <row r="936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75"/>
    </row>
    <row r="937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75"/>
    </row>
    <row r="938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75"/>
    </row>
    <row r="939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75"/>
    </row>
    <row r="940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75"/>
    </row>
    <row r="94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75"/>
    </row>
    <row r="942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75"/>
    </row>
    <row r="943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75"/>
    </row>
    <row r="944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75"/>
    </row>
    <row r="945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75"/>
    </row>
    <row r="946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75"/>
    </row>
    <row r="947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75"/>
    </row>
    <row r="948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75"/>
    </row>
    <row r="949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75"/>
    </row>
    <row r="950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75"/>
    </row>
    <row r="95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75"/>
    </row>
    <row r="952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75"/>
    </row>
    <row r="953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75"/>
    </row>
    <row r="954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75"/>
    </row>
    <row r="955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75"/>
    </row>
    <row r="956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75"/>
    </row>
    <row r="957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75"/>
    </row>
    <row r="958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75"/>
    </row>
    <row r="959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75"/>
    </row>
    <row r="960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75"/>
    </row>
    <row r="96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75"/>
    </row>
    <row r="962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75"/>
    </row>
    <row r="963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75"/>
    </row>
    <row r="964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75"/>
    </row>
    <row r="965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75"/>
    </row>
    <row r="966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75"/>
    </row>
    <row r="967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75"/>
    </row>
    <row r="968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75"/>
    </row>
    <row r="969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75"/>
    </row>
    <row r="970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75"/>
    </row>
    <row r="97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75"/>
    </row>
    <row r="972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75"/>
    </row>
    <row r="973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75"/>
    </row>
    <row r="974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75"/>
    </row>
    <row r="975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75"/>
    </row>
    <row r="976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75"/>
    </row>
    <row r="977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75"/>
    </row>
    <row r="978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75"/>
    </row>
    <row r="979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75"/>
    </row>
    <row r="980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75"/>
    </row>
    <row r="98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75"/>
    </row>
    <row r="982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75"/>
    </row>
    <row r="983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75"/>
    </row>
    <row r="984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75"/>
    </row>
    <row r="985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75"/>
    </row>
    <row r="986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75"/>
    </row>
    <row r="987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75"/>
    </row>
    <row r="988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75"/>
    </row>
    <row r="989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75"/>
    </row>
    <row r="990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75"/>
    </row>
    <row r="99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75"/>
    </row>
    <row r="992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75"/>
    </row>
    <row r="993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75"/>
    </row>
    <row r="994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75"/>
    </row>
    <row r="995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75"/>
    </row>
    <row r="996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75"/>
    </row>
    <row r="997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75"/>
    </row>
    <row r="998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75"/>
    </row>
    <row r="999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75"/>
    </row>
    <row r="1000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75"/>
    </row>
    <row r="1001">
      <c r="A1001" s="239"/>
      <c r="B1001" s="239"/>
      <c r="C1001" s="239"/>
      <c r="D1001" s="239"/>
      <c r="E1001" s="239"/>
      <c r="F1001" s="239"/>
      <c r="G1001" s="239"/>
      <c r="H1001" s="239"/>
      <c r="I1001" s="239"/>
      <c r="J1001" s="239"/>
      <c r="K1001" s="239"/>
      <c r="L1001" s="239"/>
      <c r="M1001" s="75"/>
    </row>
    <row r="1002">
      <c r="A1002" s="239"/>
      <c r="B1002" s="239"/>
      <c r="C1002" s="239"/>
      <c r="D1002" s="239"/>
      <c r="E1002" s="239"/>
      <c r="F1002" s="239"/>
      <c r="G1002" s="239"/>
      <c r="H1002" s="239"/>
      <c r="I1002" s="239"/>
      <c r="J1002" s="239"/>
      <c r="K1002" s="239"/>
      <c r="L1002" s="239"/>
      <c r="M1002" s="75"/>
    </row>
    <row r="1003">
      <c r="A1003" s="239"/>
      <c r="B1003" s="239"/>
      <c r="C1003" s="239"/>
      <c r="D1003" s="239"/>
      <c r="E1003" s="239"/>
      <c r="F1003" s="239"/>
      <c r="G1003" s="239"/>
      <c r="H1003" s="239"/>
      <c r="I1003" s="239"/>
      <c r="J1003" s="239"/>
      <c r="K1003" s="239"/>
      <c r="L1003" s="239"/>
      <c r="M1003" s="75"/>
    </row>
    <row r="1004">
      <c r="A1004" s="239"/>
      <c r="B1004" s="239"/>
      <c r="C1004" s="239"/>
      <c r="D1004" s="239"/>
      <c r="E1004" s="239"/>
      <c r="F1004" s="239"/>
      <c r="G1004" s="239"/>
      <c r="H1004" s="239"/>
      <c r="I1004" s="239"/>
      <c r="J1004" s="239"/>
      <c r="K1004" s="239"/>
      <c r="L1004" s="239"/>
      <c r="M1004" s="75"/>
    </row>
    <row r="1005">
      <c r="A1005" s="239"/>
      <c r="B1005" s="239"/>
      <c r="C1005" s="239"/>
      <c r="D1005" s="239"/>
      <c r="E1005" s="239"/>
      <c r="F1005" s="239"/>
      <c r="G1005" s="239"/>
      <c r="H1005" s="239"/>
      <c r="I1005" s="239"/>
      <c r="J1005" s="239"/>
      <c r="K1005" s="239"/>
      <c r="L1005" s="239"/>
      <c r="M1005" s="75"/>
    </row>
    <row r="1006">
      <c r="A1006" s="239"/>
      <c r="B1006" s="239"/>
      <c r="C1006" s="239"/>
      <c r="D1006" s="239"/>
      <c r="E1006" s="239"/>
      <c r="F1006" s="239"/>
      <c r="G1006" s="239"/>
      <c r="H1006" s="239"/>
      <c r="I1006" s="239"/>
      <c r="J1006" s="239"/>
      <c r="K1006" s="239"/>
      <c r="L1006" s="239"/>
      <c r="M1006" s="75"/>
    </row>
    <row r="1007">
      <c r="A1007" s="239"/>
      <c r="B1007" s="239"/>
      <c r="C1007" s="239"/>
      <c r="D1007" s="239"/>
      <c r="E1007" s="239"/>
      <c r="F1007" s="239"/>
      <c r="G1007" s="239"/>
      <c r="H1007" s="239"/>
      <c r="I1007" s="239"/>
      <c r="J1007" s="239"/>
      <c r="K1007" s="239"/>
      <c r="L1007" s="239"/>
      <c r="M1007" s="75"/>
    </row>
    <row r="1008">
      <c r="A1008" s="239"/>
      <c r="B1008" s="239"/>
      <c r="C1008" s="239"/>
      <c r="D1008" s="239"/>
      <c r="E1008" s="239"/>
      <c r="F1008" s="239"/>
      <c r="G1008" s="239"/>
      <c r="H1008" s="239"/>
      <c r="I1008" s="239"/>
      <c r="J1008" s="239"/>
      <c r="K1008" s="239"/>
      <c r="L1008" s="239"/>
      <c r="M1008" s="75"/>
    </row>
    <row r="1009">
      <c r="A1009" s="239"/>
      <c r="B1009" s="239"/>
      <c r="C1009" s="239"/>
      <c r="D1009" s="239"/>
      <c r="E1009" s="239"/>
      <c r="F1009" s="239"/>
      <c r="G1009" s="239"/>
      <c r="H1009" s="239"/>
      <c r="I1009" s="239"/>
      <c r="J1009" s="239"/>
      <c r="K1009" s="239"/>
      <c r="L1009" s="239"/>
      <c r="M1009" s="75"/>
    </row>
    <row r="1010">
      <c r="A1010" s="239"/>
      <c r="B1010" s="239"/>
      <c r="C1010" s="239"/>
      <c r="D1010" s="239"/>
      <c r="E1010" s="239"/>
      <c r="F1010" s="239"/>
      <c r="G1010" s="239"/>
      <c r="H1010" s="239"/>
      <c r="I1010" s="239"/>
      <c r="J1010" s="239"/>
      <c r="K1010" s="239"/>
      <c r="L1010" s="239"/>
      <c r="M1010" s="75"/>
    </row>
  </sheetData>
  <mergeCells count="10">
    <mergeCell ref="G18:G19"/>
    <mergeCell ref="G20:G21"/>
    <mergeCell ref="A1:G1"/>
    <mergeCell ref="A14:A15"/>
    <mergeCell ref="G14:G15"/>
    <mergeCell ref="A16:A17"/>
    <mergeCell ref="G16:G17"/>
    <mergeCell ref="A18:A19"/>
    <mergeCell ref="A20:A21"/>
    <mergeCell ref="A26:A27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6.13"/>
    <col customWidth="1" min="2" max="2" width="25.88"/>
    <col customWidth="1" min="3" max="3" width="34.75"/>
    <col customWidth="1" min="4" max="4" width="25.25"/>
    <col customWidth="1" min="5" max="5" width="14.5"/>
  </cols>
  <sheetData>
    <row r="1">
      <c r="A1" s="365" t="s">
        <v>240</v>
      </c>
      <c r="B1" s="365"/>
      <c r="C1" s="365"/>
      <c r="D1" s="365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</row>
    <row r="2">
      <c r="A2" s="366" t="s">
        <v>241</v>
      </c>
      <c r="B2" s="367"/>
      <c r="C2" s="368"/>
      <c r="D2" s="368"/>
      <c r="E2" s="368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</row>
    <row r="3">
      <c r="A3" s="369" t="s">
        <v>193</v>
      </c>
      <c r="B3" s="370" t="s">
        <v>242</v>
      </c>
      <c r="C3" s="370" t="s">
        <v>243</v>
      </c>
      <c r="D3" s="370" t="s">
        <v>244</v>
      </c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</row>
    <row r="4">
      <c r="A4" s="369" t="s">
        <v>245</v>
      </c>
      <c r="B4" s="371" t="s">
        <v>246</v>
      </c>
      <c r="C4" s="371" t="s">
        <v>247</v>
      </c>
      <c r="D4" s="371" t="s">
        <v>248</v>
      </c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</row>
    <row r="5">
      <c r="A5" s="372" t="s">
        <v>249</v>
      </c>
      <c r="B5" s="373">
        <v>11538.0</v>
      </c>
      <c r="C5" s="373">
        <v>9340.0</v>
      </c>
      <c r="D5" s="373">
        <v>9340.0</v>
      </c>
      <c r="E5" s="368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</row>
    <row r="6">
      <c r="A6" s="369" t="s">
        <v>250</v>
      </c>
      <c r="B6" s="374">
        <v>147.0</v>
      </c>
      <c r="C6" s="374">
        <v>147.0</v>
      </c>
      <c r="D6" s="374">
        <v>147.0</v>
      </c>
      <c r="E6" s="368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</row>
    <row r="7">
      <c r="A7" s="372" t="s">
        <v>251</v>
      </c>
      <c r="B7" s="375">
        <v>96153.0</v>
      </c>
      <c r="C7" s="375">
        <v>80769.0</v>
      </c>
      <c r="D7" s="375">
        <v>80769.0</v>
      </c>
      <c r="E7" s="368"/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</row>
    <row r="8">
      <c r="A8" s="372" t="s">
        <v>252</v>
      </c>
      <c r="B8" s="374">
        <v>6.0</v>
      </c>
      <c r="C8" s="374">
        <v>6.0</v>
      </c>
      <c r="D8" s="374">
        <v>6.0</v>
      </c>
      <c r="E8" s="376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</row>
    <row r="9">
      <c r="A9" s="369" t="s">
        <v>253</v>
      </c>
      <c r="B9" s="348">
        <f t="shared" ref="B9:D9" si="1">(B5*B6)+(B7*B8)</f>
        <v>2273004</v>
      </c>
      <c r="C9" s="348">
        <f t="shared" si="1"/>
        <v>1857594</v>
      </c>
      <c r="D9" s="348">
        <f t="shared" si="1"/>
        <v>1857594</v>
      </c>
      <c r="E9" s="368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</row>
    <row r="10">
      <c r="A10" s="377" t="s">
        <v>254</v>
      </c>
      <c r="B10" s="348"/>
      <c r="C10" s="348"/>
      <c r="D10" s="348"/>
      <c r="E10" s="368"/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</row>
    <row r="11">
      <c r="A11" s="377" t="s">
        <v>255</v>
      </c>
      <c r="B11" s="348">
        <f>A24/3</f>
        <v>-10607.91767</v>
      </c>
      <c r="C11" s="348">
        <f>A24/3</f>
        <v>-10607.91767</v>
      </c>
      <c r="D11" s="348">
        <f>A24/3</f>
        <v>-10607.91767</v>
      </c>
      <c r="E11" s="368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</row>
    <row r="12">
      <c r="A12" s="377" t="s">
        <v>256</v>
      </c>
      <c r="B12" s="348"/>
      <c r="C12" s="348"/>
      <c r="D12" s="348"/>
      <c r="E12" s="368"/>
      <c r="F12" s="300"/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</row>
    <row r="13">
      <c r="A13" s="369" t="s">
        <v>257</v>
      </c>
      <c r="B13" s="347">
        <v>300000.0</v>
      </c>
      <c r="C13" s="348"/>
      <c r="D13" s="347">
        <v>200000.0</v>
      </c>
      <c r="E13" s="368"/>
      <c r="F13" s="300"/>
      <c r="G13" s="300"/>
      <c r="H13" s="300"/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</row>
    <row r="14">
      <c r="A14" s="378" t="s">
        <v>258</v>
      </c>
      <c r="B14" s="347">
        <v>40000.0</v>
      </c>
      <c r="C14" s="347">
        <v>20000.0</v>
      </c>
      <c r="D14" s="348"/>
      <c r="E14" s="368"/>
      <c r="F14" s="300"/>
      <c r="G14" s="300"/>
      <c r="H14" s="300"/>
      <c r="I14" s="300"/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</row>
    <row r="15">
      <c r="A15" s="378" t="s">
        <v>259</v>
      </c>
      <c r="B15" s="347">
        <v>75000.0</v>
      </c>
      <c r="C15" s="347">
        <v>35000.0</v>
      </c>
      <c r="D15" s="347">
        <v>35000.0</v>
      </c>
      <c r="E15" s="368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</row>
    <row r="16">
      <c r="A16" s="378" t="s">
        <v>260</v>
      </c>
      <c r="B16" s="348"/>
      <c r="C16" s="348"/>
      <c r="D16" s="348"/>
      <c r="E16" s="368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</row>
    <row r="17">
      <c r="A17" s="369" t="s">
        <v>261</v>
      </c>
      <c r="B17" s="379">
        <f t="shared" ref="B17:D17" si="2">B9-B10+B11-B12-B13+B14+B16+B15</f>
        <v>2077396.082</v>
      </c>
      <c r="C17" s="379">
        <f t="shared" si="2"/>
        <v>1901986.082</v>
      </c>
      <c r="D17" s="379">
        <f t="shared" si="2"/>
        <v>1681986.082</v>
      </c>
      <c r="E17" s="380">
        <f>SUM(B17:D17)</f>
        <v>5661368.247</v>
      </c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</row>
    <row r="18">
      <c r="A18" s="369" t="s">
        <v>262</v>
      </c>
      <c r="B18" s="348" t="s">
        <v>263</v>
      </c>
      <c r="C18" s="348" t="s">
        <v>263</v>
      </c>
      <c r="D18" s="348" t="s">
        <v>263</v>
      </c>
      <c r="E18" s="367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</row>
    <row r="19">
      <c r="A19" s="381" t="s">
        <v>264</v>
      </c>
      <c r="B19" s="348" t="s">
        <v>265</v>
      </c>
      <c r="C19" s="348" t="s">
        <v>266</v>
      </c>
      <c r="D19" s="348" t="s">
        <v>267</v>
      </c>
      <c r="E19" s="368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</row>
    <row r="20">
      <c r="A20" s="382" t="s">
        <v>268</v>
      </c>
      <c r="B20" s="347" t="s">
        <v>269</v>
      </c>
      <c r="C20" s="347" t="s">
        <v>269</v>
      </c>
      <c r="D20" s="347" t="s">
        <v>269</v>
      </c>
      <c r="E20" s="383"/>
      <c r="F20" s="383"/>
      <c r="G20" s="383"/>
      <c r="H20" s="383"/>
      <c r="I20" s="383"/>
      <c r="J20" s="383"/>
      <c r="K20" s="383"/>
      <c r="L20" s="383"/>
      <c r="M20" s="383"/>
      <c r="N20" s="383"/>
      <c r="O20" s="383"/>
      <c r="P20" s="383"/>
      <c r="Q20" s="383"/>
      <c r="R20" s="383"/>
      <c r="S20" s="383"/>
      <c r="T20" s="383"/>
      <c r="U20" s="383"/>
      <c r="V20" s="383"/>
      <c r="W20" s="383"/>
      <c r="X20" s="383"/>
    </row>
    <row r="21">
      <c r="A21" s="384" t="s">
        <v>270</v>
      </c>
      <c r="B21" s="385" t="s">
        <v>271</v>
      </c>
      <c r="C21" s="386"/>
      <c r="D21" s="387"/>
      <c r="E21" s="368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</row>
    <row r="22">
      <c r="A22" s="388"/>
      <c r="B22" s="300"/>
      <c r="C22" s="300"/>
      <c r="D22" s="300"/>
      <c r="E22" s="300"/>
      <c r="F22" s="300"/>
      <c r="G22" s="300"/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</row>
    <row r="23">
      <c r="A23" s="388" t="s">
        <v>272</v>
      </c>
      <c r="B23" s="300"/>
      <c r="C23" s="300"/>
      <c r="D23" s="300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</row>
    <row r="24">
      <c r="A24" s="389">
        <f>Shringkage!Q12</f>
        <v>-31823.753</v>
      </c>
      <c r="B24" s="300"/>
      <c r="C24" s="300"/>
      <c r="D24" s="300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</row>
    <row r="25">
      <c r="A25" s="390" t="s">
        <v>273</v>
      </c>
      <c r="B25" s="300"/>
      <c r="C25" s="300"/>
      <c r="D25" s="300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</row>
    <row r="26">
      <c r="A26" s="300"/>
      <c r="B26" s="300"/>
      <c r="C26" s="300"/>
      <c r="D26" s="30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</row>
    <row r="27">
      <c r="A27" s="300"/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</row>
    <row r="28">
      <c r="A28" s="300"/>
      <c r="B28" s="300"/>
      <c r="C28" s="300"/>
      <c r="D28" s="300"/>
      <c r="E28" s="300"/>
      <c r="F28" s="300"/>
      <c r="G28" s="300"/>
      <c r="H28" s="300"/>
      <c r="I28" s="300"/>
      <c r="J28" s="300"/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</row>
    <row r="29">
      <c r="A29" s="300"/>
      <c r="B29" s="300"/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</row>
    <row r="30">
      <c r="A30" s="300"/>
      <c r="B30" s="300"/>
      <c r="C30" s="300"/>
      <c r="D30" s="300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</row>
    <row r="31">
      <c r="A31" s="300"/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</row>
    <row r="32">
      <c r="A32" s="300"/>
      <c r="B32" s="300"/>
      <c r="C32" s="300"/>
      <c r="D32" s="300"/>
      <c r="E32" s="300"/>
      <c r="F32" s="300"/>
      <c r="G32" s="300"/>
      <c r="H32" s="300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</row>
    <row r="33">
      <c r="A33" s="300"/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</row>
    <row r="34">
      <c r="A34" s="300"/>
      <c r="B34" s="300"/>
      <c r="C34" s="300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</row>
    <row r="35">
      <c r="A35" s="300"/>
      <c r="B35" s="300"/>
      <c r="C35" s="300"/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</row>
    <row r="36">
      <c r="A36" s="300"/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</row>
    <row r="37">
      <c r="A37" s="300"/>
      <c r="B37" s="300"/>
      <c r="C37" s="300"/>
      <c r="D37" s="300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</row>
    <row r="38">
      <c r="A38" s="300"/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</row>
    <row r="39">
      <c r="A39" s="300"/>
      <c r="B39" s="300"/>
      <c r="C39" s="300"/>
      <c r="D39" s="300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</row>
    <row r="40">
      <c r="A40" s="300"/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</row>
    <row r="41">
      <c r="A41" s="300"/>
      <c r="B41" s="300"/>
      <c r="C41" s="300"/>
      <c r="D41" s="30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</row>
    <row r="42">
      <c r="A42" s="300"/>
      <c r="B42" s="300"/>
      <c r="C42" s="300"/>
      <c r="D42" s="300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</row>
    <row r="43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</row>
    <row r="44">
      <c r="A44" s="300"/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</row>
    <row r="45">
      <c r="A45" s="300"/>
      <c r="B45" s="300"/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</row>
    <row r="46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</row>
    <row r="47">
      <c r="A47" s="300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</row>
    <row r="48">
      <c r="A48" s="300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</row>
    <row r="49">
      <c r="A49" s="300"/>
      <c r="B49" s="300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</row>
    <row r="50">
      <c r="A50" s="300"/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</row>
    <row r="51">
      <c r="A51" s="300"/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</row>
    <row r="52">
      <c r="A52" s="300"/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</row>
    <row r="53">
      <c r="A53" s="300"/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</row>
    <row r="54">
      <c r="A54" s="300"/>
      <c r="B54" s="300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  <c r="U54" s="300"/>
      <c r="V54" s="300"/>
      <c r="W54" s="300"/>
      <c r="X54" s="300"/>
    </row>
    <row r="55">
      <c r="A55" s="300"/>
      <c r="B55" s="300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  <c r="U55" s="300"/>
      <c r="V55" s="300"/>
      <c r="W55" s="300"/>
      <c r="X55" s="300"/>
    </row>
    <row r="56">
      <c r="A56" s="300"/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</row>
    <row r="57">
      <c r="A57" s="300"/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</row>
    <row r="58">
      <c r="A58" s="300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</row>
    <row r="59">
      <c r="A59" s="300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</row>
    <row r="60">
      <c r="A60" s="300"/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</row>
    <row r="61">
      <c r="A61" s="300"/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</row>
    <row r="62">
      <c r="A62" s="300"/>
      <c r="B62" s="300"/>
      <c r="C62" s="300"/>
      <c r="D62" s="30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</row>
    <row r="63">
      <c r="A63" s="300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</row>
    <row r="64">
      <c r="A64" s="300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</row>
    <row r="65">
      <c r="A65" s="300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</row>
    <row r="66">
      <c r="A66" s="300"/>
      <c r="B66" s="300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</row>
    <row r="67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</row>
    <row r="68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</row>
    <row r="69">
      <c r="A69" s="300"/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</row>
    <row r="70">
      <c r="A70" s="300"/>
      <c r="B70" s="300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</row>
    <row r="71">
      <c r="A71" s="300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</row>
    <row r="72">
      <c r="A72" s="300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</row>
    <row r="73">
      <c r="A73" s="300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</row>
    <row r="74">
      <c r="A74" s="300"/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</row>
    <row r="75">
      <c r="A75" s="300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</row>
    <row r="76">
      <c r="A76" s="300"/>
      <c r="B76" s="300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</row>
    <row r="77">
      <c r="A77" s="300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</row>
    <row r="78">
      <c r="A78" s="30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</row>
    <row r="79">
      <c r="A79" s="300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</row>
    <row r="80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</row>
    <row r="81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</row>
    <row r="82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</row>
    <row r="83">
      <c r="A83" s="300"/>
      <c r="B83" s="300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</row>
    <row r="84">
      <c r="A84" s="30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</row>
    <row r="85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</row>
    <row r="86">
      <c r="A86" s="300"/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</row>
    <row r="87">
      <c r="A87" s="300"/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</row>
    <row r="88">
      <c r="A88" s="300"/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</row>
    <row r="89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</row>
    <row r="90">
      <c r="A90" s="30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</row>
    <row r="91">
      <c r="A91" s="300"/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</row>
    <row r="92">
      <c r="A92" s="300"/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</row>
    <row r="93">
      <c r="A93" s="300"/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</row>
    <row r="94">
      <c r="A94" s="300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</row>
    <row r="95">
      <c r="A95" s="30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</row>
    <row r="96">
      <c r="A96" s="30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</row>
    <row r="97">
      <c r="A97" s="300"/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</row>
    <row r="98">
      <c r="A98" s="300"/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</row>
    <row r="99">
      <c r="A99" s="300"/>
      <c r="B99" s="300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</row>
    <row r="100">
      <c r="A100" s="300"/>
      <c r="B100" s="300"/>
      <c r="C100" s="300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</row>
    <row r="101">
      <c r="A101" s="300"/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</row>
    <row r="102">
      <c r="A102" s="300"/>
      <c r="B102" s="30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</row>
    <row r="103">
      <c r="A103" s="300"/>
      <c r="B103" s="300"/>
      <c r="C103" s="300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</row>
    <row r="104">
      <c r="A104" s="300"/>
      <c r="B104" s="300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</row>
    <row r="105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</row>
    <row r="106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</row>
    <row r="107">
      <c r="A107" s="300"/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</row>
    <row r="108">
      <c r="A108" s="300"/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</row>
    <row r="109">
      <c r="A109" s="300"/>
      <c r="B109" s="300"/>
      <c r="C109" s="300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</row>
    <row r="110">
      <c r="A110" s="300"/>
      <c r="B110" s="300"/>
      <c r="C110" s="300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</row>
    <row r="111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</row>
    <row r="112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</row>
    <row r="113">
      <c r="A113" s="300"/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</row>
    <row r="114">
      <c r="A114" s="300"/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</row>
    <row r="115">
      <c r="A115" s="300"/>
      <c r="B115" s="300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</row>
    <row r="116">
      <c r="A116" s="300"/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</row>
    <row r="117">
      <c r="A117" s="300"/>
      <c r="B117" s="300"/>
      <c r="C117" s="300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</row>
    <row r="118">
      <c r="A118" s="300"/>
      <c r="B118" s="300"/>
      <c r="C118" s="300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</row>
    <row r="119">
      <c r="A119" s="300"/>
      <c r="B119" s="300"/>
      <c r="C119" s="300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</row>
    <row r="120">
      <c r="A120" s="300"/>
      <c r="B120" s="300"/>
      <c r="C120" s="300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</row>
    <row r="121">
      <c r="A121" s="300"/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</row>
    <row r="122">
      <c r="A122" s="300"/>
      <c r="B122" s="300"/>
      <c r="C122" s="300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</row>
    <row r="123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</row>
    <row r="124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</row>
    <row r="125">
      <c r="A125" s="300"/>
      <c r="B125" s="300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</row>
    <row r="126">
      <c r="A126" s="300"/>
      <c r="B126" s="300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</row>
    <row r="127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</row>
    <row r="128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</row>
    <row r="129">
      <c r="A129" s="300"/>
      <c r="B129" s="300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</row>
    <row r="130">
      <c r="A130" s="300"/>
      <c r="B130" s="300"/>
      <c r="C130" s="300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</row>
    <row r="131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</row>
    <row r="132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</row>
    <row r="133">
      <c r="A133" s="300"/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</row>
    <row r="134">
      <c r="A134" s="300"/>
      <c r="B134" s="300"/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</row>
    <row r="135">
      <c r="A135" s="300"/>
      <c r="B135" s="300"/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</row>
    <row r="136">
      <c r="A136" s="300"/>
      <c r="B136" s="300"/>
      <c r="C136" s="300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</row>
    <row r="137">
      <c r="A137" s="300"/>
      <c r="B137" s="300"/>
      <c r="C137" s="300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</row>
    <row r="138">
      <c r="A138" s="300"/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</row>
    <row r="139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</row>
    <row r="140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</row>
    <row r="141">
      <c r="A141" s="300"/>
      <c r="B141" s="300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</row>
    <row r="142">
      <c r="A142" s="300"/>
      <c r="B142" s="300"/>
      <c r="C142" s="300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</row>
    <row r="143">
      <c r="A143" s="300"/>
      <c r="B143" s="300"/>
      <c r="C143" s="300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</row>
    <row r="144">
      <c r="A144" s="300"/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</row>
    <row r="145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</row>
    <row r="146">
      <c r="A146" s="300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</row>
    <row r="147">
      <c r="A147" s="300"/>
      <c r="B147" s="300"/>
      <c r="C147" s="300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</row>
    <row r="148">
      <c r="A148" s="300"/>
      <c r="B148" s="300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</row>
    <row r="149">
      <c r="A149" s="300"/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</row>
    <row r="150">
      <c r="A150" s="300"/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</row>
    <row r="151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</row>
    <row r="152">
      <c r="A152" s="300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</row>
    <row r="153">
      <c r="A153" s="300"/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</row>
    <row r="154">
      <c r="A154" s="300"/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</row>
    <row r="155">
      <c r="A155" s="300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</row>
    <row r="156">
      <c r="A156" s="300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</row>
    <row r="157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</row>
    <row r="158">
      <c r="A158" s="300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</row>
    <row r="159">
      <c r="A159" s="300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</row>
    <row r="160">
      <c r="A160" s="300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</row>
    <row r="161">
      <c r="A161" s="300"/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</row>
    <row r="162">
      <c r="A162" s="300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</row>
    <row r="163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</row>
    <row r="164">
      <c r="A164" s="300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</row>
    <row r="165">
      <c r="A165" s="300"/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</row>
    <row r="166">
      <c r="A166" s="300"/>
      <c r="B166" s="300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</row>
    <row r="167">
      <c r="A167" s="300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</row>
    <row r="168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</row>
    <row r="169">
      <c r="A169" s="300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</row>
    <row r="170">
      <c r="A170" s="300"/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</row>
    <row r="171">
      <c r="A171" s="300"/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</row>
    <row r="172">
      <c r="A172" s="300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</row>
    <row r="173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</row>
    <row r="174">
      <c r="A174" s="300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</row>
    <row r="175">
      <c r="A175" s="300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</row>
    <row r="176">
      <c r="A176" s="300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</row>
    <row r="177">
      <c r="A177" s="300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</row>
    <row r="178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</row>
    <row r="179">
      <c r="A179" s="300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</row>
    <row r="180">
      <c r="A180" s="300"/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</row>
    <row r="181">
      <c r="A181" s="300"/>
      <c r="B181" s="300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</row>
    <row r="182">
      <c r="A182" s="300"/>
      <c r="B182" s="300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</row>
    <row r="183">
      <c r="A183" s="300"/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</row>
    <row r="184">
      <c r="A184" s="300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</row>
    <row r="185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</row>
    <row r="186">
      <c r="A186" s="300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</row>
    <row r="187">
      <c r="A187" s="300"/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</row>
    <row r="188">
      <c r="A188" s="300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</row>
    <row r="189">
      <c r="A189" s="300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</row>
    <row r="190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</row>
    <row r="191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</row>
    <row r="192">
      <c r="A192" s="300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</row>
    <row r="193">
      <c r="A193" s="300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</row>
    <row r="194">
      <c r="A194" s="300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</row>
    <row r="195">
      <c r="A195" s="300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</row>
    <row r="196">
      <c r="A196" s="300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</row>
    <row r="197">
      <c r="A197" s="300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</row>
    <row r="198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</row>
    <row r="199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</row>
    <row r="200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</row>
    <row r="201">
      <c r="A201" s="300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</row>
    <row r="202">
      <c r="A202" s="300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</row>
    <row r="203">
      <c r="A203" s="300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</row>
    <row r="204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</row>
    <row r="205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</row>
    <row r="206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</row>
    <row r="207">
      <c r="A207" s="300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</row>
    <row r="208">
      <c r="A208" s="300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</row>
    <row r="209">
      <c r="A209" s="300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</row>
    <row r="210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</row>
    <row r="211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</row>
    <row r="212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</row>
    <row r="213">
      <c r="A213" s="300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</row>
    <row r="214">
      <c r="A214" s="300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</row>
    <row r="215">
      <c r="A215" s="300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</row>
    <row r="216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</row>
    <row r="217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</row>
    <row r="218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</row>
    <row r="219">
      <c r="A219" s="300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</row>
    <row r="220">
      <c r="A220" s="300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</row>
    <row r="221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</row>
    <row r="222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</row>
    <row r="223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</row>
    <row r="224">
      <c r="A224" s="300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</row>
    <row r="225">
      <c r="A225" s="300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</row>
    <row r="226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</row>
    <row r="227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</row>
    <row r="228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</row>
    <row r="229">
      <c r="A229" s="300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</row>
    <row r="230">
      <c r="A230" s="300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</row>
    <row r="231">
      <c r="A231" s="300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</row>
    <row r="232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</row>
    <row r="233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</row>
    <row r="234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</row>
    <row r="235">
      <c r="A235" s="300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</row>
    <row r="236">
      <c r="A236" s="300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</row>
    <row r="237">
      <c r="A237" s="300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</row>
    <row r="238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</row>
    <row r="239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</row>
    <row r="240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</row>
    <row r="241">
      <c r="A241" s="300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</row>
    <row r="242">
      <c r="A242" s="300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</row>
    <row r="243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</row>
    <row r="244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</row>
    <row r="245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</row>
    <row r="246">
      <c r="A246" s="300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</row>
    <row r="247">
      <c r="A247" s="300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</row>
    <row r="248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</row>
    <row r="249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</row>
    <row r="250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</row>
    <row r="251">
      <c r="A251" s="300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</row>
    <row r="252">
      <c r="A252" s="300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</row>
    <row r="253">
      <c r="A253" s="300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</row>
    <row r="254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</row>
    <row r="255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</row>
    <row r="256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</row>
    <row r="257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</row>
    <row r="258">
      <c r="A258" s="300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</row>
    <row r="259">
      <c r="A259" s="300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</row>
    <row r="260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</row>
    <row r="261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</row>
    <row r="262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</row>
    <row r="263">
      <c r="A263" s="300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</row>
    <row r="264">
      <c r="A264" s="300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</row>
    <row r="265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</row>
    <row r="266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</row>
    <row r="267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</row>
    <row r="268">
      <c r="A268" s="300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</row>
    <row r="269">
      <c r="A269" s="300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</row>
    <row r="270">
      <c r="A270" s="300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</row>
    <row r="271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</row>
    <row r="272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</row>
    <row r="273">
      <c r="A273" s="300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</row>
    <row r="274">
      <c r="A274" s="300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</row>
    <row r="275">
      <c r="A275" s="300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</row>
    <row r="276">
      <c r="A276" s="300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</row>
    <row r="277">
      <c r="A277" s="300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</row>
    <row r="278">
      <c r="A278" s="300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</row>
    <row r="279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</row>
    <row r="280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</row>
    <row r="281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</row>
    <row r="282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  <c r="T282" s="300"/>
      <c r="U282" s="300"/>
      <c r="V282" s="300"/>
      <c r="W282" s="300"/>
      <c r="X282" s="300"/>
    </row>
    <row r="283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</row>
    <row r="284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300"/>
    </row>
    <row r="285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</row>
    <row r="286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  <c r="T286" s="300"/>
      <c r="U286" s="300"/>
      <c r="V286" s="300"/>
      <c r="W286" s="300"/>
      <c r="X286" s="300"/>
    </row>
    <row r="287">
      <c r="A287" s="300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  <c r="T287" s="300"/>
      <c r="U287" s="300"/>
      <c r="V287" s="300"/>
      <c r="W287" s="300"/>
      <c r="X287" s="300"/>
    </row>
    <row r="288">
      <c r="A288" s="30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</row>
    <row r="289">
      <c r="A289" s="300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  <c r="T289" s="300"/>
      <c r="U289" s="300"/>
      <c r="V289" s="300"/>
      <c r="W289" s="300"/>
      <c r="X289" s="300"/>
    </row>
    <row r="290">
      <c r="A290" s="300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0"/>
      <c r="S290" s="300"/>
      <c r="T290" s="300"/>
      <c r="U290" s="300"/>
      <c r="V290" s="300"/>
      <c r="W290" s="300"/>
      <c r="X290" s="300"/>
    </row>
    <row r="291">
      <c r="A291" s="300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300"/>
      <c r="S291" s="300"/>
      <c r="T291" s="300"/>
      <c r="U291" s="300"/>
      <c r="V291" s="300"/>
      <c r="W291" s="300"/>
      <c r="X291" s="300"/>
    </row>
    <row r="292">
      <c r="A292" s="300"/>
      <c r="B292" s="300"/>
      <c r="C292" s="300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  <c r="T292" s="300"/>
      <c r="U292" s="300"/>
      <c r="V292" s="300"/>
      <c r="W292" s="300"/>
      <c r="X292" s="300"/>
    </row>
    <row r="293">
      <c r="A293" s="300"/>
      <c r="B293" s="300"/>
      <c r="C293" s="300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  <c r="T293" s="300"/>
      <c r="U293" s="300"/>
      <c r="V293" s="300"/>
      <c r="W293" s="300"/>
      <c r="X293" s="300"/>
    </row>
    <row r="294">
      <c r="A294" s="300"/>
      <c r="B294" s="300"/>
      <c r="C294" s="300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  <c r="T294" s="300"/>
      <c r="U294" s="300"/>
      <c r="V294" s="300"/>
      <c r="W294" s="300"/>
      <c r="X294" s="300"/>
    </row>
    <row r="295">
      <c r="A295" s="300"/>
      <c r="B295" s="300"/>
      <c r="C295" s="300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  <c r="T295" s="300"/>
      <c r="U295" s="300"/>
      <c r="V295" s="300"/>
      <c r="W295" s="300"/>
      <c r="X295" s="300"/>
    </row>
    <row r="296">
      <c r="A296" s="300"/>
      <c r="B296" s="300"/>
      <c r="C296" s="300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  <c r="T296" s="300"/>
      <c r="U296" s="300"/>
      <c r="V296" s="300"/>
      <c r="W296" s="300"/>
      <c r="X296" s="300"/>
    </row>
    <row r="297">
      <c r="A297" s="300"/>
      <c r="B297" s="300"/>
      <c r="C297" s="300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  <c r="T297" s="300"/>
      <c r="U297" s="300"/>
      <c r="V297" s="300"/>
      <c r="W297" s="300"/>
      <c r="X297" s="300"/>
    </row>
    <row r="298">
      <c r="A298" s="300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  <c r="T298" s="300"/>
      <c r="U298" s="300"/>
      <c r="V298" s="300"/>
      <c r="W298" s="300"/>
      <c r="X298" s="300"/>
    </row>
    <row r="299">
      <c r="A299" s="300"/>
      <c r="B299" s="300"/>
      <c r="C299" s="300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  <c r="T299" s="300"/>
      <c r="U299" s="300"/>
      <c r="V299" s="300"/>
      <c r="W299" s="300"/>
      <c r="X299" s="300"/>
    </row>
    <row r="300">
      <c r="A300" s="300"/>
      <c r="B300" s="300"/>
      <c r="C300" s="300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300"/>
      <c r="S300" s="300"/>
      <c r="T300" s="300"/>
      <c r="U300" s="300"/>
      <c r="V300" s="300"/>
      <c r="W300" s="300"/>
      <c r="X300" s="300"/>
    </row>
    <row r="301">
      <c r="A301" s="300"/>
      <c r="B301" s="300"/>
      <c r="C301" s="300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300"/>
      <c r="S301" s="300"/>
      <c r="T301" s="300"/>
      <c r="U301" s="300"/>
      <c r="V301" s="300"/>
      <c r="W301" s="300"/>
      <c r="X301" s="300"/>
    </row>
    <row r="302">
      <c r="A302" s="300"/>
      <c r="B302" s="300"/>
      <c r="C302" s="300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300"/>
      <c r="S302" s="300"/>
      <c r="T302" s="300"/>
      <c r="U302" s="300"/>
      <c r="V302" s="300"/>
      <c r="W302" s="300"/>
      <c r="X302" s="300"/>
    </row>
    <row r="303">
      <c r="A303" s="300"/>
      <c r="B303" s="300"/>
      <c r="C303" s="300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300"/>
      <c r="S303" s="300"/>
      <c r="T303" s="300"/>
      <c r="U303" s="300"/>
      <c r="V303" s="300"/>
      <c r="W303" s="300"/>
      <c r="X303" s="300"/>
    </row>
    <row r="304">
      <c r="A304" s="300"/>
      <c r="B304" s="300"/>
      <c r="C304" s="300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300"/>
      <c r="S304" s="300"/>
      <c r="T304" s="300"/>
      <c r="U304" s="300"/>
      <c r="V304" s="300"/>
      <c r="W304" s="300"/>
      <c r="X304" s="300"/>
    </row>
    <row r="305">
      <c r="A305" s="300"/>
      <c r="B305" s="300"/>
      <c r="C305" s="300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300"/>
      <c r="S305" s="300"/>
      <c r="T305" s="300"/>
      <c r="U305" s="300"/>
      <c r="V305" s="300"/>
      <c r="W305" s="300"/>
      <c r="X305" s="300"/>
    </row>
    <row r="306">
      <c r="A306" s="300"/>
      <c r="B306" s="300"/>
      <c r="C306" s="300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0"/>
      <c r="S306" s="300"/>
      <c r="T306" s="300"/>
      <c r="U306" s="300"/>
      <c r="V306" s="300"/>
      <c r="W306" s="300"/>
      <c r="X306" s="300"/>
    </row>
    <row r="307">
      <c r="A307" s="300"/>
      <c r="B307" s="300"/>
      <c r="C307" s="300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0"/>
      <c r="S307" s="300"/>
      <c r="T307" s="300"/>
      <c r="U307" s="300"/>
      <c r="V307" s="300"/>
      <c r="W307" s="300"/>
      <c r="X307" s="300"/>
    </row>
    <row r="308">
      <c r="A308" s="300"/>
      <c r="B308" s="300"/>
      <c r="C308" s="300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300"/>
      <c r="S308" s="300"/>
      <c r="T308" s="300"/>
      <c r="U308" s="300"/>
      <c r="V308" s="300"/>
      <c r="W308" s="300"/>
      <c r="X308" s="300"/>
    </row>
    <row r="309">
      <c r="A309" s="300"/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  <c r="T309" s="300"/>
      <c r="U309" s="300"/>
      <c r="V309" s="300"/>
      <c r="W309" s="300"/>
      <c r="X309" s="300"/>
    </row>
    <row r="310">
      <c r="A310" s="300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  <c r="T310" s="300"/>
      <c r="U310" s="300"/>
      <c r="V310" s="300"/>
      <c r="W310" s="300"/>
      <c r="X310" s="300"/>
    </row>
    <row r="311">
      <c r="A311" s="300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  <c r="T311" s="300"/>
      <c r="U311" s="300"/>
      <c r="V311" s="300"/>
      <c r="W311" s="300"/>
      <c r="X311" s="300"/>
    </row>
    <row r="312">
      <c r="A312" s="300"/>
      <c r="B312" s="300"/>
      <c r="C312" s="300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  <c r="T312" s="300"/>
      <c r="U312" s="300"/>
      <c r="V312" s="300"/>
      <c r="W312" s="300"/>
      <c r="X312" s="300"/>
    </row>
    <row r="313">
      <c r="A313" s="300"/>
      <c r="B313" s="300"/>
      <c r="C313" s="300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  <c r="T313" s="300"/>
      <c r="U313" s="300"/>
      <c r="V313" s="300"/>
      <c r="W313" s="300"/>
      <c r="X313" s="300"/>
    </row>
    <row r="314">
      <c r="A314" s="300"/>
      <c r="B314" s="300"/>
      <c r="C314" s="300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  <c r="T314" s="300"/>
      <c r="U314" s="300"/>
      <c r="V314" s="300"/>
      <c r="W314" s="300"/>
      <c r="X314" s="300"/>
    </row>
    <row r="315">
      <c r="A315" s="300"/>
      <c r="B315" s="300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</row>
    <row r="316">
      <c r="A316" s="300"/>
      <c r="B316" s="300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0"/>
      <c r="U316" s="300"/>
      <c r="V316" s="300"/>
      <c r="W316" s="300"/>
      <c r="X316" s="300"/>
    </row>
    <row r="317">
      <c r="A317" s="300"/>
      <c r="B317" s="300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</row>
    <row r="318">
      <c r="A318" s="300"/>
      <c r="B318" s="300"/>
      <c r="C318" s="300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  <c r="T318" s="300"/>
      <c r="U318" s="300"/>
      <c r="V318" s="300"/>
      <c r="W318" s="300"/>
      <c r="X318" s="300"/>
    </row>
    <row r="319">
      <c r="A319" s="300"/>
      <c r="B319" s="300"/>
      <c r="C319" s="300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  <c r="T319" s="300"/>
      <c r="U319" s="300"/>
      <c r="V319" s="300"/>
      <c r="W319" s="300"/>
      <c r="X319" s="300"/>
    </row>
    <row r="320">
      <c r="A320" s="300"/>
      <c r="B320" s="300"/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  <c r="T320" s="300"/>
      <c r="U320" s="300"/>
      <c r="V320" s="300"/>
      <c r="W320" s="300"/>
      <c r="X320" s="300"/>
    </row>
    <row r="321">
      <c r="A321" s="300"/>
      <c r="B321" s="300"/>
      <c r="C321" s="300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300"/>
      <c r="S321" s="300"/>
      <c r="T321" s="300"/>
      <c r="U321" s="300"/>
      <c r="V321" s="300"/>
      <c r="W321" s="300"/>
      <c r="X321" s="300"/>
    </row>
    <row r="322">
      <c r="A322" s="300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300"/>
      <c r="S322" s="300"/>
      <c r="T322" s="300"/>
      <c r="U322" s="300"/>
      <c r="V322" s="300"/>
      <c r="W322" s="300"/>
      <c r="X322" s="300"/>
    </row>
    <row r="323">
      <c r="A323" s="300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0"/>
      <c r="S323" s="300"/>
      <c r="T323" s="300"/>
      <c r="U323" s="300"/>
      <c r="V323" s="300"/>
      <c r="W323" s="300"/>
      <c r="X323" s="300"/>
    </row>
    <row r="324">
      <c r="A324" s="300"/>
      <c r="B324" s="300"/>
      <c r="C324" s="300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0"/>
      <c r="S324" s="300"/>
      <c r="T324" s="300"/>
      <c r="U324" s="300"/>
      <c r="V324" s="300"/>
      <c r="W324" s="300"/>
      <c r="X324" s="300"/>
    </row>
    <row r="325">
      <c r="A325" s="300"/>
      <c r="B325" s="300"/>
      <c r="C325" s="300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300"/>
      <c r="S325" s="300"/>
      <c r="T325" s="300"/>
      <c r="U325" s="300"/>
      <c r="V325" s="300"/>
      <c r="W325" s="300"/>
      <c r="X325" s="300"/>
    </row>
    <row r="326">
      <c r="A326" s="300"/>
      <c r="B326" s="300"/>
      <c r="C326" s="300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  <c r="T326" s="300"/>
      <c r="U326" s="300"/>
      <c r="V326" s="300"/>
      <c r="W326" s="300"/>
      <c r="X326" s="300"/>
    </row>
    <row r="327">
      <c r="A327" s="300"/>
      <c r="B327" s="300"/>
      <c r="C327" s="300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  <c r="T327" s="300"/>
      <c r="U327" s="300"/>
      <c r="V327" s="300"/>
      <c r="W327" s="300"/>
      <c r="X327" s="300"/>
    </row>
    <row r="328">
      <c r="A328" s="300"/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  <c r="T328" s="300"/>
      <c r="U328" s="300"/>
      <c r="V328" s="300"/>
      <c r="W328" s="300"/>
      <c r="X328" s="300"/>
    </row>
    <row r="329">
      <c r="A329" s="300"/>
      <c r="B329" s="300"/>
      <c r="C329" s="300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  <c r="T329" s="300"/>
      <c r="U329" s="300"/>
      <c r="V329" s="300"/>
      <c r="W329" s="300"/>
      <c r="X329" s="300"/>
    </row>
    <row r="330">
      <c r="A330" s="300"/>
      <c r="B330" s="300"/>
      <c r="C330" s="300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  <c r="T330" s="300"/>
      <c r="U330" s="300"/>
      <c r="V330" s="300"/>
      <c r="W330" s="300"/>
      <c r="X330" s="300"/>
    </row>
    <row r="331">
      <c r="A331" s="300"/>
      <c r="B331" s="300"/>
      <c r="C331" s="300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  <c r="T331" s="300"/>
      <c r="U331" s="300"/>
      <c r="V331" s="300"/>
      <c r="W331" s="300"/>
      <c r="X331" s="300"/>
    </row>
    <row r="332">
      <c r="A332" s="300"/>
      <c r="B332" s="300"/>
      <c r="C332" s="300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  <c r="T332" s="300"/>
      <c r="U332" s="300"/>
      <c r="V332" s="300"/>
      <c r="W332" s="300"/>
      <c r="X332" s="300"/>
    </row>
    <row r="333">
      <c r="A333" s="300"/>
      <c r="B333" s="300"/>
      <c r="C333" s="300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  <c r="T333" s="300"/>
      <c r="U333" s="300"/>
      <c r="V333" s="300"/>
      <c r="W333" s="300"/>
      <c r="X333" s="300"/>
    </row>
    <row r="334">
      <c r="A334" s="300"/>
      <c r="B334" s="300"/>
      <c r="C334" s="300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300"/>
      <c r="S334" s="300"/>
      <c r="T334" s="300"/>
      <c r="U334" s="300"/>
      <c r="V334" s="300"/>
      <c r="W334" s="300"/>
      <c r="X334" s="300"/>
    </row>
    <row r="335">
      <c r="A335" s="300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300"/>
      <c r="S335" s="300"/>
      <c r="T335" s="300"/>
      <c r="U335" s="300"/>
      <c r="V335" s="300"/>
      <c r="W335" s="300"/>
      <c r="X335" s="300"/>
    </row>
    <row r="336">
      <c r="A336" s="300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300"/>
      <c r="S336" s="300"/>
      <c r="T336" s="300"/>
      <c r="U336" s="300"/>
      <c r="V336" s="300"/>
      <c r="W336" s="300"/>
      <c r="X336" s="300"/>
    </row>
    <row r="337">
      <c r="A337" s="300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300"/>
      <c r="S337" s="300"/>
      <c r="T337" s="300"/>
      <c r="U337" s="300"/>
      <c r="V337" s="300"/>
      <c r="W337" s="300"/>
      <c r="X337" s="300"/>
    </row>
    <row r="338">
      <c r="A338" s="300"/>
      <c r="B338" s="300"/>
      <c r="C338" s="300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</row>
    <row r="339">
      <c r="A339" s="300"/>
      <c r="B339" s="300"/>
      <c r="C339" s="300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300"/>
      <c r="S339" s="300"/>
      <c r="T339" s="300"/>
      <c r="U339" s="300"/>
      <c r="V339" s="300"/>
      <c r="W339" s="300"/>
      <c r="X339" s="300"/>
    </row>
    <row r="340">
      <c r="A340" s="300"/>
      <c r="B340" s="300"/>
      <c r="C340" s="300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0"/>
      <c r="S340" s="300"/>
      <c r="T340" s="300"/>
      <c r="U340" s="300"/>
      <c r="V340" s="300"/>
      <c r="W340" s="300"/>
      <c r="X340" s="300"/>
    </row>
    <row r="341">
      <c r="A341" s="300"/>
      <c r="B341" s="300"/>
      <c r="C341" s="300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0"/>
      <c r="S341" s="300"/>
      <c r="T341" s="300"/>
      <c r="U341" s="300"/>
      <c r="V341" s="300"/>
      <c r="W341" s="300"/>
      <c r="X341" s="300"/>
    </row>
    <row r="342">
      <c r="A342" s="300"/>
      <c r="B342" s="300"/>
      <c r="C342" s="300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</row>
    <row r="343">
      <c r="A343" s="300"/>
      <c r="B343" s="300"/>
      <c r="C343" s="300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</row>
    <row r="344">
      <c r="A344" s="300"/>
      <c r="B344" s="300"/>
      <c r="C344" s="300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  <c r="T344" s="300"/>
      <c r="U344" s="300"/>
      <c r="V344" s="300"/>
      <c r="W344" s="300"/>
      <c r="X344" s="300"/>
    </row>
    <row r="345">
      <c r="A345" s="300"/>
      <c r="B345" s="300"/>
      <c r="C345" s="300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  <c r="T345" s="300"/>
      <c r="U345" s="300"/>
      <c r="V345" s="300"/>
      <c r="W345" s="300"/>
      <c r="X345" s="300"/>
    </row>
    <row r="346">
      <c r="A346" s="300"/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  <c r="T346" s="300"/>
      <c r="U346" s="300"/>
      <c r="V346" s="300"/>
      <c r="W346" s="300"/>
      <c r="X346" s="300"/>
    </row>
    <row r="347">
      <c r="A347" s="300"/>
      <c r="B347" s="300"/>
      <c r="C347" s="300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  <c r="T347" s="300"/>
      <c r="U347" s="300"/>
      <c r="V347" s="300"/>
      <c r="W347" s="300"/>
      <c r="X347" s="300"/>
    </row>
    <row r="348">
      <c r="A348" s="300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  <c r="T348" s="300"/>
      <c r="U348" s="300"/>
      <c r="V348" s="300"/>
      <c r="W348" s="300"/>
      <c r="X348" s="300"/>
    </row>
    <row r="349">
      <c r="A349" s="300"/>
      <c r="B349" s="300"/>
      <c r="C349" s="300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  <c r="T349" s="300"/>
      <c r="U349" s="300"/>
      <c r="V349" s="300"/>
      <c r="W349" s="300"/>
      <c r="X349" s="300"/>
    </row>
    <row r="350">
      <c r="A350" s="300"/>
      <c r="B350" s="300"/>
      <c r="C350" s="300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  <c r="T350" s="300"/>
      <c r="U350" s="300"/>
      <c r="V350" s="300"/>
      <c r="W350" s="300"/>
      <c r="X350" s="300"/>
    </row>
    <row r="351">
      <c r="A351" s="300"/>
      <c r="B351" s="300"/>
      <c r="C351" s="300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  <c r="T351" s="300"/>
      <c r="U351" s="300"/>
      <c r="V351" s="300"/>
      <c r="W351" s="300"/>
      <c r="X351" s="300"/>
    </row>
    <row r="352">
      <c r="A352" s="300"/>
      <c r="B352" s="300"/>
      <c r="C352" s="300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300"/>
      <c r="S352" s="300"/>
      <c r="T352" s="300"/>
      <c r="U352" s="300"/>
      <c r="V352" s="300"/>
      <c r="W352" s="300"/>
      <c r="X352" s="300"/>
    </row>
    <row r="353">
      <c r="A353" s="300"/>
      <c r="B353" s="300"/>
      <c r="C353" s="300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300"/>
      <c r="S353" s="300"/>
      <c r="T353" s="300"/>
      <c r="U353" s="300"/>
      <c r="V353" s="300"/>
      <c r="W353" s="300"/>
      <c r="X353" s="300"/>
    </row>
    <row r="354">
      <c r="A354" s="300"/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300"/>
      <c r="X354" s="300"/>
    </row>
    <row r="355">
      <c r="A355" s="300"/>
      <c r="B355" s="300"/>
      <c r="C355" s="300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</row>
    <row r="356">
      <c r="A356" s="300"/>
      <c r="B356" s="300"/>
      <c r="C356" s="300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300"/>
      <c r="S356" s="300"/>
      <c r="T356" s="300"/>
      <c r="U356" s="300"/>
      <c r="V356" s="300"/>
      <c r="W356" s="300"/>
      <c r="X356" s="300"/>
    </row>
    <row r="357">
      <c r="A357" s="300"/>
      <c r="B357" s="300"/>
      <c r="C357" s="300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0"/>
      <c r="S357" s="300"/>
      <c r="T357" s="300"/>
      <c r="U357" s="300"/>
      <c r="V357" s="300"/>
      <c r="W357" s="300"/>
      <c r="X357" s="300"/>
    </row>
    <row r="358">
      <c r="A358" s="300"/>
      <c r="B358" s="300"/>
      <c r="C358" s="300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0"/>
      <c r="S358" s="300"/>
      <c r="T358" s="300"/>
      <c r="U358" s="300"/>
      <c r="V358" s="300"/>
      <c r="W358" s="300"/>
      <c r="X358" s="300"/>
    </row>
    <row r="359">
      <c r="A359" s="300"/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300"/>
      <c r="X359" s="300"/>
    </row>
    <row r="360">
      <c r="A360" s="300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  <c r="T360" s="300"/>
      <c r="U360" s="300"/>
      <c r="V360" s="300"/>
      <c r="W360" s="300"/>
      <c r="X360" s="300"/>
    </row>
    <row r="361">
      <c r="A361" s="300"/>
      <c r="B361" s="300"/>
      <c r="C361" s="300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  <c r="T361" s="300"/>
      <c r="U361" s="300"/>
      <c r="V361" s="300"/>
      <c r="W361" s="300"/>
      <c r="X361" s="300"/>
    </row>
    <row r="362">
      <c r="A362" s="300"/>
      <c r="B362" s="300"/>
      <c r="C362" s="300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  <c r="T362" s="300"/>
      <c r="U362" s="300"/>
      <c r="V362" s="300"/>
      <c r="W362" s="300"/>
      <c r="X362" s="300"/>
    </row>
    <row r="363">
      <c r="A363" s="300"/>
      <c r="B363" s="300"/>
      <c r="C363" s="300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  <c r="T363" s="300"/>
      <c r="U363" s="300"/>
      <c r="V363" s="300"/>
      <c r="W363" s="300"/>
      <c r="X363" s="300"/>
    </row>
    <row r="364">
      <c r="A364" s="300"/>
      <c r="B364" s="300"/>
      <c r="C364" s="300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  <c r="T364" s="300"/>
      <c r="U364" s="300"/>
      <c r="V364" s="300"/>
      <c r="W364" s="300"/>
      <c r="X364" s="300"/>
    </row>
    <row r="365">
      <c r="A365" s="300"/>
      <c r="B365" s="300"/>
      <c r="C365" s="300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  <c r="T365" s="300"/>
      <c r="U365" s="300"/>
      <c r="V365" s="300"/>
      <c r="W365" s="300"/>
      <c r="X365" s="300"/>
    </row>
    <row r="366">
      <c r="A366" s="300"/>
      <c r="B366" s="300"/>
      <c r="C366" s="300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  <c r="T366" s="300"/>
      <c r="U366" s="300"/>
      <c r="V366" s="300"/>
      <c r="W366" s="300"/>
      <c r="X366" s="300"/>
    </row>
    <row r="367">
      <c r="A367" s="300"/>
      <c r="B367" s="300"/>
      <c r="C367" s="300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  <c r="T367" s="300"/>
      <c r="U367" s="300"/>
      <c r="V367" s="300"/>
      <c r="W367" s="300"/>
      <c r="X367" s="300"/>
    </row>
    <row r="368">
      <c r="A368" s="300"/>
      <c r="B368" s="300"/>
      <c r="C368" s="300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300"/>
      <c r="S368" s="300"/>
      <c r="T368" s="300"/>
      <c r="U368" s="300"/>
      <c r="V368" s="300"/>
      <c r="W368" s="300"/>
      <c r="X368" s="300"/>
    </row>
    <row r="369">
      <c r="A369" s="300"/>
      <c r="B369" s="300"/>
      <c r="C369" s="300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300"/>
      <c r="S369" s="300"/>
      <c r="T369" s="300"/>
      <c r="U369" s="300"/>
      <c r="V369" s="300"/>
      <c r="W369" s="300"/>
      <c r="X369" s="300"/>
    </row>
    <row r="370">
      <c r="A370" s="300"/>
      <c r="B370" s="300"/>
      <c r="C370" s="300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300"/>
      <c r="S370" s="300"/>
      <c r="T370" s="300"/>
      <c r="U370" s="300"/>
      <c r="V370" s="300"/>
      <c r="W370" s="300"/>
      <c r="X370" s="300"/>
    </row>
    <row r="371">
      <c r="A371" s="300"/>
      <c r="B371" s="300"/>
      <c r="C371" s="300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300"/>
      <c r="S371" s="300"/>
      <c r="T371" s="300"/>
      <c r="U371" s="300"/>
      <c r="V371" s="300"/>
      <c r="W371" s="300"/>
      <c r="X371" s="300"/>
    </row>
    <row r="372">
      <c r="A372" s="300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0"/>
      <c r="S372" s="300"/>
      <c r="T372" s="300"/>
      <c r="U372" s="300"/>
      <c r="V372" s="300"/>
      <c r="W372" s="300"/>
      <c r="X372" s="300"/>
    </row>
    <row r="373">
      <c r="A373" s="300"/>
      <c r="B373" s="300"/>
      <c r="C373" s="300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0"/>
      <c r="S373" s="300"/>
      <c r="T373" s="300"/>
      <c r="U373" s="300"/>
      <c r="V373" s="300"/>
      <c r="W373" s="300"/>
      <c r="X373" s="300"/>
    </row>
    <row r="374">
      <c r="A374" s="300"/>
      <c r="B374" s="300"/>
      <c r="C374" s="300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</row>
    <row r="375">
      <c r="A375" s="300"/>
      <c r="B375" s="300"/>
      <c r="C375" s="300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  <c r="T375" s="300"/>
      <c r="U375" s="300"/>
      <c r="V375" s="300"/>
      <c r="W375" s="300"/>
      <c r="X375" s="300"/>
    </row>
    <row r="376">
      <c r="A376" s="300"/>
      <c r="B376" s="300"/>
      <c r="C376" s="300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  <c r="T376" s="300"/>
      <c r="U376" s="300"/>
      <c r="V376" s="300"/>
      <c r="W376" s="300"/>
      <c r="X376" s="300"/>
    </row>
    <row r="377">
      <c r="A377" s="300"/>
      <c r="B377" s="300"/>
      <c r="C377" s="300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  <c r="T377" s="300"/>
      <c r="U377" s="300"/>
      <c r="V377" s="300"/>
      <c r="W377" s="300"/>
      <c r="X377" s="300"/>
    </row>
    <row r="378">
      <c r="A378" s="300"/>
      <c r="B378" s="300"/>
      <c r="C378" s="300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  <c r="T378" s="300"/>
      <c r="U378" s="300"/>
      <c r="V378" s="300"/>
      <c r="W378" s="300"/>
      <c r="X378" s="300"/>
    </row>
    <row r="379">
      <c r="A379" s="300"/>
      <c r="B379" s="300"/>
      <c r="C379" s="300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  <c r="T379" s="300"/>
      <c r="U379" s="300"/>
      <c r="V379" s="300"/>
      <c r="W379" s="300"/>
      <c r="X379" s="300"/>
    </row>
    <row r="380">
      <c r="A380" s="300"/>
      <c r="B380" s="300"/>
      <c r="C380" s="300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  <c r="T380" s="300"/>
      <c r="U380" s="300"/>
      <c r="V380" s="300"/>
      <c r="W380" s="300"/>
      <c r="X380" s="300"/>
    </row>
    <row r="381">
      <c r="A381" s="300"/>
      <c r="B381" s="300"/>
      <c r="C381" s="300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  <c r="T381" s="300"/>
      <c r="U381" s="300"/>
      <c r="V381" s="300"/>
      <c r="W381" s="300"/>
      <c r="X381" s="300"/>
    </row>
    <row r="382">
      <c r="A382" s="300"/>
      <c r="B382" s="300"/>
      <c r="C382" s="300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  <c r="T382" s="300"/>
      <c r="U382" s="300"/>
      <c r="V382" s="300"/>
      <c r="W382" s="300"/>
      <c r="X382" s="300"/>
    </row>
    <row r="383">
      <c r="A383" s="300"/>
      <c r="B383" s="300"/>
      <c r="C383" s="300"/>
      <c r="D383" s="300"/>
      <c r="E383" s="300"/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300"/>
      <c r="S383" s="300"/>
      <c r="T383" s="300"/>
      <c r="U383" s="300"/>
      <c r="V383" s="300"/>
      <c r="W383" s="300"/>
      <c r="X383" s="300"/>
    </row>
    <row r="384">
      <c r="A384" s="300"/>
      <c r="B384" s="300"/>
      <c r="C384" s="300"/>
      <c r="D384" s="300"/>
      <c r="E384" s="300"/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300"/>
      <c r="S384" s="300"/>
      <c r="T384" s="300"/>
      <c r="U384" s="300"/>
      <c r="V384" s="300"/>
      <c r="W384" s="300"/>
      <c r="X384" s="300"/>
    </row>
    <row r="385">
      <c r="A385" s="300"/>
      <c r="B385" s="300"/>
      <c r="C385" s="300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  <c r="O385" s="300"/>
      <c r="P385" s="300"/>
      <c r="Q385" s="300"/>
      <c r="R385" s="300"/>
      <c r="S385" s="300"/>
      <c r="T385" s="300"/>
      <c r="U385" s="300"/>
      <c r="V385" s="300"/>
      <c r="W385" s="300"/>
      <c r="X385" s="300"/>
    </row>
    <row r="386">
      <c r="A386" s="300"/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0"/>
      <c r="U386" s="300"/>
      <c r="V386" s="300"/>
      <c r="W386" s="300"/>
      <c r="X386" s="300"/>
    </row>
    <row r="387">
      <c r="A387" s="300"/>
      <c r="B387" s="300"/>
      <c r="C387" s="300"/>
      <c r="D387" s="300"/>
      <c r="E387" s="300"/>
      <c r="F387" s="300"/>
      <c r="G387" s="300"/>
      <c r="H387" s="300"/>
      <c r="I387" s="300"/>
      <c r="J387" s="300"/>
      <c r="K387" s="300"/>
      <c r="L387" s="300"/>
      <c r="M387" s="300"/>
      <c r="N387" s="300"/>
      <c r="O387" s="300"/>
      <c r="P387" s="300"/>
      <c r="Q387" s="300"/>
      <c r="R387" s="300"/>
      <c r="S387" s="300"/>
      <c r="T387" s="300"/>
      <c r="U387" s="300"/>
      <c r="V387" s="300"/>
      <c r="W387" s="300"/>
      <c r="X387" s="300"/>
    </row>
    <row r="388">
      <c r="A388" s="300"/>
      <c r="B388" s="300"/>
      <c r="C388" s="300"/>
      <c r="D388" s="300"/>
      <c r="E388" s="300"/>
      <c r="F388" s="300"/>
      <c r="G388" s="300"/>
      <c r="H388" s="300"/>
      <c r="I388" s="300"/>
      <c r="J388" s="300"/>
      <c r="K388" s="300"/>
      <c r="L388" s="300"/>
      <c r="M388" s="300"/>
      <c r="N388" s="300"/>
      <c r="O388" s="300"/>
      <c r="P388" s="300"/>
      <c r="Q388" s="300"/>
      <c r="R388" s="300"/>
      <c r="S388" s="300"/>
      <c r="T388" s="300"/>
      <c r="U388" s="300"/>
      <c r="V388" s="300"/>
      <c r="W388" s="300"/>
      <c r="X388" s="300"/>
    </row>
    <row r="389">
      <c r="A389" s="300"/>
      <c r="B389" s="300"/>
      <c r="C389" s="300"/>
      <c r="D389" s="300"/>
      <c r="E389" s="300"/>
      <c r="F389" s="300"/>
      <c r="G389" s="300"/>
      <c r="H389" s="300"/>
      <c r="I389" s="300"/>
      <c r="J389" s="300"/>
      <c r="K389" s="300"/>
      <c r="L389" s="300"/>
      <c r="M389" s="300"/>
      <c r="N389" s="300"/>
      <c r="O389" s="300"/>
      <c r="P389" s="300"/>
      <c r="Q389" s="300"/>
      <c r="R389" s="300"/>
      <c r="S389" s="300"/>
      <c r="T389" s="300"/>
      <c r="U389" s="300"/>
      <c r="V389" s="300"/>
      <c r="W389" s="300"/>
      <c r="X389" s="300"/>
    </row>
    <row r="390">
      <c r="A390" s="300"/>
      <c r="B390" s="300"/>
      <c r="C390" s="300"/>
      <c r="D390" s="300"/>
      <c r="E390" s="300"/>
      <c r="F390" s="300"/>
      <c r="G390" s="300"/>
      <c r="H390" s="300"/>
      <c r="I390" s="300"/>
      <c r="J390" s="300"/>
      <c r="K390" s="300"/>
      <c r="L390" s="300"/>
      <c r="M390" s="300"/>
      <c r="N390" s="300"/>
      <c r="O390" s="300"/>
      <c r="P390" s="300"/>
      <c r="Q390" s="300"/>
      <c r="R390" s="300"/>
      <c r="S390" s="300"/>
      <c r="T390" s="300"/>
      <c r="U390" s="300"/>
      <c r="V390" s="300"/>
      <c r="W390" s="300"/>
      <c r="X390" s="300"/>
    </row>
    <row r="391">
      <c r="A391" s="300"/>
      <c r="B391" s="300"/>
      <c r="C391" s="300"/>
      <c r="D391" s="300"/>
      <c r="E391" s="300"/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300"/>
      <c r="S391" s="300"/>
      <c r="T391" s="300"/>
      <c r="U391" s="300"/>
      <c r="V391" s="300"/>
      <c r="W391" s="300"/>
      <c r="X391" s="300"/>
    </row>
    <row r="392">
      <c r="A392" s="300"/>
      <c r="B392" s="300"/>
      <c r="C392" s="300"/>
      <c r="D392" s="300"/>
      <c r="E392" s="300"/>
      <c r="F392" s="300"/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300"/>
      <c r="S392" s="300"/>
      <c r="T392" s="300"/>
      <c r="U392" s="300"/>
      <c r="V392" s="300"/>
      <c r="W392" s="300"/>
      <c r="X392" s="300"/>
    </row>
    <row r="393">
      <c r="A393" s="300"/>
      <c r="B393" s="300"/>
      <c r="C393" s="300"/>
      <c r="D393" s="300"/>
      <c r="E393" s="300"/>
      <c r="F393" s="300"/>
      <c r="G393" s="300"/>
      <c r="H393" s="300"/>
      <c r="I393" s="300"/>
      <c r="J393" s="300"/>
      <c r="K393" s="300"/>
      <c r="L393" s="300"/>
      <c r="M393" s="300"/>
      <c r="N393" s="300"/>
      <c r="O393" s="300"/>
      <c r="P393" s="300"/>
      <c r="Q393" s="300"/>
      <c r="R393" s="300"/>
      <c r="S393" s="300"/>
      <c r="T393" s="300"/>
      <c r="U393" s="300"/>
      <c r="V393" s="300"/>
      <c r="W393" s="300"/>
      <c r="X393" s="300"/>
    </row>
    <row r="394">
      <c r="A394" s="300"/>
      <c r="B394" s="300"/>
      <c r="C394" s="300"/>
      <c r="D394" s="300"/>
      <c r="E394" s="300"/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300"/>
      <c r="S394" s="300"/>
      <c r="T394" s="300"/>
      <c r="U394" s="300"/>
      <c r="V394" s="300"/>
      <c r="W394" s="300"/>
      <c r="X394" s="300"/>
    </row>
    <row r="395">
      <c r="A395" s="300"/>
      <c r="B395" s="300"/>
      <c r="C395" s="300"/>
      <c r="D395" s="300"/>
      <c r="E395" s="300"/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300"/>
      <c r="S395" s="300"/>
      <c r="T395" s="300"/>
      <c r="U395" s="300"/>
      <c r="V395" s="300"/>
      <c r="W395" s="300"/>
      <c r="X395" s="300"/>
    </row>
    <row r="396">
      <c r="A396" s="300"/>
      <c r="B396" s="300"/>
      <c r="C396" s="300"/>
      <c r="D396" s="300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  <c r="T396" s="300"/>
      <c r="U396" s="300"/>
      <c r="V396" s="300"/>
      <c r="W396" s="300"/>
      <c r="X396" s="300"/>
    </row>
    <row r="397">
      <c r="A397" s="300"/>
      <c r="B397" s="300"/>
      <c r="C397" s="300"/>
      <c r="D397" s="300"/>
      <c r="E397" s="300"/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300"/>
      <c r="S397" s="300"/>
      <c r="T397" s="300"/>
      <c r="U397" s="300"/>
      <c r="V397" s="300"/>
      <c r="W397" s="300"/>
      <c r="X397" s="300"/>
    </row>
    <row r="398">
      <c r="A398" s="300"/>
      <c r="B398" s="300"/>
      <c r="C398" s="300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300"/>
      <c r="S398" s="300"/>
      <c r="T398" s="300"/>
      <c r="U398" s="300"/>
      <c r="V398" s="300"/>
      <c r="W398" s="300"/>
      <c r="X398" s="300"/>
    </row>
    <row r="399">
      <c r="A399" s="300"/>
      <c r="B399" s="300"/>
      <c r="C399" s="300"/>
      <c r="D399" s="300"/>
      <c r="E399" s="300"/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300"/>
      <c r="S399" s="300"/>
      <c r="T399" s="300"/>
      <c r="U399" s="300"/>
      <c r="V399" s="300"/>
      <c r="W399" s="300"/>
      <c r="X399" s="300"/>
    </row>
    <row r="400">
      <c r="A400" s="300"/>
      <c r="B400" s="300"/>
      <c r="C400" s="300"/>
      <c r="D400" s="300"/>
      <c r="E400" s="300"/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300"/>
      <c r="S400" s="300"/>
      <c r="T400" s="300"/>
      <c r="U400" s="300"/>
      <c r="V400" s="300"/>
      <c r="W400" s="300"/>
      <c r="X400" s="300"/>
    </row>
    <row r="401">
      <c r="A401" s="300"/>
      <c r="B401" s="300"/>
      <c r="C401" s="300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  <c r="T401" s="300"/>
      <c r="U401" s="300"/>
      <c r="V401" s="300"/>
      <c r="W401" s="300"/>
      <c r="X401" s="300"/>
    </row>
    <row r="402">
      <c r="A402" s="300"/>
      <c r="B402" s="300"/>
      <c r="C402" s="300"/>
      <c r="D402" s="300"/>
      <c r="E402" s="300"/>
      <c r="F402" s="300"/>
      <c r="G402" s="300"/>
      <c r="H402" s="300"/>
      <c r="I402" s="300"/>
      <c r="J402" s="300"/>
      <c r="K402" s="300"/>
      <c r="L402" s="300"/>
      <c r="M402" s="300"/>
      <c r="N402" s="300"/>
      <c r="O402" s="300"/>
      <c r="P402" s="300"/>
      <c r="Q402" s="300"/>
      <c r="R402" s="300"/>
      <c r="S402" s="300"/>
      <c r="T402" s="300"/>
      <c r="U402" s="300"/>
      <c r="V402" s="300"/>
      <c r="W402" s="300"/>
      <c r="X402" s="300"/>
    </row>
    <row r="403">
      <c r="A403" s="300"/>
      <c r="B403" s="300"/>
      <c r="C403" s="300"/>
      <c r="D403" s="300"/>
      <c r="E403" s="300"/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300"/>
      <c r="S403" s="300"/>
      <c r="T403" s="300"/>
      <c r="U403" s="300"/>
      <c r="V403" s="300"/>
      <c r="W403" s="300"/>
      <c r="X403" s="300"/>
    </row>
    <row r="404">
      <c r="A404" s="300"/>
      <c r="B404" s="300"/>
      <c r="C404" s="300"/>
      <c r="D404" s="300"/>
      <c r="E404" s="300"/>
      <c r="F404" s="300"/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300"/>
      <c r="S404" s="300"/>
      <c r="T404" s="300"/>
      <c r="U404" s="300"/>
      <c r="V404" s="300"/>
      <c r="W404" s="300"/>
      <c r="X404" s="300"/>
    </row>
    <row r="405">
      <c r="A405" s="300"/>
      <c r="B405" s="300"/>
      <c r="C405" s="300"/>
      <c r="D405" s="300"/>
      <c r="E405" s="300"/>
      <c r="F405" s="300"/>
      <c r="G405" s="300"/>
      <c r="H405" s="300"/>
      <c r="I405" s="300"/>
      <c r="J405" s="300"/>
      <c r="K405" s="300"/>
      <c r="L405" s="300"/>
      <c r="M405" s="300"/>
      <c r="N405" s="300"/>
      <c r="O405" s="300"/>
      <c r="P405" s="300"/>
      <c r="Q405" s="300"/>
      <c r="R405" s="300"/>
      <c r="S405" s="300"/>
      <c r="T405" s="300"/>
      <c r="U405" s="300"/>
      <c r="V405" s="300"/>
      <c r="W405" s="300"/>
      <c r="X405" s="300"/>
    </row>
    <row r="406">
      <c r="A406" s="300"/>
      <c r="B406" s="300"/>
      <c r="C406" s="300"/>
      <c r="D406" s="300"/>
      <c r="E406" s="300"/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300"/>
      <c r="S406" s="300"/>
      <c r="T406" s="300"/>
      <c r="U406" s="300"/>
      <c r="V406" s="300"/>
      <c r="W406" s="300"/>
      <c r="X406" s="300"/>
    </row>
    <row r="407">
      <c r="A407" s="300"/>
      <c r="B407" s="300"/>
      <c r="C407" s="300"/>
      <c r="D407" s="300"/>
      <c r="E407" s="300"/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300"/>
      <c r="S407" s="300"/>
      <c r="T407" s="300"/>
      <c r="U407" s="300"/>
      <c r="V407" s="300"/>
      <c r="W407" s="300"/>
      <c r="X407" s="300"/>
    </row>
    <row r="408">
      <c r="A408" s="300"/>
      <c r="B408" s="300"/>
      <c r="C408" s="300"/>
      <c r="D408" s="300"/>
      <c r="E408" s="300"/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0"/>
      <c r="S408" s="300"/>
      <c r="T408" s="300"/>
      <c r="U408" s="300"/>
      <c r="V408" s="300"/>
      <c r="W408" s="300"/>
      <c r="X408" s="300"/>
    </row>
    <row r="409">
      <c r="A409" s="300"/>
      <c r="B409" s="300"/>
      <c r="C409" s="300"/>
      <c r="D409" s="300"/>
      <c r="E409" s="300"/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0"/>
      <c r="S409" s="300"/>
      <c r="T409" s="300"/>
      <c r="U409" s="300"/>
      <c r="V409" s="300"/>
      <c r="W409" s="300"/>
      <c r="X409" s="300"/>
    </row>
    <row r="410">
      <c r="A410" s="300"/>
      <c r="B410" s="300"/>
      <c r="C410" s="300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300"/>
      <c r="S410" s="300"/>
      <c r="T410" s="300"/>
      <c r="U410" s="300"/>
      <c r="V410" s="300"/>
      <c r="W410" s="300"/>
      <c r="X410" s="300"/>
    </row>
    <row r="411">
      <c r="A411" s="300"/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</row>
    <row r="412">
      <c r="A412" s="300"/>
      <c r="B412" s="300"/>
      <c r="C412" s="300"/>
      <c r="D412" s="300"/>
      <c r="E412" s="300"/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  <c r="T412" s="300"/>
      <c r="U412" s="300"/>
      <c r="V412" s="300"/>
      <c r="W412" s="300"/>
      <c r="X412" s="300"/>
    </row>
    <row r="413">
      <c r="A413" s="300"/>
      <c r="B413" s="300"/>
      <c r="C413" s="300"/>
      <c r="D413" s="300"/>
      <c r="E413" s="300"/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  <c r="T413" s="300"/>
      <c r="U413" s="300"/>
      <c r="V413" s="300"/>
      <c r="W413" s="300"/>
      <c r="X413" s="300"/>
    </row>
    <row r="414">
      <c r="A414" s="300"/>
      <c r="B414" s="300"/>
      <c r="C414" s="300"/>
      <c r="D414" s="300"/>
      <c r="E414" s="300"/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300"/>
      <c r="S414" s="300"/>
      <c r="T414" s="300"/>
      <c r="U414" s="300"/>
      <c r="V414" s="300"/>
      <c r="W414" s="300"/>
      <c r="X414" s="300"/>
    </row>
    <row r="415">
      <c r="A415" s="300"/>
      <c r="B415" s="300"/>
      <c r="C415" s="300"/>
      <c r="D415" s="300"/>
      <c r="E415" s="300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0"/>
      <c r="S415" s="300"/>
      <c r="T415" s="300"/>
      <c r="U415" s="300"/>
      <c r="V415" s="300"/>
      <c r="W415" s="300"/>
      <c r="X415" s="300"/>
    </row>
    <row r="416">
      <c r="A416" s="300"/>
      <c r="B416" s="300"/>
      <c r="C416" s="300"/>
      <c r="D416" s="300"/>
      <c r="E416" s="300"/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300"/>
      <c r="S416" s="300"/>
      <c r="T416" s="300"/>
      <c r="U416" s="300"/>
      <c r="V416" s="300"/>
      <c r="W416" s="300"/>
      <c r="X416" s="300"/>
    </row>
    <row r="417">
      <c r="A417" s="300"/>
      <c r="B417" s="300"/>
      <c r="C417" s="300"/>
      <c r="D417" s="300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  <c r="T417" s="300"/>
      <c r="U417" s="300"/>
      <c r="V417" s="300"/>
      <c r="W417" s="300"/>
      <c r="X417" s="300"/>
    </row>
    <row r="418">
      <c r="A418" s="300"/>
      <c r="B418" s="300"/>
      <c r="C418" s="300"/>
      <c r="D418" s="300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  <c r="T418" s="300"/>
      <c r="U418" s="300"/>
      <c r="V418" s="300"/>
      <c r="W418" s="300"/>
      <c r="X418" s="300"/>
    </row>
    <row r="419">
      <c r="A419" s="300"/>
      <c r="B419" s="300"/>
      <c r="C419" s="300"/>
      <c r="D419" s="300"/>
      <c r="E419" s="300"/>
      <c r="F419" s="300"/>
      <c r="G419" s="300"/>
      <c r="H419" s="300"/>
      <c r="I419" s="300"/>
      <c r="J419" s="300"/>
      <c r="K419" s="300"/>
      <c r="L419" s="300"/>
      <c r="M419" s="300"/>
      <c r="N419" s="300"/>
      <c r="O419" s="300"/>
      <c r="P419" s="300"/>
      <c r="Q419" s="300"/>
      <c r="R419" s="300"/>
      <c r="S419" s="300"/>
      <c r="T419" s="300"/>
      <c r="U419" s="300"/>
      <c r="V419" s="300"/>
      <c r="W419" s="300"/>
      <c r="X419" s="300"/>
    </row>
    <row r="420">
      <c r="A420" s="300"/>
      <c r="B420" s="300"/>
      <c r="C420" s="300"/>
      <c r="D420" s="300"/>
      <c r="E420" s="300"/>
      <c r="F420" s="300"/>
      <c r="G420" s="300"/>
      <c r="H420" s="300"/>
      <c r="I420" s="300"/>
      <c r="J420" s="300"/>
      <c r="K420" s="300"/>
      <c r="L420" s="300"/>
      <c r="M420" s="300"/>
      <c r="N420" s="300"/>
      <c r="O420" s="300"/>
      <c r="P420" s="300"/>
      <c r="Q420" s="300"/>
      <c r="R420" s="300"/>
      <c r="S420" s="300"/>
      <c r="T420" s="300"/>
      <c r="U420" s="300"/>
      <c r="V420" s="300"/>
      <c r="W420" s="300"/>
      <c r="X420" s="300"/>
    </row>
    <row r="421">
      <c r="A421" s="300"/>
      <c r="B421" s="300"/>
      <c r="C421" s="300"/>
      <c r="D421" s="300"/>
      <c r="E421" s="300"/>
      <c r="F421" s="300"/>
      <c r="G421" s="300"/>
      <c r="H421" s="300"/>
      <c r="I421" s="300"/>
      <c r="J421" s="300"/>
      <c r="K421" s="300"/>
      <c r="L421" s="300"/>
      <c r="M421" s="300"/>
      <c r="N421" s="300"/>
      <c r="O421" s="300"/>
      <c r="P421" s="300"/>
      <c r="Q421" s="300"/>
      <c r="R421" s="300"/>
      <c r="S421" s="300"/>
      <c r="T421" s="300"/>
      <c r="U421" s="300"/>
      <c r="V421" s="300"/>
      <c r="W421" s="300"/>
      <c r="X421" s="300"/>
    </row>
    <row r="422">
      <c r="A422" s="300"/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</row>
    <row r="423">
      <c r="A423" s="300"/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  <c r="Q423" s="300"/>
      <c r="R423" s="300"/>
      <c r="S423" s="300"/>
      <c r="T423" s="300"/>
      <c r="U423" s="300"/>
      <c r="V423" s="300"/>
      <c r="W423" s="300"/>
      <c r="X423" s="300"/>
    </row>
    <row r="424">
      <c r="A424" s="300"/>
      <c r="B424" s="300"/>
      <c r="C424" s="300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  <c r="O424" s="300"/>
      <c r="P424" s="300"/>
      <c r="Q424" s="300"/>
      <c r="R424" s="300"/>
      <c r="S424" s="300"/>
      <c r="T424" s="300"/>
      <c r="U424" s="300"/>
      <c r="V424" s="300"/>
      <c r="W424" s="300"/>
      <c r="X424" s="300"/>
    </row>
    <row r="425">
      <c r="A425" s="300"/>
      <c r="B425" s="300"/>
      <c r="C425" s="300"/>
      <c r="D425" s="300"/>
      <c r="E425" s="300"/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300"/>
      <c r="S425" s="300"/>
      <c r="T425" s="300"/>
      <c r="U425" s="300"/>
      <c r="V425" s="300"/>
      <c r="W425" s="300"/>
      <c r="X425" s="300"/>
    </row>
    <row r="426">
      <c r="A426" s="300"/>
      <c r="B426" s="300"/>
      <c r="C426" s="300"/>
      <c r="D426" s="300"/>
      <c r="E426" s="300"/>
      <c r="F426" s="300"/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300"/>
      <c r="S426" s="300"/>
      <c r="T426" s="300"/>
      <c r="U426" s="300"/>
      <c r="V426" s="300"/>
      <c r="W426" s="300"/>
      <c r="X426" s="300"/>
    </row>
    <row r="427">
      <c r="A427" s="300"/>
      <c r="B427" s="300"/>
      <c r="C427" s="300"/>
      <c r="D427" s="300"/>
      <c r="E427" s="300"/>
      <c r="F427" s="300"/>
      <c r="G427" s="300"/>
      <c r="H427" s="300"/>
      <c r="I427" s="300"/>
      <c r="J427" s="300"/>
      <c r="K427" s="300"/>
      <c r="L427" s="300"/>
      <c r="M427" s="300"/>
      <c r="N427" s="300"/>
      <c r="O427" s="300"/>
      <c r="P427" s="300"/>
      <c r="Q427" s="300"/>
      <c r="R427" s="300"/>
      <c r="S427" s="300"/>
      <c r="T427" s="300"/>
      <c r="U427" s="300"/>
      <c r="V427" s="300"/>
      <c r="W427" s="300"/>
      <c r="X427" s="300"/>
    </row>
    <row r="428">
      <c r="A428" s="300"/>
      <c r="B428" s="300"/>
      <c r="C428" s="300"/>
      <c r="D428" s="300"/>
      <c r="E428" s="300"/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300"/>
      <c r="S428" s="300"/>
      <c r="T428" s="300"/>
      <c r="U428" s="300"/>
      <c r="V428" s="300"/>
      <c r="W428" s="300"/>
      <c r="X428" s="300"/>
    </row>
    <row r="429">
      <c r="A429" s="300"/>
      <c r="B429" s="300"/>
      <c r="C429" s="300"/>
      <c r="D429" s="300"/>
      <c r="E429" s="300"/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300"/>
      <c r="S429" s="300"/>
      <c r="T429" s="300"/>
      <c r="U429" s="300"/>
      <c r="V429" s="300"/>
      <c r="W429" s="300"/>
      <c r="X429" s="300"/>
    </row>
    <row r="430">
      <c r="A430" s="300"/>
      <c r="B430" s="300"/>
      <c r="C430" s="300"/>
      <c r="D430" s="300"/>
      <c r="E430" s="300"/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300"/>
      <c r="S430" s="300"/>
      <c r="T430" s="300"/>
      <c r="U430" s="300"/>
      <c r="V430" s="300"/>
      <c r="W430" s="300"/>
      <c r="X430" s="300"/>
    </row>
    <row r="431">
      <c r="A431" s="300"/>
      <c r="B431" s="300"/>
      <c r="C431" s="300"/>
      <c r="D431" s="300"/>
      <c r="E431" s="300"/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0"/>
      <c r="S431" s="300"/>
      <c r="T431" s="300"/>
      <c r="U431" s="300"/>
      <c r="V431" s="300"/>
      <c r="W431" s="300"/>
      <c r="X431" s="300"/>
    </row>
    <row r="432">
      <c r="A432" s="300"/>
      <c r="B432" s="300"/>
      <c r="C432" s="300"/>
      <c r="D432" s="300"/>
      <c r="E432" s="300"/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0"/>
      <c r="S432" s="300"/>
      <c r="T432" s="300"/>
      <c r="U432" s="300"/>
      <c r="V432" s="300"/>
      <c r="W432" s="300"/>
      <c r="X432" s="300"/>
    </row>
    <row r="433">
      <c r="A433" s="300"/>
      <c r="B433" s="300"/>
      <c r="C433" s="300"/>
      <c r="D433" s="300"/>
      <c r="E433" s="300"/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300"/>
      <c r="S433" s="300"/>
      <c r="T433" s="300"/>
      <c r="U433" s="300"/>
      <c r="V433" s="300"/>
      <c r="W433" s="300"/>
      <c r="X433" s="300"/>
    </row>
    <row r="434">
      <c r="A434" s="300"/>
      <c r="B434" s="300"/>
      <c r="C434" s="300"/>
      <c r="D434" s="300"/>
      <c r="E434" s="300"/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  <c r="T434" s="300"/>
      <c r="U434" s="300"/>
      <c r="V434" s="300"/>
      <c r="W434" s="300"/>
      <c r="X434" s="300"/>
    </row>
    <row r="435">
      <c r="A435" s="300"/>
      <c r="B435" s="300"/>
      <c r="C435" s="300"/>
      <c r="D435" s="300"/>
      <c r="E435" s="300"/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  <c r="T435" s="300"/>
      <c r="U435" s="300"/>
      <c r="V435" s="300"/>
      <c r="W435" s="300"/>
      <c r="X435" s="300"/>
    </row>
    <row r="436">
      <c r="A436" s="300"/>
      <c r="B436" s="300"/>
      <c r="C436" s="300"/>
      <c r="D436" s="300"/>
      <c r="E436" s="300"/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300"/>
      <c r="S436" s="300"/>
      <c r="T436" s="300"/>
      <c r="U436" s="300"/>
      <c r="V436" s="300"/>
      <c r="W436" s="300"/>
      <c r="X436" s="300"/>
    </row>
    <row r="437">
      <c r="A437" s="300"/>
      <c r="B437" s="300"/>
      <c r="C437" s="300"/>
      <c r="D437" s="300"/>
      <c r="E437" s="300"/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300"/>
      <c r="S437" s="300"/>
      <c r="T437" s="300"/>
      <c r="U437" s="300"/>
      <c r="V437" s="300"/>
      <c r="W437" s="300"/>
      <c r="X437" s="300"/>
    </row>
    <row r="438">
      <c r="A438" s="300"/>
      <c r="B438" s="300"/>
      <c r="C438" s="300"/>
      <c r="D438" s="300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  <c r="T438" s="300"/>
      <c r="U438" s="300"/>
      <c r="V438" s="300"/>
      <c r="W438" s="300"/>
      <c r="X438" s="300"/>
    </row>
    <row r="439">
      <c r="A439" s="300"/>
      <c r="B439" s="300"/>
      <c r="C439" s="300"/>
      <c r="D439" s="300"/>
      <c r="E439" s="300"/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300"/>
      <c r="S439" s="300"/>
      <c r="T439" s="300"/>
      <c r="U439" s="300"/>
      <c r="V439" s="300"/>
      <c r="W439" s="300"/>
      <c r="X439" s="300"/>
    </row>
    <row r="440">
      <c r="A440" s="300"/>
      <c r="B440" s="300"/>
      <c r="C440" s="300"/>
      <c r="D440" s="300"/>
      <c r="E440" s="300"/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300"/>
      <c r="S440" s="300"/>
      <c r="T440" s="300"/>
      <c r="U440" s="300"/>
      <c r="V440" s="300"/>
      <c r="W440" s="300"/>
      <c r="X440" s="300"/>
    </row>
    <row r="441">
      <c r="A441" s="300"/>
      <c r="B441" s="300"/>
      <c r="C441" s="300"/>
      <c r="D441" s="300"/>
      <c r="E441" s="300"/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300"/>
      <c r="S441" s="300"/>
      <c r="T441" s="300"/>
      <c r="U441" s="300"/>
      <c r="V441" s="300"/>
      <c r="W441" s="300"/>
      <c r="X441" s="300"/>
    </row>
    <row r="442">
      <c r="A442" s="300"/>
      <c r="B442" s="300"/>
      <c r="C442" s="300"/>
      <c r="D442" s="300"/>
      <c r="E442" s="300"/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300"/>
      <c r="S442" s="300"/>
      <c r="T442" s="300"/>
      <c r="U442" s="300"/>
      <c r="V442" s="300"/>
      <c r="W442" s="300"/>
      <c r="X442" s="300"/>
    </row>
    <row r="443">
      <c r="A443" s="300"/>
      <c r="B443" s="300"/>
      <c r="C443" s="300"/>
      <c r="D443" s="300"/>
      <c r="E443" s="300"/>
      <c r="F443" s="300"/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300"/>
      <c r="S443" s="300"/>
      <c r="T443" s="300"/>
      <c r="U443" s="300"/>
      <c r="V443" s="300"/>
      <c r="W443" s="300"/>
      <c r="X443" s="300"/>
    </row>
    <row r="444">
      <c r="A444" s="300"/>
      <c r="B444" s="300"/>
      <c r="C444" s="300"/>
      <c r="D444" s="300"/>
      <c r="E444" s="300"/>
      <c r="F444" s="300"/>
      <c r="G444" s="300"/>
      <c r="H444" s="300"/>
      <c r="I444" s="300"/>
      <c r="J444" s="300"/>
      <c r="K444" s="300"/>
      <c r="L444" s="300"/>
      <c r="M444" s="300"/>
      <c r="N444" s="300"/>
      <c r="O444" s="300"/>
      <c r="P444" s="300"/>
      <c r="Q444" s="300"/>
      <c r="R444" s="300"/>
      <c r="S444" s="300"/>
      <c r="T444" s="300"/>
      <c r="U444" s="300"/>
      <c r="V444" s="300"/>
      <c r="W444" s="300"/>
      <c r="X444" s="300"/>
    </row>
    <row r="445">
      <c r="A445" s="300"/>
      <c r="B445" s="300"/>
      <c r="C445" s="300"/>
      <c r="D445" s="300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  <c r="T445" s="300"/>
      <c r="U445" s="300"/>
      <c r="V445" s="300"/>
      <c r="W445" s="300"/>
      <c r="X445" s="300"/>
    </row>
    <row r="446">
      <c r="A446" s="300"/>
      <c r="B446" s="300"/>
      <c r="C446" s="300"/>
      <c r="D446" s="300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  <c r="T446" s="300"/>
      <c r="U446" s="300"/>
      <c r="V446" s="300"/>
      <c r="W446" s="300"/>
      <c r="X446" s="300"/>
    </row>
    <row r="447">
      <c r="A447" s="300"/>
      <c r="B447" s="300"/>
      <c r="C447" s="300"/>
      <c r="D447" s="300"/>
      <c r="E447" s="300"/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300"/>
      <c r="S447" s="300"/>
      <c r="T447" s="300"/>
      <c r="U447" s="300"/>
      <c r="V447" s="300"/>
      <c r="W447" s="300"/>
      <c r="X447" s="300"/>
    </row>
    <row r="448">
      <c r="A448" s="300"/>
      <c r="B448" s="300"/>
      <c r="C448" s="300"/>
      <c r="D448" s="300"/>
      <c r="E448" s="300"/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300"/>
      <c r="S448" s="300"/>
      <c r="T448" s="300"/>
      <c r="U448" s="300"/>
      <c r="V448" s="300"/>
      <c r="W448" s="300"/>
      <c r="X448" s="300"/>
    </row>
    <row r="449">
      <c r="A449" s="300"/>
      <c r="B449" s="300"/>
      <c r="C449" s="300"/>
      <c r="D449" s="300"/>
      <c r="E449" s="300"/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300"/>
      <c r="S449" s="300"/>
      <c r="T449" s="300"/>
      <c r="U449" s="300"/>
      <c r="V449" s="300"/>
      <c r="W449" s="300"/>
      <c r="X449" s="300"/>
    </row>
    <row r="450">
      <c r="A450" s="300"/>
      <c r="B450" s="300"/>
      <c r="C450" s="300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  <c r="S450" s="300"/>
      <c r="T450" s="300"/>
      <c r="U450" s="300"/>
      <c r="V450" s="300"/>
      <c r="W450" s="300"/>
      <c r="X450" s="300"/>
    </row>
    <row r="451">
      <c r="A451" s="300"/>
      <c r="B451" s="300"/>
      <c r="C451" s="300"/>
      <c r="D451" s="300"/>
      <c r="E451" s="300"/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300"/>
      <c r="S451" s="300"/>
      <c r="T451" s="300"/>
      <c r="U451" s="300"/>
      <c r="V451" s="300"/>
      <c r="W451" s="300"/>
      <c r="X451" s="300"/>
    </row>
    <row r="452">
      <c r="A452" s="300"/>
      <c r="B452" s="300"/>
      <c r="C452" s="300"/>
      <c r="D452" s="300"/>
      <c r="E452" s="300"/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300"/>
      <c r="S452" s="300"/>
      <c r="T452" s="300"/>
      <c r="U452" s="300"/>
      <c r="V452" s="300"/>
      <c r="W452" s="300"/>
      <c r="X452" s="300"/>
    </row>
    <row r="453">
      <c r="A453" s="300"/>
      <c r="B453" s="300"/>
      <c r="C453" s="300"/>
      <c r="D453" s="300"/>
      <c r="E453" s="300"/>
      <c r="F453" s="300"/>
      <c r="G453" s="300"/>
      <c r="H453" s="300"/>
      <c r="I453" s="300"/>
      <c r="J453" s="300"/>
      <c r="K453" s="300"/>
      <c r="L453" s="300"/>
      <c r="M453" s="300"/>
      <c r="N453" s="300"/>
      <c r="O453" s="300"/>
      <c r="P453" s="300"/>
      <c r="Q453" s="300"/>
      <c r="R453" s="300"/>
      <c r="S453" s="300"/>
      <c r="T453" s="300"/>
      <c r="U453" s="300"/>
      <c r="V453" s="300"/>
      <c r="W453" s="300"/>
      <c r="X453" s="300"/>
    </row>
    <row r="454">
      <c r="A454" s="300"/>
      <c r="B454" s="300"/>
      <c r="C454" s="300"/>
      <c r="D454" s="300"/>
      <c r="E454" s="300"/>
      <c r="F454" s="300"/>
      <c r="G454" s="300"/>
      <c r="H454" s="300"/>
      <c r="I454" s="300"/>
      <c r="J454" s="300"/>
      <c r="K454" s="300"/>
      <c r="L454" s="300"/>
      <c r="M454" s="300"/>
      <c r="N454" s="300"/>
      <c r="O454" s="300"/>
      <c r="P454" s="300"/>
      <c r="Q454" s="300"/>
      <c r="R454" s="300"/>
      <c r="S454" s="300"/>
      <c r="T454" s="300"/>
      <c r="U454" s="300"/>
      <c r="V454" s="300"/>
      <c r="W454" s="300"/>
      <c r="X454" s="300"/>
    </row>
    <row r="455">
      <c r="A455" s="300"/>
      <c r="B455" s="300"/>
      <c r="C455" s="300"/>
      <c r="D455" s="300"/>
      <c r="E455" s="300"/>
      <c r="F455" s="300"/>
      <c r="G455" s="300"/>
      <c r="H455" s="300"/>
      <c r="I455" s="300"/>
      <c r="J455" s="300"/>
      <c r="K455" s="300"/>
      <c r="L455" s="300"/>
      <c r="M455" s="300"/>
      <c r="N455" s="300"/>
      <c r="O455" s="300"/>
      <c r="P455" s="300"/>
      <c r="Q455" s="300"/>
      <c r="R455" s="300"/>
      <c r="S455" s="300"/>
      <c r="T455" s="300"/>
      <c r="U455" s="300"/>
      <c r="V455" s="300"/>
      <c r="W455" s="300"/>
      <c r="X455" s="300"/>
    </row>
    <row r="456">
      <c r="A456" s="300"/>
      <c r="B456" s="300"/>
      <c r="C456" s="300"/>
      <c r="D456" s="300"/>
      <c r="E456" s="300"/>
      <c r="F456" s="300"/>
      <c r="G456" s="300"/>
      <c r="H456" s="300"/>
      <c r="I456" s="300"/>
      <c r="J456" s="300"/>
      <c r="K456" s="300"/>
      <c r="L456" s="300"/>
      <c r="M456" s="300"/>
      <c r="N456" s="300"/>
      <c r="O456" s="300"/>
      <c r="P456" s="300"/>
      <c r="Q456" s="300"/>
      <c r="R456" s="300"/>
      <c r="S456" s="300"/>
      <c r="T456" s="300"/>
      <c r="U456" s="300"/>
      <c r="V456" s="300"/>
      <c r="W456" s="300"/>
      <c r="X456" s="300"/>
    </row>
    <row r="457">
      <c r="A457" s="300"/>
      <c r="B457" s="300"/>
      <c r="C457" s="300"/>
      <c r="D457" s="300"/>
      <c r="E457" s="300"/>
      <c r="F457" s="300"/>
      <c r="G457" s="300"/>
      <c r="H457" s="300"/>
      <c r="I457" s="300"/>
      <c r="J457" s="300"/>
      <c r="K457" s="300"/>
      <c r="L457" s="300"/>
      <c r="M457" s="300"/>
      <c r="N457" s="300"/>
      <c r="O457" s="300"/>
      <c r="P457" s="300"/>
      <c r="Q457" s="300"/>
      <c r="R457" s="300"/>
      <c r="S457" s="300"/>
      <c r="T457" s="300"/>
      <c r="U457" s="300"/>
      <c r="V457" s="300"/>
      <c r="W457" s="300"/>
      <c r="X457" s="300"/>
    </row>
    <row r="458">
      <c r="A458" s="300"/>
      <c r="B458" s="300"/>
      <c r="C458" s="300"/>
      <c r="D458" s="300"/>
      <c r="E458" s="300"/>
      <c r="F458" s="300"/>
      <c r="G458" s="300"/>
      <c r="H458" s="300"/>
      <c r="I458" s="300"/>
      <c r="J458" s="300"/>
      <c r="K458" s="300"/>
      <c r="L458" s="300"/>
      <c r="M458" s="300"/>
      <c r="N458" s="300"/>
      <c r="O458" s="300"/>
      <c r="P458" s="300"/>
      <c r="Q458" s="300"/>
      <c r="R458" s="300"/>
      <c r="S458" s="300"/>
      <c r="T458" s="300"/>
      <c r="U458" s="300"/>
      <c r="V458" s="300"/>
      <c r="W458" s="300"/>
      <c r="X458" s="300"/>
    </row>
    <row r="459">
      <c r="A459" s="300"/>
      <c r="B459" s="300"/>
      <c r="C459" s="300"/>
      <c r="D459" s="300"/>
      <c r="E459" s="300"/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300"/>
      <c r="S459" s="300"/>
      <c r="T459" s="300"/>
      <c r="U459" s="300"/>
      <c r="V459" s="300"/>
      <c r="W459" s="300"/>
      <c r="X459" s="300"/>
    </row>
    <row r="460">
      <c r="A460" s="300"/>
      <c r="B460" s="300"/>
      <c r="C460" s="300"/>
      <c r="D460" s="300"/>
      <c r="E460" s="300"/>
      <c r="F460" s="300"/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300"/>
      <c r="S460" s="300"/>
      <c r="T460" s="300"/>
      <c r="U460" s="300"/>
      <c r="V460" s="300"/>
      <c r="W460" s="300"/>
      <c r="X460" s="300"/>
    </row>
    <row r="461">
      <c r="A461" s="300"/>
      <c r="B461" s="300"/>
      <c r="C461" s="300"/>
      <c r="D461" s="300"/>
      <c r="E461" s="300"/>
      <c r="F461" s="300"/>
      <c r="G461" s="300"/>
      <c r="H461" s="300"/>
      <c r="I461" s="300"/>
      <c r="J461" s="300"/>
      <c r="K461" s="300"/>
      <c r="L461" s="300"/>
      <c r="M461" s="300"/>
      <c r="N461" s="300"/>
      <c r="O461" s="300"/>
      <c r="P461" s="300"/>
      <c r="Q461" s="300"/>
      <c r="R461" s="300"/>
      <c r="S461" s="300"/>
      <c r="T461" s="300"/>
      <c r="U461" s="300"/>
      <c r="V461" s="300"/>
      <c r="W461" s="300"/>
      <c r="X461" s="300"/>
    </row>
    <row r="462">
      <c r="A462" s="300"/>
      <c r="B462" s="300"/>
      <c r="C462" s="300"/>
      <c r="D462" s="300"/>
      <c r="E462" s="300"/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300"/>
      <c r="S462" s="300"/>
      <c r="T462" s="300"/>
      <c r="U462" s="300"/>
      <c r="V462" s="300"/>
      <c r="W462" s="300"/>
      <c r="X462" s="300"/>
    </row>
    <row r="463">
      <c r="A463" s="300"/>
      <c r="B463" s="300"/>
      <c r="C463" s="300"/>
      <c r="D463" s="300"/>
      <c r="E463" s="300"/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300"/>
      <c r="S463" s="300"/>
      <c r="T463" s="300"/>
      <c r="U463" s="300"/>
      <c r="V463" s="300"/>
      <c r="W463" s="300"/>
      <c r="X463" s="300"/>
    </row>
    <row r="464">
      <c r="A464" s="300"/>
      <c r="B464" s="300"/>
      <c r="C464" s="300"/>
      <c r="D464" s="300"/>
      <c r="E464" s="300"/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300"/>
      <c r="S464" s="300"/>
      <c r="T464" s="300"/>
      <c r="U464" s="300"/>
      <c r="V464" s="300"/>
      <c r="W464" s="300"/>
      <c r="X464" s="300"/>
    </row>
    <row r="465">
      <c r="A465" s="300"/>
      <c r="B465" s="300"/>
      <c r="C465" s="300"/>
      <c r="D465" s="300"/>
      <c r="E465" s="300"/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0"/>
      <c r="S465" s="300"/>
      <c r="T465" s="300"/>
      <c r="U465" s="300"/>
      <c r="V465" s="300"/>
      <c r="W465" s="300"/>
      <c r="X465" s="300"/>
    </row>
    <row r="466">
      <c r="A466" s="300"/>
      <c r="B466" s="300"/>
      <c r="C466" s="300"/>
      <c r="D466" s="300"/>
      <c r="E466" s="300"/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0"/>
      <c r="S466" s="300"/>
      <c r="T466" s="300"/>
      <c r="U466" s="300"/>
      <c r="V466" s="300"/>
      <c r="W466" s="300"/>
      <c r="X466" s="300"/>
    </row>
    <row r="467">
      <c r="A467" s="300"/>
      <c r="B467" s="300"/>
      <c r="C467" s="300"/>
      <c r="D467" s="300"/>
      <c r="E467" s="300"/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300"/>
      <c r="S467" s="300"/>
      <c r="T467" s="300"/>
      <c r="U467" s="300"/>
      <c r="V467" s="300"/>
      <c r="W467" s="300"/>
      <c r="X467" s="300"/>
    </row>
    <row r="468">
      <c r="A468" s="300"/>
      <c r="B468" s="300"/>
      <c r="C468" s="300"/>
      <c r="D468" s="300"/>
      <c r="E468" s="300"/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  <c r="T468" s="300"/>
      <c r="U468" s="300"/>
      <c r="V468" s="300"/>
      <c r="W468" s="300"/>
      <c r="X468" s="300"/>
    </row>
    <row r="469">
      <c r="A469" s="300"/>
      <c r="B469" s="300"/>
      <c r="C469" s="300"/>
      <c r="D469" s="300"/>
      <c r="E469" s="300"/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  <c r="T469" s="300"/>
      <c r="U469" s="300"/>
      <c r="V469" s="300"/>
      <c r="W469" s="300"/>
      <c r="X469" s="300"/>
    </row>
    <row r="470">
      <c r="A470" s="300"/>
      <c r="B470" s="300"/>
      <c r="C470" s="300"/>
      <c r="D470" s="300"/>
      <c r="E470" s="300"/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300"/>
      <c r="S470" s="300"/>
      <c r="T470" s="300"/>
      <c r="U470" s="300"/>
      <c r="V470" s="300"/>
      <c r="W470" s="300"/>
      <c r="X470" s="300"/>
    </row>
    <row r="471">
      <c r="A471" s="300"/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</row>
    <row r="472">
      <c r="A472" s="300"/>
      <c r="B472" s="300"/>
      <c r="C472" s="300"/>
      <c r="D472" s="300"/>
      <c r="E472" s="300"/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300"/>
      <c r="S472" s="300"/>
      <c r="T472" s="300"/>
      <c r="U472" s="300"/>
      <c r="V472" s="300"/>
      <c r="W472" s="300"/>
      <c r="X472" s="300"/>
    </row>
    <row r="473">
      <c r="A473" s="300"/>
      <c r="B473" s="300"/>
      <c r="C473" s="300"/>
      <c r="D473" s="300"/>
      <c r="E473" s="300"/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300"/>
      <c r="S473" s="300"/>
      <c r="T473" s="300"/>
      <c r="U473" s="300"/>
      <c r="V473" s="300"/>
      <c r="W473" s="300"/>
      <c r="X473" s="300"/>
    </row>
    <row r="474">
      <c r="A474" s="300"/>
      <c r="B474" s="300"/>
      <c r="C474" s="300"/>
      <c r="D474" s="300"/>
      <c r="E474" s="300"/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300"/>
      <c r="S474" s="300"/>
      <c r="T474" s="300"/>
      <c r="U474" s="300"/>
      <c r="V474" s="300"/>
      <c r="W474" s="300"/>
      <c r="X474" s="300"/>
    </row>
    <row r="475">
      <c r="A475" s="300"/>
      <c r="B475" s="300"/>
      <c r="C475" s="300"/>
      <c r="D475" s="300"/>
      <c r="E475" s="300"/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300"/>
      <c r="S475" s="300"/>
      <c r="T475" s="300"/>
      <c r="U475" s="300"/>
      <c r="V475" s="300"/>
      <c r="W475" s="300"/>
      <c r="X475" s="300"/>
    </row>
    <row r="476">
      <c r="A476" s="300"/>
      <c r="B476" s="300"/>
      <c r="C476" s="300"/>
      <c r="D476" s="300"/>
      <c r="E476" s="300"/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300"/>
      <c r="S476" s="300"/>
      <c r="T476" s="300"/>
      <c r="U476" s="300"/>
      <c r="V476" s="300"/>
      <c r="W476" s="300"/>
      <c r="X476" s="300"/>
    </row>
    <row r="477">
      <c r="A477" s="300"/>
      <c r="B477" s="300"/>
      <c r="C477" s="300"/>
      <c r="D477" s="300"/>
      <c r="E477" s="300"/>
      <c r="F477" s="300"/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300"/>
      <c r="S477" s="300"/>
      <c r="T477" s="300"/>
      <c r="U477" s="300"/>
      <c r="V477" s="300"/>
      <c r="W477" s="300"/>
      <c r="X477" s="300"/>
    </row>
    <row r="478">
      <c r="A478" s="300"/>
      <c r="B478" s="300"/>
      <c r="C478" s="300"/>
      <c r="D478" s="300"/>
      <c r="E478" s="300"/>
      <c r="F478" s="300"/>
      <c r="G478" s="300"/>
      <c r="H478" s="300"/>
      <c r="I478" s="300"/>
      <c r="J478" s="300"/>
      <c r="K478" s="300"/>
      <c r="L478" s="300"/>
      <c r="M478" s="300"/>
      <c r="N478" s="300"/>
      <c r="O478" s="300"/>
      <c r="P478" s="300"/>
      <c r="Q478" s="300"/>
      <c r="R478" s="300"/>
      <c r="S478" s="300"/>
      <c r="T478" s="300"/>
      <c r="U478" s="300"/>
      <c r="V478" s="300"/>
      <c r="W478" s="300"/>
      <c r="X478" s="300"/>
    </row>
    <row r="479">
      <c r="A479" s="300"/>
      <c r="B479" s="300"/>
      <c r="C479" s="300"/>
      <c r="D479" s="300"/>
      <c r="E479" s="300"/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300"/>
      <c r="S479" s="300"/>
      <c r="T479" s="300"/>
      <c r="U479" s="300"/>
      <c r="V479" s="300"/>
      <c r="W479" s="300"/>
      <c r="X479" s="300"/>
    </row>
    <row r="480">
      <c r="A480" s="300"/>
      <c r="B480" s="300"/>
      <c r="C480" s="300"/>
      <c r="D480" s="300"/>
      <c r="E480" s="300"/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300"/>
      <c r="S480" s="300"/>
      <c r="T480" s="300"/>
      <c r="U480" s="300"/>
      <c r="V480" s="300"/>
      <c r="W480" s="300"/>
      <c r="X480" s="300"/>
    </row>
    <row r="481">
      <c r="A481" s="300"/>
      <c r="B481" s="300"/>
      <c r="C481" s="300"/>
      <c r="D481" s="300"/>
      <c r="E481" s="300"/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300"/>
      <c r="S481" s="300"/>
      <c r="T481" s="300"/>
      <c r="U481" s="300"/>
      <c r="V481" s="300"/>
      <c r="W481" s="300"/>
      <c r="X481" s="300"/>
    </row>
    <row r="482">
      <c r="A482" s="300"/>
      <c r="B482" s="300"/>
      <c r="C482" s="300"/>
      <c r="D482" s="300"/>
      <c r="E482" s="300"/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300"/>
      <c r="S482" s="300"/>
      <c r="T482" s="300"/>
      <c r="U482" s="300"/>
      <c r="V482" s="300"/>
      <c r="W482" s="300"/>
      <c r="X482" s="300"/>
    </row>
    <row r="483">
      <c r="A483" s="300"/>
      <c r="B483" s="300"/>
      <c r="C483" s="300"/>
      <c r="D483" s="300"/>
      <c r="E483" s="300"/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300"/>
      <c r="S483" s="300"/>
      <c r="T483" s="300"/>
      <c r="U483" s="300"/>
      <c r="V483" s="300"/>
      <c r="W483" s="300"/>
      <c r="X483" s="300"/>
    </row>
    <row r="484">
      <c r="A484" s="300"/>
      <c r="B484" s="300"/>
      <c r="C484" s="300"/>
      <c r="D484" s="300"/>
      <c r="E484" s="300"/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300"/>
      <c r="S484" s="300"/>
      <c r="T484" s="300"/>
      <c r="U484" s="300"/>
      <c r="V484" s="300"/>
      <c r="W484" s="300"/>
      <c r="X484" s="300"/>
    </row>
    <row r="485">
      <c r="A485" s="300"/>
      <c r="B485" s="300"/>
      <c r="C485" s="300"/>
      <c r="D485" s="300"/>
      <c r="E485" s="300"/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300"/>
      <c r="S485" s="300"/>
      <c r="T485" s="300"/>
      <c r="U485" s="300"/>
      <c r="V485" s="300"/>
      <c r="W485" s="300"/>
      <c r="X485" s="300"/>
    </row>
    <row r="486">
      <c r="A486" s="300"/>
      <c r="B486" s="300"/>
      <c r="C486" s="300"/>
      <c r="D486" s="300"/>
      <c r="E486" s="300"/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300"/>
      <c r="S486" s="300"/>
      <c r="T486" s="300"/>
      <c r="U486" s="300"/>
      <c r="V486" s="300"/>
      <c r="W486" s="300"/>
      <c r="X486" s="300"/>
    </row>
    <row r="487">
      <c r="A487" s="300"/>
      <c r="B487" s="300"/>
      <c r="C487" s="300"/>
      <c r="D487" s="300"/>
      <c r="E487" s="300"/>
      <c r="F487" s="300"/>
      <c r="G487" s="300"/>
      <c r="H487" s="300"/>
      <c r="I487" s="300"/>
      <c r="J487" s="300"/>
      <c r="K487" s="300"/>
      <c r="L487" s="300"/>
      <c r="M487" s="300"/>
      <c r="N487" s="300"/>
      <c r="O487" s="300"/>
      <c r="P487" s="300"/>
      <c r="Q487" s="300"/>
      <c r="R487" s="300"/>
      <c r="S487" s="300"/>
      <c r="T487" s="300"/>
      <c r="U487" s="300"/>
      <c r="V487" s="300"/>
      <c r="W487" s="300"/>
      <c r="X487" s="300"/>
    </row>
    <row r="488">
      <c r="A488" s="300"/>
      <c r="B488" s="300"/>
      <c r="C488" s="300"/>
      <c r="D488" s="300"/>
      <c r="E488" s="300"/>
      <c r="F488" s="300"/>
      <c r="G488" s="300"/>
      <c r="H488" s="300"/>
      <c r="I488" s="300"/>
      <c r="J488" s="300"/>
      <c r="K488" s="300"/>
      <c r="L488" s="300"/>
      <c r="M488" s="300"/>
      <c r="N488" s="300"/>
      <c r="O488" s="300"/>
      <c r="P488" s="300"/>
      <c r="Q488" s="300"/>
      <c r="R488" s="300"/>
      <c r="S488" s="300"/>
      <c r="T488" s="300"/>
      <c r="U488" s="300"/>
      <c r="V488" s="300"/>
      <c r="W488" s="300"/>
      <c r="X488" s="300"/>
    </row>
    <row r="489">
      <c r="A489" s="300"/>
      <c r="B489" s="300"/>
      <c r="C489" s="300"/>
      <c r="D489" s="300"/>
      <c r="E489" s="300"/>
      <c r="F489" s="300"/>
      <c r="G489" s="300"/>
      <c r="H489" s="300"/>
      <c r="I489" s="300"/>
      <c r="J489" s="300"/>
      <c r="K489" s="300"/>
      <c r="L489" s="300"/>
      <c r="M489" s="300"/>
      <c r="N489" s="300"/>
      <c r="O489" s="300"/>
      <c r="P489" s="300"/>
      <c r="Q489" s="300"/>
      <c r="R489" s="300"/>
      <c r="S489" s="300"/>
      <c r="T489" s="300"/>
      <c r="U489" s="300"/>
      <c r="V489" s="300"/>
      <c r="W489" s="300"/>
      <c r="X489" s="300"/>
    </row>
    <row r="490">
      <c r="A490" s="300"/>
      <c r="B490" s="300"/>
      <c r="C490" s="300"/>
      <c r="D490" s="300"/>
      <c r="E490" s="300"/>
      <c r="F490" s="300"/>
      <c r="G490" s="300"/>
      <c r="H490" s="300"/>
      <c r="I490" s="300"/>
      <c r="J490" s="300"/>
      <c r="K490" s="300"/>
      <c r="L490" s="300"/>
      <c r="M490" s="300"/>
      <c r="N490" s="300"/>
      <c r="O490" s="300"/>
      <c r="P490" s="300"/>
      <c r="Q490" s="300"/>
      <c r="R490" s="300"/>
      <c r="S490" s="300"/>
      <c r="T490" s="300"/>
      <c r="U490" s="300"/>
      <c r="V490" s="300"/>
      <c r="W490" s="300"/>
      <c r="X490" s="300"/>
    </row>
    <row r="491">
      <c r="A491" s="300"/>
      <c r="B491" s="300"/>
      <c r="C491" s="300"/>
      <c r="D491" s="300"/>
      <c r="E491" s="300"/>
      <c r="F491" s="300"/>
      <c r="G491" s="300"/>
      <c r="H491" s="300"/>
      <c r="I491" s="300"/>
      <c r="J491" s="300"/>
      <c r="K491" s="300"/>
      <c r="L491" s="300"/>
      <c r="M491" s="300"/>
      <c r="N491" s="300"/>
      <c r="O491" s="300"/>
      <c r="P491" s="300"/>
      <c r="Q491" s="300"/>
      <c r="R491" s="300"/>
      <c r="S491" s="300"/>
      <c r="T491" s="300"/>
      <c r="U491" s="300"/>
      <c r="V491" s="300"/>
      <c r="W491" s="300"/>
      <c r="X491" s="300"/>
    </row>
    <row r="492">
      <c r="A492" s="300"/>
      <c r="B492" s="300"/>
      <c r="C492" s="300"/>
      <c r="D492" s="300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</row>
    <row r="493">
      <c r="A493" s="300"/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300"/>
      <c r="X493" s="300"/>
    </row>
    <row r="494">
      <c r="A494" s="300"/>
      <c r="B494" s="300"/>
      <c r="C494" s="300"/>
      <c r="D494" s="300"/>
      <c r="E494" s="300"/>
      <c r="F494" s="300"/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300"/>
      <c r="S494" s="300"/>
      <c r="T494" s="300"/>
      <c r="U494" s="300"/>
      <c r="V494" s="300"/>
      <c r="W494" s="300"/>
      <c r="X494" s="300"/>
    </row>
    <row r="495">
      <c r="A495" s="300"/>
      <c r="B495" s="300"/>
      <c r="C495" s="300"/>
      <c r="D495" s="300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300"/>
      <c r="S495" s="300"/>
      <c r="T495" s="300"/>
      <c r="U495" s="300"/>
      <c r="V495" s="300"/>
      <c r="W495" s="300"/>
      <c r="X495" s="300"/>
    </row>
    <row r="496">
      <c r="A496" s="300"/>
      <c r="B496" s="300"/>
      <c r="C496" s="300"/>
      <c r="D496" s="300"/>
      <c r="E496" s="300"/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300"/>
      <c r="S496" s="300"/>
      <c r="T496" s="300"/>
      <c r="U496" s="300"/>
      <c r="V496" s="300"/>
      <c r="W496" s="300"/>
      <c r="X496" s="300"/>
    </row>
    <row r="497">
      <c r="A497" s="300"/>
      <c r="B497" s="300"/>
      <c r="C497" s="300"/>
      <c r="D497" s="300"/>
      <c r="E497" s="300"/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300"/>
      <c r="S497" s="300"/>
      <c r="T497" s="300"/>
      <c r="U497" s="300"/>
      <c r="V497" s="300"/>
      <c r="W497" s="300"/>
      <c r="X497" s="300"/>
    </row>
    <row r="498">
      <c r="A498" s="300"/>
      <c r="B498" s="300"/>
      <c r="C498" s="300"/>
      <c r="D498" s="300"/>
      <c r="E498" s="300"/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300"/>
      <c r="S498" s="300"/>
      <c r="T498" s="300"/>
      <c r="U498" s="300"/>
      <c r="V498" s="300"/>
      <c r="W498" s="300"/>
      <c r="X498" s="300"/>
    </row>
    <row r="499">
      <c r="A499" s="300"/>
      <c r="B499" s="300"/>
      <c r="C499" s="300"/>
      <c r="D499" s="300"/>
      <c r="E499" s="300"/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300"/>
      <c r="S499" s="300"/>
      <c r="T499" s="300"/>
      <c r="U499" s="300"/>
      <c r="V499" s="300"/>
      <c r="W499" s="300"/>
      <c r="X499" s="300"/>
    </row>
    <row r="500">
      <c r="A500" s="300"/>
      <c r="B500" s="300"/>
      <c r="C500" s="300"/>
      <c r="D500" s="300"/>
      <c r="E500" s="300"/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300"/>
      <c r="S500" s="300"/>
      <c r="T500" s="300"/>
      <c r="U500" s="300"/>
      <c r="V500" s="300"/>
      <c r="W500" s="300"/>
      <c r="X500" s="300"/>
    </row>
    <row r="501">
      <c r="A501" s="300"/>
      <c r="B501" s="300"/>
      <c r="C501" s="300"/>
      <c r="D501" s="300"/>
      <c r="E501" s="300"/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300"/>
      <c r="S501" s="300"/>
      <c r="T501" s="300"/>
      <c r="U501" s="300"/>
      <c r="V501" s="300"/>
      <c r="W501" s="300"/>
      <c r="X501" s="300"/>
    </row>
    <row r="502">
      <c r="A502" s="300"/>
      <c r="B502" s="300"/>
      <c r="C502" s="300"/>
      <c r="D502" s="300"/>
      <c r="E502" s="300"/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300"/>
      <c r="S502" s="300"/>
      <c r="T502" s="300"/>
      <c r="U502" s="300"/>
      <c r="V502" s="300"/>
      <c r="W502" s="300"/>
      <c r="X502" s="300"/>
    </row>
    <row r="503">
      <c r="A503" s="300"/>
      <c r="B503" s="300"/>
      <c r="C503" s="300"/>
      <c r="D503" s="300"/>
      <c r="E503" s="300"/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300"/>
      <c r="S503" s="300"/>
      <c r="T503" s="300"/>
      <c r="U503" s="300"/>
      <c r="V503" s="300"/>
      <c r="W503" s="300"/>
      <c r="X503" s="300"/>
    </row>
    <row r="504">
      <c r="A504" s="300"/>
      <c r="B504" s="300"/>
      <c r="C504" s="300"/>
      <c r="D504" s="300"/>
      <c r="E504" s="300"/>
      <c r="F504" s="300"/>
      <c r="G504" s="300"/>
      <c r="H504" s="300"/>
      <c r="I504" s="300"/>
      <c r="J504" s="300"/>
      <c r="K504" s="300"/>
      <c r="L504" s="300"/>
      <c r="M504" s="300"/>
      <c r="N504" s="300"/>
      <c r="O504" s="300"/>
      <c r="P504" s="300"/>
      <c r="Q504" s="300"/>
      <c r="R504" s="300"/>
      <c r="S504" s="300"/>
      <c r="T504" s="300"/>
      <c r="U504" s="300"/>
      <c r="V504" s="300"/>
      <c r="W504" s="300"/>
      <c r="X504" s="300"/>
    </row>
    <row r="505">
      <c r="A505" s="300"/>
      <c r="B505" s="300"/>
      <c r="C505" s="300"/>
      <c r="D505" s="300"/>
      <c r="E505" s="300"/>
      <c r="F505" s="300"/>
      <c r="G505" s="300"/>
      <c r="H505" s="300"/>
      <c r="I505" s="300"/>
      <c r="J505" s="300"/>
      <c r="K505" s="300"/>
      <c r="L505" s="300"/>
      <c r="M505" s="300"/>
      <c r="N505" s="300"/>
      <c r="O505" s="300"/>
      <c r="P505" s="300"/>
      <c r="Q505" s="300"/>
      <c r="R505" s="300"/>
      <c r="S505" s="300"/>
      <c r="T505" s="300"/>
      <c r="U505" s="300"/>
      <c r="V505" s="300"/>
      <c r="W505" s="300"/>
      <c r="X505" s="300"/>
    </row>
    <row r="506">
      <c r="A506" s="300"/>
      <c r="B506" s="300"/>
      <c r="C506" s="300"/>
      <c r="D506" s="300"/>
      <c r="E506" s="300"/>
      <c r="F506" s="300"/>
      <c r="G506" s="300"/>
      <c r="H506" s="300"/>
      <c r="I506" s="300"/>
      <c r="J506" s="300"/>
      <c r="K506" s="300"/>
      <c r="L506" s="300"/>
      <c r="M506" s="300"/>
      <c r="N506" s="300"/>
      <c r="O506" s="300"/>
      <c r="P506" s="300"/>
      <c r="Q506" s="300"/>
      <c r="R506" s="300"/>
      <c r="S506" s="300"/>
      <c r="T506" s="300"/>
      <c r="U506" s="300"/>
      <c r="V506" s="300"/>
      <c r="W506" s="300"/>
      <c r="X506" s="300"/>
    </row>
    <row r="507">
      <c r="A507" s="300"/>
      <c r="B507" s="300"/>
      <c r="C507" s="300"/>
      <c r="D507" s="300"/>
      <c r="E507" s="300"/>
      <c r="F507" s="300"/>
      <c r="G507" s="300"/>
      <c r="H507" s="300"/>
      <c r="I507" s="300"/>
      <c r="J507" s="300"/>
      <c r="K507" s="300"/>
      <c r="L507" s="300"/>
      <c r="M507" s="300"/>
      <c r="N507" s="300"/>
      <c r="O507" s="300"/>
      <c r="P507" s="300"/>
      <c r="Q507" s="300"/>
      <c r="R507" s="300"/>
      <c r="S507" s="300"/>
      <c r="T507" s="300"/>
      <c r="U507" s="300"/>
      <c r="V507" s="300"/>
      <c r="W507" s="300"/>
      <c r="X507" s="300"/>
    </row>
    <row r="508">
      <c r="A508" s="300"/>
      <c r="B508" s="300"/>
      <c r="C508" s="300"/>
      <c r="D508" s="300"/>
      <c r="E508" s="300"/>
      <c r="F508" s="300"/>
      <c r="G508" s="300"/>
      <c r="H508" s="300"/>
      <c r="I508" s="300"/>
      <c r="J508" s="300"/>
      <c r="K508" s="300"/>
      <c r="L508" s="300"/>
      <c r="M508" s="300"/>
      <c r="N508" s="300"/>
      <c r="O508" s="300"/>
      <c r="P508" s="300"/>
      <c r="Q508" s="300"/>
      <c r="R508" s="300"/>
      <c r="S508" s="300"/>
      <c r="T508" s="300"/>
      <c r="U508" s="300"/>
      <c r="V508" s="300"/>
      <c r="W508" s="300"/>
      <c r="X508" s="300"/>
    </row>
    <row r="509">
      <c r="A509" s="300"/>
      <c r="B509" s="300"/>
      <c r="C509" s="300"/>
      <c r="D509" s="300"/>
      <c r="E509" s="300"/>
      <c r="F509" s="300"/>
      <c r="G509" s="300"/>
      <c r="H509" s="300"/>
      <c r="I509" s="300"/>
      <c r="J509" s="300"/>
      <c r="K509" s="300"/>
      <c r="L509" s="300"/>
      <c r="M509" s="300"/>
      <c r="N509" s="300"/>
      <c r="O509" s="300"/>
      <c r="P509" s="300"/>
      <c r="Q509" s="300"/>
      <c r="R509" s="300"/>
      <c r="S509" s="300"/>
      <c r="T509" s="300"/>
      <c r="U509" s="300"/>
      <c r="V509" s="300"/>
      <c r="W509" s="300"/>
      <c r="X509" s="300"/>
    </row>
    <row r="510">
      <c r="A510" s="300"/>
      <c r="B510" s="300"/>
      <c r="C510" s="300"/>
      <c r="D510" s="300"/>
      <c r="E510" s="300"/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300"/>
      <c r="S510" s="300"/>
      <c r="T510" s="300"/>
      <c r="U510" s="300"/>
      <c r="V510" s="300"/>
      <c r="W510" s="300"/>
      <c r="X510" s="300"/>
    </row>
    <row r="511">
      <c r="A511" s="300"/>
      <c r="B511" s="300"/>
      <c r="C511" s="300"/>
      <c r="D511" s="300"/>
      <c r="E511" s="300"/>
      <c r="F511" s="300"/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300"/>
      <c r="S511" s="300"/>
      <c r="T511" s="300"/>
      <c r="U511" s="300"/>
      <c r="V511" s="300"/>
      <c r="W511" s="300"/>
      <c r="X511" s="300"/>
    </row>
    <row r="512">
      <c r="A512" s="300"/>
      <c r="B512" s="300"/>
      <c r="C512" s="300"/>
      <c r="D512" s="300"/>
      <c r="E512" s="300"/>
      <c r="F512" s="300"/>
      <c r="G512" s="300"/>
      <c r="H512" s="300"/>
      <c r="I512" s="300"/>
      <c r="J512" s="300"/>
      <c r="K512" s="300"/>
      <c r="L512" s="300"/>
      <c r="M512" s="300"/>
      <c r="N512" s="300"/>
      <c r="O512" s="300"/>
      <c r="P512" s="300"/>
      <c r="Q512" s="300"/>
      <c r="R512" s="300"/>
      <c r="S512" s="300"/>
      <c r="T512" s="300"/>
      <c r="U512" s="300"/>
      <c r="V512" s="300"/>
      <c r="W512" s="300"/>
      <c r="X512" s="300"/>
    </row>
    <row r="513">
      <c r="A513" s="300"/>
      <c r="B513" s="300"/>
      <c r="C513" s="300"/>
      <c r="D513" s="300"/>
      <c r="E513" s="300"/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300"/>
      <c r="S513" s="300"/>
      <c r="T513" s="300"/>
      <c r="U513" s="300"/>
      <c r="V513" s="300"/>
      <c r="W513" s="300"/>
      <c r="X513" s="300"/>
    </row>
    <row r="514">
      <c r="A514" s="300"/>
      <c r="B514" s="300"/>
      <c r="C514" s="300"/>
      <c r="D514" s="300"/>
      <c r="E514" s="300"/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300"/>
      <c r="S514" s="300"/>
      <c r="T514" s="300"/>
      <c r="U514" s="300"/>
      <c r="V514" s="300"/>
      <c r="W514" s="300"/>
      <c r="X514" s="300"/>
    </row>
    <row r="515">
      <c r="A515" s="300"/>
      <c r="B515" s="300"/>
      <c r="C515" s="300"/>
      <c r="D515" s="300"/>
      <c r="E515" s="300"/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300"/>
      <c r="S515" s="300"/>
      <c r="T515" s="300"/>
      <c r="U515" s="300"/>
      <c r="V515" s="300"/>
      <c r="W515" s="300"/>
      <c r="X515" s="300"/>
    </row>
    <row r="516">
      <c r="A516" s="300"/>
      <c r="B516" s="300"/>
      <c r="C516" s="300"/>
      <c r="D516" s="300"/>
      <c r="E516" s="300"/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300"/>
      <c r="S516" s="300"/>
      <c r="T516" s="300"/>
      <c r="U516" s="300"/>
      <c r="V516" s="300"/>
      <c r="W516" s="300"/>
      <c r="X516" s="300"/>
    </row>
    <row r="517">
      <c r="A517" s="300"/>
      <c r="B517" s="300"/>
      <c r="C517" s="300"/>
      <c r="D517" s="300"/>
      <c r="E517" s="300"/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300"/>
      <c r="S517" s="300"/>
      <c r="T517" s="300"/>
      <c r="U517" s="300"/>
      <c r="V517" s="300"/>
      <c r="W517" s="300"/>
      <c r="X517" s="300"/>
    </row>
    <row r="518">
      <c r="A518" s="300"/>
      <c r="B518" s="300"/>
      <c r="C518" s="300"/>
      <c r="D518" s="300"/>
      <c r="E518" s="300"/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300"/>
      <c r="S518" s="300"/>
      <c r="T518" s="300"/>
      <c r="U518" s="300"/>
      <c r="V518" s="300"/>
      <c r="W518" s="300"/>
      <c r="X518" s="300"/>
    </row>
    <row r="519">
      <c r="A519" s="300"/>
      <c r="B519" s="300"/>
      <c r="C519" s="300"/>
      <c r="D519" s="300"/>
      <c r="E519" s="300"/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300"/>
      <c r="S519" s="300"/>
      <c r="T519" s="300"/>
      <c r="U519" s="300"/>
      <c r="V519" s="300"/>
      <c r="W519" s="300"/>
      <c r="X519" s="300"/>
    </row>
    <row r="520">
      <c r="A520" s="300"/>
      <c r="B520" s="300"/>
      <c r="C520" s="300"/>
      <c r="D520" s="300"/>
      <c r="E520" s="300"/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300"/>
      <c r="S520" s="300"/>
      <c r="T520" s="300"/>
      <c r="U520" s="300"/>
      <c r="V520" s="300"/>
      <c r="W520" s="300"/>
      <c r="X520" s="300"/>
    </row>
    <row r="521">
      <c r="A521" s="300"/>
      <c r="B521" s="300"/>
      <c r="C521" s="300"/>
      <c r="D521" s="300"/>
      <c r="E521" s="300"/>
      <c r="F521" s="300"/>
      <c r="G521" s="300"/>
      <c r="H521" s="300"/>
      <c r="I521" s="300"/>
      <c r="J521" s="300"/>
      <c r="K521" s="300"/>
      <c r="L521" s="300"/>
      <c r="M521" s="300"/>
      <c r="N521" s="300"/>
      <c r="O521" s="300"/>
      <c r="P521" s="300"/>
      <c r="Q521" s="300"/>
      <c r="R521" s="300"/>
      <c r="S521" s="300"/>
      <c r="T521" s="300"/>
      <c r="U521" s="300"/>
      <c r="V521" s="300"/>
      <c r="W521" s="300"/>
      <c r="X521" s="300"/>
    </row>
    <row r="522">
      <c r="A522" s="300"/>
      <c r="B522" s="300"/>
      <c r="C522" s="300"/>
      <c r="D522" s="300"/>
      <c r="E522" s="300"/>
      <c r="F522" s="300"/>
      <c r="G522" s="300"/>
      <c r="H522" s="300"/>
      <c r="I522" s="300"/>
      <c r="J522" s="300"/>
      <c r="K522" s="300"/>
      <c r="L522" s="300"/>
      <c r="M522" s="300"/>
      <c r="N522" s="300"/>
      <c r="O522" s="300"/>
      <c r="P522" s="300"/>
      <c r="Q522" s="300"/>
      <c r="R522" s="300"/>
      <c r="S522" s="300"/>
      <c r="T522" s="300"/>
      <c r="U522" s="300"/>
      <c r="V522" s="300"/>
      <c r="W522" s="300"/>
      <c r="X522" s="300"/>
    </row>
    <row r="523">
      <c r="A523" s="300"/>
      <c r="B523" s="300"/>
      <c r="C523" s="300"/>
      <c r="D523" s="300"/>
      <c r="E523" s="300"/>
      <c r="F523" s="300"/>
      <c r="G523" s="300"/>
      <c r="H523" s="300"/>
      <c r="I523" s="300"/>
      <c r="J523" s="300"/>
      <c r="K523" s="300"/>
      <c r="L523" s="300"/>
      <c r="M523" s="300"/>
      <c r="N523" s="300"/>
      <c r="O523" s="300"/>
      <c r="P523" s="300"/>
      <c r="Q523" s="300"/>
      <c r="R523" s="300"/>
      <c r="S523" s="300"/>
      <c r="T523" s="300"/>
      <c r="U523" s="300"/>
      <c r="V523" s="300"/>
      <c r="W523" s="300"/>
      <c r="X523" s="300"/>
    </row>
    <row r="524">
      <c r="A524" s="300"/>
      <c r="B524" s="300"/>
      <c r="C524" s="300"/>
      <c r="D524" s="300"/>
      <c r="E524" s="300"/>
      <c r="F524" s="300"/>
      <c r="G524" s="300"/>
      <c r="H524" s="300"/>
      <c r="I524" s="300"/>
      <c r="J524" s="300"/>
      <c r="K524" s="300"/>
      <c r="L524" s="300"/>
      <c r="M524" s="300"/>
      <c r="N524" s="300"/>
      <c r="O524" s="300"/>
      <c r="P524" s="300"/>
      <c r="Q524" s="300"/>
      <c r="R524" s="300"/>
      <c r="S524" s="300"/>
      <c r="T524" s="300"/>
      <c r="U524" s="300"/>
      <c r="V524" s="300"/>
      <c r="W524" s="300"/>
      <c r="X524" s="300"/>
    </row>
    <row r="525">
      <c r="A525" s="300"/>
      <c r="B525" s="300"/>
      <c r="C525" s="300"/>
      <c r="D525" s="300"/>
      <c r="E525" s="300"/>
      <c r="F525" s="300"/>
      <c r="G525" s="300"/>
      <c r="H525" s="300"/>
      <c r="I525" s="300"/>
      <c r="J525" s="300"/>
      <c r="K525" s="300"/>
      <c r="L525" s="300"/>
      <c r="M525" s="300"/>
      <c r="N525" s="300"/>
      <c r="O525" s="300"/>
      <c r="P525" s="300"/>
      <c r="Q525" s="300"/>
      <c r="R525" s="300"/>
      <c r="S525" s="300"/>
      <c r="T525" s="300"/>
      <c r="U525" s="300"/>
      <c r="V525" s="300"/>
      <c r="W525" s="300"/>
      <c r="X525" s="300"/>
    </row>
    <row r="526">
      <c r="A526" s="300"/>
      <c r="B526" s="300"/>
      <c r="C526" s="300"/>
      <c r="D526" s="300"/>
      <c r="E526" s="300"/>
      <c r="F526" s="300"/>
      <c r="G526" s="300"/>
      <c r="H526" s="300"/>
      <c r="I526" s="300"/>
      <c r="J526" s="300"/>
      <c r="K526" s="300"/>
      <c r="L526" s="300"/>
      <c r="M526" s="300"/>
      <c r="N526" s="300"/>
      <c r="O526" s="300"/>
      <c r="P526" s="300"/>
      <c r="Q526" s="300"/>
      <c r="R526" s="300"/>
      <c r="S526" s="300"/>
      <c r="T526" s="300"/>
      <c r="U526" s="300"/>
      <c r="V526" s="300"/>
      <c r="W526" s="300"/>
      <c r="X526" s="300"/>
    </row>
    <row r="527">
      <c r="A527" s="300"/>
      <c r="B527" s="300"/>
      <c r="C527" s="300"/>
      <c r="D527" s="300"/>
      <c r="E527" s="300"/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0"/>
      <c r="S527" s="300"/>
      <c r="T527" s="300"/>
      <c r="U527" s="300"/>
      <c r="V527" s="300"/>
      <c r="W527" s="300"/>
      <c r="X527" s="300"/>
    </row>
    <row r="528">
      <c r="A528" s="300"/>
      <c r="B528" s="300"/>
      <c r="C528" s="300"/>
      <c r="D528" s="300"/>
      <c r="E528" s="300"/>
      <c r="F528" s="300"/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0"/>
      <c r="S528" s="300"/>
      <c r="T528" s="300"/>
      <c r="U528" s="300"/>
      <c r="V528" s="300"/>
      <c r="W528" s="300"/>
      <c r="X528" s="300"/>
    </row>
    <row r="529">
      <c r="A529" s="300"/>
      <c r="B529" s="300"/>
      <c r="C529" s="300"/>
      <c r="D529" s="300"/>
      <c r="E529" s="300"/>
      <c r="F529" s="300"/>
      <c r="G529" s="300"/>
      <c r="H529" s="300"/>
      <c r="I529" s="300"/>
      <c r="J529" s="300"/>
      <c r="K529" s="300"/>
      <c r="L529" s="300"/>
      <c r="M529" s="300"/>
      <c r="N529" s="300"/>
      <c r="O529" s="300"/>
      <c r="P529" s="300"/>
      <c r="Q529" s="300"/>
      <c r="R529" s="300"/>
      <c r="S529" s="300"/>
      <c r="T529" s="300"/>
      <c r="U529" s="300"/>
      <c r="V529" s="300"/>
      <c r="W529" s="300"/>
      <c r="X529" s="300"/>
    </row>
    <row r="530">
      <c r="A530" s="300"/>
      <c r="B530" s="300"/>
      <c r="C530" s="300"/>
      <c r="D530" s="300"/>
      <c r="E530" s="300"/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  <c r="T530" s="300"/>
      <c r="U530" s="300"/>
      <c r="V530" s="300"/>
      <c r="W530" s="300"/>
      <c r="X530" s="300"/>
    </row>
    <row r="531">
      <c r="A531" s="300"/>
      <c r="B531" s="300"/>
      <c r="C531" s="300"/>
      <c r="D531" s="300"/>
      <c r="E531" s="300"/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300"/>
      <c r="S531" s="300"/>
      <c r="T531" s="300"/>
      <c r="U531" s="300"/>
      <c r="V531" s="300"/>
      <c r="W531" s="300"/>
      <c r="X531" s="300"/>
    </row>
    <row r="532">
      <c r="A532" s="300"/>
      <c r="B532" s="300"/>
      <c r="C532" s="300"/>
      <c r="D532" s="300"/>
      <c r="E532" s="300"/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300"/>
      <c r="S532" s="300"/>
      <c r="T532" s="300"/>
      <c r="U532" s="300"/>
      <c r="V532" s="300"/>
      <c r="W532" s="300"/>
      <c r="X532" s="300"/>
    </row>
    <row r="533">
      <c r="A533" s="300"/>
      <c r="B533" s="300"/>
      <c r="C533" s="300"/>
      <c r="D533" s="300"/>
      <c r="E533" s="300"/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300"/>
      <c r="S533" s="300"/>
      <c r="T533" s="300"/>
      <c r="U533" s="300"/>
      <c r="V533" s="300"/>
      <c r="W533" s="300"/>
      <c r="X533" s="300"/>
    </row>
    <row r="534">
      <c r="A534" s="300"/>
      <c r="B534" s="300"/>
      <c r="C534" s="300"/>
      <c r="D534" s="300"/>
      <c r="E534" s="300"/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300"/>
      <c r="S534" s="300"/>
      <c r="T534" s="300"/>
      <c r="U534" s="300"/>
      <c r="V534" s="300"/>
      <c r="W534" s="300"/>
      <c r="X534" s="300"/>
    </row>
    <row r="535">
      <c r="A535" s="300"/>
      <c r="B535" s="300"/>
      <c r="C535" s="300"/>
      <c r="D535" s="300"/>
      <c r="E535" s="300"/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300"/>
      <c r="S535" s="300"/>
      <c r="T535" s="300"/>
      <c r="U535" s="300"/>
      <c r="V535" s="300"/>
      <c r="W535" s="300"/>
      <c r="X535" s="300"/>
    </row>
    <row r="536">
      <c r="A536" s="300"/>
      <c r="B536" s="300"/>
      <c r="C536" s="300"/>
      <c r="D536" s="300"/>
      <c r="E536" s="300"/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300"/>
      <c r="S536" s="300"/>
      <c r="T536" s="300"/>
      <c r="U536" s="300"/>
      <c r="V536" s="300"/>
      <c r="W536" s="300"/>
      <c r="X536" s="300"/>
    </row>
    <row r="537">
      <c r="A537" s="300"/>
      <c r="B537" s="300"/>
      <c r="C537" s="300"/>
      <c r="D537" s="300"/>
      <c r="E537" s="300"/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300"/>
      <c r="S537" s="300"/>
      <c r="T537" s="300"/>
      <c r="U537" s="300"/>
      <c r="V537" s="300"/>
      <c r="W537" s="300"/>
      <c r="X537" s="300"/>
    </row>
    <row r="538">
      <c r="A538" s="300"/>
      <c r="B538" s="300"/>
      <c r="C538" s="300"/>
      <c r="D538" s="300"/>
      <c r="E538" s="300"/>
      <c r="F538" s="300"/>
      <c r="G538" s="300"/>
      <c r="H538" s="300"/>
      <c r="I538" s="300"/>
      <c r="J538" s="300"/>
      <c r="K538" s="300"/>
      <c r="L538" s="300"/>
      <c r="M538" s="300"/>
      <c r="N538" s="300"/>
      <c r="O538" s="300"/>
      <c r="P538" s="300"/>
      <c r="Q538" s="300"/>
      <c r="R538" s="300"/>
      <c r="S538" s="300"/>
      <c r="T538" s="300"/>
      <c r="U538" s="300"/>
      <c r="V538" s="300"/>
      <c r="W538" s="300"/>
      <c r="X538" s="300"/>
    </row>
    <row r="539">
      <c r="A539" s="300"/>
      <c r="B539" s="300"/>
      <c r="C539" s="300"/>
      <c r="D539" s="300"/>
      <c r="E539" s="300"/>
      <c r="F539" s="300"/>
      <c r="G539" s="300"/>
      <c r="H539" s="300"/>
      <c r="I539" s="300"/>
      <c r="J539" s="300"/>
      <c r="K539" s="300"/>
      <c r="L539" s="300"/>
      <c r="M539" s="300"/>
      <c r="N539" s="300"/>
      <c r="O539" s="300"/>
      <c r="P539" s="300"/>
      <c r="Q539" s="300"/>
      <c r="R539" s="300"/>
      <c r="S539" s="300"/>
      <c r="T539" s="300"/>
      <c r="U539" s="300"/>
      <c r="V539" s="300"/>
      <c r="W539" s="300"/>
      <c r="X539" s="300"/>
    </row>
    <row r="540">
      <c r="A540" s="300"/>
      <c r="B540" s="300"/>
      <c r="C540" s="300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  <c r="O540" s="300"/>
      <c r="P540" s="300"/>
      <c r="Q540" s="300"/>
      <c r="R540" s="300"/>
      <c r="S540" s="300"/>
      <c r="T540" s="300"/>
      <c r="U540" s="300"/>
      <c r="V540" s="300"/>
      <c r="W540" s="300"/>
      <c r="X540" s="300"/>
    </row>
    <row r="541">
      <c r="A541" s="300"/>
      <c r="B541" s="300"/>
      <c r="C541" s="300"/>
      <c r="D541" s="300"/>
      <c r="E541" s="300"/>
      <c r="F541" s="300"/>
      <c r="G541" s="300"/>
      <c r="H541" s="300"/>
      <c r="I541" s="300"/>
      <c r="J541" s="300"/>
      <c r="K541" s="300"/>
      <c r="L541" s="300"/>
      <c r="M541" s="300"/>
      <c r="N541" s="300"/>
      <c r="O541" s="300"/>
      <c r="P541" s="300"/>
      <c r="Q541" s="300"/>
      <c r="R541" s="300"/>
      <c r="S541" s="300"/>
      <c r="T541" s="300"/>
      <c r="U541" s="300"/>
      <c r="V541" s="300"/>
      <c r="W541" s="300"/>
      <c r="X541" s="300"/>
    </row>
    <row r="542">
      <c r="A542" s="300"/>
      <c r="B542" s="300"/>
      <c r="C542" s="300"/>
      <c r="D542" s="300"/>
      <c r="E542" s="300"/>
      <c r="F542" s="300"/>
      <c r="G542" s="300"/>
      <c r="H542" s="300"/>
      <c r="I542" s="300"/>
      <c r="J542" s="300"/>
      <c r="K542" s="300"/>
      <c r="L542" s="300"/>
      <c r="M542" s="300"/>
      <c r="N542" s="300"/>
      <c r="O542" s="300"/>
      <c r="P542" s="300"/>
      <c r="Q542" s="300"/>
      <c r="R542" s="300"/>
      <c r="S542" s="300"/>
      <c r="T542" s="300"/>
      <c r="U542" s="300"/>
      <c r="V542" s="300"/>
      <c r="W542" s="300"/>
      <c r="X542" s="300"/>
    </row>
    <row r="543">
      <c r="A543" s="300"/>
      <c r="B543" s="300"/>
      <c r="C543" s="300"/>
      <c r="D543" s="300"/>
      <c r="E543" s="300"/>
      <c r="F543" s="300"/>
      <c r="G543" s="300"/>
      <c r="H543" s="300"/>
      <c r="I543" s="300"/>
      <c r="J543" s="300"/>
      <c r="K543" s="300"/>
      <c r="L543" s="300"/>
      <c r="M543" s="300"/>
      <c r="N543" s="300"/>
      <c r="O543" s="300"/>
      <c r="P543" s="300"/>
      <c r="Q543" s="300"/>
      <c r="R543" s="300"/>
      <c r="S543" s="300"/>
      <c r="T543" s="300"/>
      <c r="U543" s="300"/>
      <c r="V543" s="300"/>
      <c r="W543" s="300"/>
      <c r="X543" s="300"/>
    </row>
    <row r="544">
      <c r="A544" s="300"/>
      <c r="B544" s="300"/>
      <c r="C544" s="300"/>
      <c r="D544" s="300"/>
      <c r="E544" s="300"/>
      <c r="F544" s="300"/>
      <c r="G544" s="300"/>
      <c r="H544" s="300"/>
      <c r="I544" s="300"/>
      <c r="J544" s="300"/>
      <c r="K544" s="300"/>
      <c r="L544" s="300"/>
      <c r="M544" s="300"/>
      <c r="N544" s="300"/>
      <c r="O544" s="300"/>
      <c r="P544" s="300"/>
      <c r="Q544" s="300"/>
      <c r="R544" s="300"/>
      <c r="S544" s="300"/>
      <c r="T544" s="300"/>
      <c r="U544" s="300"/>
      <c r="V544" s="300"/>
      <c r="W544" s="300"/>
      <c r="X544" s="300"/>
    </row>
    <row r="545">
      <c r="A545" s="300"/>
      <c r="B545" s="300"/>
      <c r="C545" s="300"/>
      <c r="D545" s="300"/>
      <c r="E545" s="300"/>
      <c r="F545" s="300"/>
      <c r="G545" s="300"/>
      <c r="H545" s="300"/>
      <c r="I545" s="300"/>
      <c r="J545" s="300"/>
      <c r="K545" s="300"/>
      <c r="L545" s="300"/>
      <c r="M545" s="300"/>
      <c r="N545" s="300"/>
      <c r="O545" s="300"/>
      <c r="P545" s="300"/>
      <c r="Q545" s="300"/>
      <c r="R545" s="300"/>
      <c r="S545" s="300"/>
      <c r="T545" s="300"/>
      <c r="U545" s="300"/>
      <c r="V545" s="300"/>
      <c r="W545" s="300"/>
      <c r="X545" s="300"/>
    </row>
    <row r="546">
      <c r="A546" s="300"/>
      <c r="B546" s="300"/>
      <c r="C546" s="300"/>
      <c r="D546" s="300"/>
      <c r="E546" s="300"/>
      <c r="F546" s="300"/>
      <c r="G546" s="300"/>
      <c r="H546" s="300"/>
      <c r="I546" s="300"/>
      <c r="J546" s="300"/>
      <c r="K546" s="300"/>
      <c r="L546" s="300"/>
      <c r="M546" s="300"/>
      <c r="N546" s="300"/>
      <c r="O546" s="300"/>
      <c r="P546" s="300"/>
      <c r="Q546" s="300"/>
      <c r="R546" s="300"/>
      <c r="S546" s="300"/>
      <c r="T546" s="300"/>
      <c r="U546" s="300"/>
      <c r="V546" s="300"/>
      <c r="W546" s="300"/>
      <c r="X546" s="300"/>
    </row>
    <row r="547">
      <c r="A547" s="300"/>
      <c r="B547" s="300"/>
      <c r="C547" s="300"/>
      <c r="D547" s="300"/>
      <c r="E547" s="300"/>
      <c r="F547" s="300"/>
      <c r="G547" s="300"/>
      <c r="H547" s="300"/>
      <c r="I547" s="300"/>
      <c r="J547" s="300"/>
      <c r="K547" s="300"/>
      <c r="L547" s="300"/>
      <c r="M547" s="300"/>
      <c r="N547" s="300"/>
      <c r="O547" s="300"/>
      <c r="P547" s="300"/>
      <c r="Q547" s="300"/>
      <c r="R547" s="300"/>
      <c r="S547" s="300"/>
      <c r="T547" s="300"/>
      <c r="U547" s="300"/>
      <c r="V547" s="300"/>
      <c r="W547" s="300"/>
      <c r="X547" s="300"/>
    </row>
    <row r="548">
      <c r="A548" s="300"/>
      <c r="B548" s="300"/>
      <c r="C548" s="300"/>
      <c r="D548" s="300"/>
      <c r="E548" s="300"/>
      <c r="F548" s="300"/>
      <c r="G548" s="300"/>
      <c r="H548" s="300"/>
      <c r="I548" s="300"/>
      <c r="J548" s="300"/>
      <c r="K548" s="300"/>
      <c r="L548" s="300"/>
      <c r="M548" s="300"/>
      <c r="N548" s="300"/>
      <c r="O548" s="300"/>
      <c r="P548" s="300"/>
      <c r="Q548" s="300"/>
      <c r="R548" s="300"/>
      <c r="S548" s="300"/>
      <c r="T548" s="300"/>
      <c r="U548" s="300"/>
      <c r="V548" s="300"/>
      <c r="W548" s="300"/>
      <c r="X548" s="300"/>
    </row>
    <row r="549">
      <c r="A549" s="300"/>
      <c r="B549" s="300"/>
      <c r="C549" s="300"/>
      <c r="D549" s="300"/>
      <c r="E549" s="300"/>
      <c r="F549" s="300"/>
      <c r="G549" s="300"/>
      <c r="H549" s="300"/>
      <c r="I549" s="300"/>
      <c r="J549" s="300"/>
      <c r="K549" s="300"/>
      <c r="L549" s="300"/>
      <c r="M549" s="300"/>
      <c r="N549" s="300"/>
      <c r="O549" s="300"/>
      <c r="P549" s="300"/>
      <c r="Q549" s="300"/>
      <c r="R549" s="300"/>
      <c r="S549" s="300"/>
      <c r="T549" s="300"/>
      <c r="U549" s="300"/>
      <c r="V549" s="300"/>
      <c r="W549" s="300"/>
      <c r="X549" s="300"/>
    </row>
    <row r="550">
      <c r="A550" s="300"/>
      <c r="B550" s="300"/>
      <c r="C550" s="300"/>
      <c r="D550" s="300"/>
      <c r="E550" s="300"/>
      <c r="F550" s="300"/>
      <c r="G550" s="300"/>
      <c r="H550" s="300"/>
      <c r="I550" s="300"/>
      <c r="J550" s="300"/>
      <c r="K550" s="300"/>
      <c r="L550" s="300"/>
      <c r="M550" s="300"/>
      <c r="N550" s="300"/>
      <c r="O550" s="300"/>
      <c r="P550" s="300"/>
      <c r="Q550" s="300"/>
      <c r="R550" s="300"/>
      <c r="S550" s="300"/>
      <c r="T550" s="300"/>
      <c r="U550" s="300"/>
      <c r="V550" s="300"/>
      <c r="W550" s="300"/>
      <c r="X550" s="300"/>
    </row>
    <row r="551">
      <c r="A551" s="300"/>
      <c r="B551" s="300"/>
      <c r="C551" s="300"/>
      <c r="D551" s="300"/>
      <c r="E551" s="300"/>
      <c r="F551" s="300"/>
      <c r="G551" s="300"/>
      <c r="H551" s="300"/>
      <c r="I551" s="300"/>
      <c r="J551" s="300"/>
      <c r="K551" s="300"/>
      <c r="L551" s="300"/>
      <c r="M551" s="300"/>
      <c r="N551" s="300"/>
      <c r="O551" s="300"/>
      <c r="P551" s="300"/>
      <c r="Q551" s="300"/>
      <c r="R551" s="300"/>
      <c r="S551" s="300"/>
      <c r="T551" s="300"/>
      <c r="U551" s="300"/>
      <c r="V551" s="300"/>
      <c r="W551" s="300"/>
      <c r="X551" s="300"/>
    </row>
    <row r="552">
      <c r="A552" s="300"/>
      <c r="B552" s="300"/>
      <c r="C552" s="300"/>
      <c r="D552" s="300"/>
      <c r="E552" s="300"/>
      <c r="F552" s="300"/>
      <c r="G552" s="300"/>
      <c r="H552" s="300"/>
      <c r="I552" s="300"/>
      <c r="J552" s="300"/>
      <c r="K552" s="300"/>
      <c r="L552" s="300"/>
      <c r="M552" s="300"/>
      <c r="N552" s="300"/>
      <c r="O552" s="300"/>
      <c r="P552" s="300"/>
      <c r="Q552" s="300"/>
      <c r="R552" s="300"/>
      <c r="S552" s="300"/>
      <c r="T552" s="300"/>
      <c r="U552" s="300"/>
      <c r="V552" s="300"/>
      <c r="W552" s="300"/>
      <c r="X552" s="300"/>
    </row>
    <row r="553">
      <c r="A553" s="300"/>
      <c r="B553" s="300"/>
      <c r="C553" s="300"/>
      <c r="D553" s="300"/>
      <c r="E553" s="300"/>
      <c r="F553" s="300"/>
      <c r="G553" s="300"/>
      <c r="H553" s="300"/>
      <c r="I553" s="300"/>
      <c r="J553" s="300"/>
      <c r="K553" s="300"/>
      <c r="L553" s="300"/>
      <c r="M553" s="300"/>
      <c r="N553" s="300"/>
      <c r="O553" s="300"/>
      <c r="P553" s="300"/>
      <c r="Q553" s="300"/>
      <c r="R553" s="300"/>
      <c r="S553" s="300"/>
      <c r="T553" s="300"/>
      <c r="U553" s="300"/>
      <c r="V553" s="300"/>
      <c r="W553" s="300"/>
      <c r="X553" s="300"/>
    </row>
    <row r="554">
      <c r="A554" s="300"/>
      <c r="B554" s="300"/>
      <c r="C554" s="300"/>
      <c r="D554" s="300"/>
      <c r="E554" s="300"/>
      <c r="F554" s="300"/>
      <c r="G554" s="300"/>
      <c r="H554" s="300"/>
      <c r="I554" s="300"/>
      <c r="J554" s="300"/>
      <c r="K554" s="300"/>
      <c r="L554" s="300"/>
      <c r="M554" s="300"/>
      <c r="N554" s="300"/>
      <c r="O554" s="300"/>
      <c r="P554" s="300"/>
      <c r="Q554" s="300"/>
      <c r="R554" s="300"/>
      <c r="S554" s="300"/>
      <c r="T554" s="300"/>
      <c r="U554" s="300"/>
      <c r="V554" s="300"/>
      <c r="W554" s="300"/>
      <c r="X554" s="300"/>
    </row>
    <row r="555">
      <c r="A555" s="300"/>
      <c r="B555" s="300"/>
      <c r="C555" s="300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300"/>
      <c r="S555" s="300"/>
      <c r="T555" s="300"/>
      <c r="U555" s="300"/>
      <c r="V555" s="300"/>
      <c r="W555" s="300"/>
      <c r="X555" s="300"/>
    </row>
    <row r="556">
      <c r="A556" s="300"/>
      <c r="B556" s="300"/>
      <c r="C556" s="300"/>
      <c r="D556" s="300"/>
      <c r="E556" s="300"/>
      <c r="F556" s="300"/>
      <c r="G556" s="300"/>
      <c r="H556" s="300"/>
      <c r="I556" s="300"/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  <c r="T556" s="300"/>
      <c r="U556" s="300"/>
      <c r="V556" s="300"/>
      <c r="W556" s="300"/>
      <c r="X556" s="300"/>
    </row>
    <row r="557">
      <c r="A557" s="300"/>
      <c r="B557" s="300"/>
      <c r="C557" s="300"/>
      <c r="D557" s="300"/>
      <c r="E557" s="300"/>
      <c r="F557" s="300"/>
      <c r="G557" s="300"/>
      <c r="H557" s="300"/>
      <c r="I557" s="300"/>
      <c r="J557" s="300"/>
      <c r="K557" s="300"/>
      <c r="L557" s="300"/>
      <c r="M557" s="300"/>
      <c r="N557" s="300"/>
      <c r="O557" s="300"/>
      <c r="P557" s="300"/>
      <c r="Q557" s="300"/>
      <c r="R557" s="300"/>
      <c r="S557" s="300"/>
      <c r="T557" s="300"/>
      <c r="U557" s="300"/>
      <c r="V557" s="300"/>
      <c r="W557" s="300"/>
      <c r="X557" s="300"/>
    </row>
    <row r="558">
      <c r="A558" s="300"/>
      <c r="B558" s="300"/>
      <c r="C558" s="300"/>
      <c r="D558" s="300"/>
      <c r="E558" s="300"/>
      <c r="F558" s="300"/>
      <c r="G558" s="300"/>
      <c r="H558" s="300"/>
      <c r="I558" s="300"/>
      <c r="J558" s="300"/>
      <c r="K558" s="300"/>
      <c r="L558" s="300"/>
      <c r="M558" s="300"/>
      <c r="N558" s="300"/>
      <c r="O558" s="300"/>
      <c r="P558" s="300"/>
      <c r="Q558" s="300"/>
      <c r="R558" s="300"/>
      <c r="S558" s="300"/>
      <c r="T558" s="300"/>
      <c r="U558" s="300"/>
      <c r="V558" s="300"/>
      <c r="W558" s="300"/>
      <c r="X558" s="300"/>
    </row>
    <row r="559">
      <c r="A559" s="300"/>
      <c r="B559" s="300"/>
      <c r="C559" s="300"/>
      <c r="D559" s="300"/>
      <c r="E559" s="300"/>
      <c r="F559" s="300"/>
      <c r="G559" s="300"/>
      <c r="H559" s="300"/>
      <c r="I559" s="300"/>
      <c r="J559" s="300"/>
      <c r="K559" s="300"/>
      <c r="L559" s="300"/>
      <c r="M559" s="300"/>
      <c r="N559" s="300"/>
      <c r="O559" s="300"/>
      <c r="P559" s="300"/>
      <c r="Q559" s="300"/>
      <c r="R559" s="300"/>
      <c r="S559" s="300"/>
      <c r="T559" s="300"/>
      <c r="U559" s="300"/>
      <c r="V559" s="300"/>
      <c r="W559" s="300"/>
      <c r="X559" s="300"/>
    </row>
    <row r="560">
      <c r="A560" s="300"/>
      <c r="B560" s="300"/>
      <c r="C560" s="300"/>
      <c r="D560" s="300"/>
      <c r="E560" s="300"/>
      <c r="F560" s="300"/>
      <c r="G560" s="300"/>
      <c r="H560" s="300"/>
      <c r="I560" s="300"/>
      <c r="J560" s="300"/>
      <c r="K560" s="300"/>
      <c r="L560" s="300"/>
      <c r="M560" s="300"/>
      <c r="N560" s="300"/>
      <c r="O560" s="300"/>
      <c r="P560" s="300"/>
      <c r="Q560" s="300"/>
      <c r="R560" s="300"/>
      <c r="S560" s="300"/>
      <c r="T560" s="300"/>
      <c r="U560" s="300"/>
      <c r="V560" s="300"/>
      <c r="W560" s="300"/>
      <c r="X560" s="300"/>
    </row>
    <row r="561">
      <c r="A561" s="300"/>
      <c r="B561" s="300"/>
      <c r="C561" s="300"/>
      <c r="D561" s="300"/>
      <c r="E561" s="300"/>
      <c r="F561" s="300"/>
      <c r="G561" s="300"/>
      <c r="H561" s="300"/>
      <c r="I561" s="300"/>
      <c r="J561" s="300"/>
      <c r="K561" s="300"/>
      <c r="L561" s="300"/>
      <c r="M561" s="300"/>
      <c r="N561" s="300"/>
      <c r="O561" s="300"/>
      <c r="P561" s="300"/>
      <c r="Q561" s="300"/>
      <c r="R561" s="300"/>
      <c r="S561" s="300"/>
      <c r="T561" s="300"/>
      <c r="U561" s="300"/>
      <c r="V561" s="300"/>
      <c r="W561" s="300"/>
      <c r="X561" s="300"/>
    </row>
    <row r="562">
      <c r="A562" s="300"/>
      <c r="B562" s="300"/>
      <c r="C562" s="300"/>
      <c r="D562" s="300"/>
      <c r="E562" s="300"/>
      <c r="F562" s="300"/>
      <c r="G562" s="300"/>
      <c r="H562" s="300"/>
      <c r="I562" s="300"/>
      <c r="J562" s="300"/>
      <c r="K562" s="300"/>
      <c r="L562" s="300"/>
      <c r="M562" s="300"/>
      <c r="N562" s="300"/>
      <c r="O562" s="300"/>
      <c r="P562" s="300"/>
      <c r="Q562" s="300"/>
      <c r="R562" s="300"/>
      <c r="S562" s="300"/>
      <c r="T562" s="300"/>
      <c r="U562" s="300"/>
      <c r="V562" s="300"/>
      <c r="W562" s="300"/>
      <c r="X562" s="300"/>
    </row>
    <row r="563">
      <c r="A563" s="300"/>
      <c r="B563" s="300"/>
      <c r="C563" s="300"/>
      <c r="D563" s="300"/>
      <c r="E563" s="300"/>
      <c r="F563" s="300"/>
      <c r="G563" s="300"/>
      <c r="H563" s="300"/>
      <c r="I563" s="300"/>
      <c r="J563" s="300"/>
      <c r="K563" s="300"/>
      <c r="L563" s="300"/>
      <c r="M563" s="300"/>
      <c r="N563" s="300"/>
      <c r="O563" s="300"/>
      <c r="P563" s="300"/>
      <c r="Q563" s="300"/>
      <c r="R563" s="300"/>
      <c r="S563" s="300"/>
      <c r="T563" s="300"/>
      <c r="U563" s="300"/>
      <c r="V563" s="300"/>
      <c r="W563" s="300"/>
      <c r="X563" s="300"/>
    </row>
    <row r="564">
      <c r="A564" s="300"/>
      <c r="B564" s="300"/>
      <c r="C564" s="300"/>
      <c r="D564" s="300"/>
      <c r="E564" s="300"/>
      <c r="F564" s="300"/>
      <c r="G564" s="300"/>
      <c r="H564" s="300"/>
      <c r="I564" s="300"/>
      <c r="J564" s="300"/>
      <c r="K564" s="300"/>
      <c r="L564" s="300"/>
      <c r="M564" s="300"/>
      <c r="N564" s="300"/>
      <c r="O564" s="300"/>
      <c r="P564" s="300"/>
      <c r="Q564" s="300"/>
      <c r="R564" s="300"/>
      <c r="S564" s="300"/>
      <c r="T564" s="300"/>
      <c r="U564" s="300"/>
      <c r="V564" s="300"/>
      <c r="W564" s="300"/>
      <c r="X564" s="300"/>
    </row>
    <row r="565">
      <c r="A565" s="300"/>
      <c r="B565" s="300"/>
      <c r="C565" s="300"/>
      <c r="D565" s="300"/>
      <c r="E565" s="300"/>
      <c r="F565" s="300"/>
      <c r="G565" s="300"/>
      <c r="H565" s="300"/>
      <c r="I565" s="300"/>
      <c r="J565" s="300"/>
      <c r="K565" s="300"/>
      <c r="L565" s="300"/>
      <c r="M565" s="300"/>
      <c r="N565" s="300"/>
      <c r="O565" s="300"/>
      <c r="P565" s="300"/>
      <c r="Q565" s="300"/>
      <c r="R565" s="300"/>
      <c r="S565" s="300"/>
      <c r="T565" s="300"/>
      <c r="U565" s="300"/>
      <c r="V565" s="300"/>
      <c r="W565" s="300"/>
      <c r="X565" s="300"/>
    </row>
    <row r="566">
      <c r="A566" s="300"/>
      <c r="B566" s="300"/>
      <c r="C566" s="300"/>
      <c r="D566" s="300"/>
      <c r="E566" s="300"/>
      <c r="F566" s="300"/>
      <c r="G566" s="300"/>
      <c r="H566" s="300"/>
      <c r="I566" s="300"/>
      <c r="J566" s="300"/>
      <c r="K566" s="300"/>
      <c r="L566" s="300"/>
      <c r="M566" s="300"/>
      <c r="N566" s="300"/>
      <c r="O566" s="300"/>
      <c r="P566" s="300"/>
      <c r="Q566" s="300"/>
      <c r="R566" s="300"/>
      <c r="S566" s="300"/>
      <c r="T566" s="300"/>
      <c r="U566" s="300"/>
      <c r="V566" s="300"/>
      <c r="W566" s="300"/>
      <c r="X566" s="300"/>
    </row>
    <row r="567">
      <c r="A567" s="300"/>
      <c r="B567" s="300"/>
      <c r="C567" s="300"/>
      <c r="D567" s="300"/>
      <c r="E567" s="300"/>
      <c r="F567" s="300"/>
      <c r="G567" s="300"/>
      <c r="H567" s="300"/>
      <c r="I567" s="300"/>
      <c r="J567" s="300"/>
      <c r="K567" s="300"/>
      <c r="L567" s="300"/>
      <c r="M567" s="300"/>
      <c r="N567" s="300"/>
      <c r="O567" s="300"/>
      <c r="P567" s="300"/>
      <c r="Q567" s="300"/>
      <c r="R567" s="300"/>
      <c r="S567" s="300"/>
      <c r="T567" s="300"/>
      <c r="U567" s="300"/>
      <c r="V567" s="300"/>
      <c r="W567" s="300"/>
      <c r="X567" s="300"/>
    </row>
    <row r="568">
      <c r="A568" s="300"/>
      <c r="B568" s="300"/>
      <c r="C568" s="300"/>
      <c r="D568" s="300"/>
      <c r="E568" s="300"/>
      <c r="F568" s="300"/>
      <c r="G568" s="300"/>
      <c r="H568" s="300"/>
      <c r="I568" s="300"/>
      <c r="J568" s="300"/>
      <c r="K568" s="300"/>
      <c r="L568" s="300"/>
      <c r="M568" s="300"/>
      <c r="N568" s="300"/>
      <c r="O568" s="300"/>
      <c r="P568" s="300"/>
      <c r="Q568" s="300"/>
      <c r="R568" s="300"/>
      <c r="S568" s="300"/>
      <c r="T568" s="300"/>
      <c r="U568" s="300"/>
      <c r="V568" s="300"/>
      <c r="W568" s="300"/>
      <c r="X568" s="300"/>
    </row>
    <row r="569">
      <c r="A569" s="300"/>
      <c r="B569" s="300"/>
      <c r="C569" s="300"/>
      <c r="D569" s="300"/>
      <c r="E569" s="300"/>
      <c r="F569" s="300"/>
      <c r="G569" s="300"/>
      <c r="H569" s="300"/>
      <c r="I569" s="300"/>
      <c r="J569" s="300"/>
      <c r="K569" s="300"/>
      <c r="L569" s="300"/>
      <c r="M569" s="300"/>
      <c r="N569" s="300"/>
      <c r="O569" s="300"/>
      <c r="P569" s="300"/>
      <c r="Q569" s="300"/>
      <c r="R569" s="300"/>
      <c r="S569" s="300"/>
      <c r="T569" s="300"/>
      <c r="U569" s="300"/>
      <c r="V569" s="300"/>
      <c r="W569" s="300"/>
      <c r="X569" s="300"/>
    </row>
    <row r="570">
      <c r="A570" s="300"/>
      <c r="B570" s="300"/>
      <c r="C570" s="300"/>
      <c r="D570" s="300"/>
      <c r="E570" s="300"/>
      <c r="F570" s="300"/>
      <c r="G570" s="300"/>
      <c r="H570" s="300"/>
      <c r="I570" s="300"/>
      <c r="J570" s="300"/>
      <c r="K570" s="300"/>
      <c r="L570" s="300"/>
      <c r="M570" s="300"/>
      <c r="N570" s="300"/>
      <c r="O570" s="300"/>
      <c r="P570" s="300"/>
      <c r="Q570" s="300"/>
      <c r="R570" s="300"/>
      <c r="S570" s="300"/>
      <c r="T570" s="300"/>
      <c r="U570" s="300"/>
      <c r="V570" s="300"/>
      <c r="W570" s="300"/>
      <c r="X570" s="300"/>
    </row>
    <row r="571">
      <c r="A571" s="300"/>
      <c r="B571" s="300"/>
      <c r="C571" s="300"/>
      <c r="D571" s="300"/>
      <c r="E571" s="300"/>
      <c r="F571" s="300"/>
      <c r="G571" s="300"/>
      <c r="H571" s="300"/>
      <c r="I571" s="300"/>
      <c r="J571" s="300"/>
      <c r="K571" s="300"/>
      <c r="L571" s="300"/>
      <c r="M571" s="300"/>
      <c r="N571" s="300"/>
      <c r="O571" s="300"/>
      <c r="P571" s="300"/>
      <c r="Q571" s="300"/>
      <c r="R571" s="300"/>
      <c r="S571" s="300"/>
      <c r="T571" s="300"/>
      <c r="U571" s="300"/>
      <c r="V571" s="300"/>
      <c r="W571" s="300"/>
      <c r="X571" s="300"/>
    </row>
    <row r="572">
      <c r="A572" s="300"/>
      <c r="B572" s="300"/>
      <c r="C572" s="300"/>
      <c r="D572" s="300"/>
      <c r="E572" s="300"/>
      <c r="F572" s="300"/>
      <c r="G572" s="300"/>
      <c r="H572" s="300"/>
      <c r="I572" s="300"/>
      <c r="J572" s="300"/>
      <c r="K572" s="300"/>
      <c r="L572" s="300"/>
      <c r="M572" s="300"/>
      <c r="N572" s="300"/>
      <c r="O572" s="300"/>
      <c r="P572" s="300"/>
      <c r="Q572" s="300"/>
      <c r="R572" s="300"/>
      <c r="S572" s="300"/>
      <c r="T572" s="300"/>
      <c r="U572" s="300"/>
      <c r="V572" s="300"/>
      <c r="W572" s="300"/>
      <c r="X572" s="300"/>
    </row>
    <row r="573">
      <c r="A573" s="300"/>
      <c r="B573" s="300"/>
      <c r="C573" s="300"/>
      <c r="D573" s="300"/>
      <c r="E573" s="300"/>
      <c r="F573" s="300"/>
      <c r="G573" s="300"/>
      <c r="H573" s="300"/>
      <c r="I573" s="300"/>
      <c r="J573" s="300"/>
      <c r="K573" s="300"/>
      <c r="L573" s="300"/>
      <c r="M573" s="300"/>
      <c r="N573" s="300"/>
      <c r="O573" s="300"/>
      <c r="P573" s="300"/>
      <c r="Q573" s="300"/>
      <c r="R573" s="300"/>
      <c r="S573" s="300"/>
      <c r="T573" s="300"/>
      <c r="U573" s="300"/>
      <c r="V573" s="300"/>
      <c r="W573" s="300"/>
      <c r="X573" s="300"/>
    </row>
    <row r="574">
      <c r="A574" s="300"/>
      <c r="B574" s="300"/>
      <c r="C574" s="300"/>
      <c r="D574" s="300"/>
      <c r="E574" s="300"/>
      <c r="F574" s="300"/>
      <c r="G574" s="300"/>
      <c r="H574" s="300"/>
      <c r="I574" s="300"/>
      <c r="J574" s="300"/>
      <c r="K574" s="300"/>
      <c r="L574" s="300"/>
      <c r="M574" s="300"/>
      <c r="N574" s="300"/>
      <c r="O574" s="300"/>
      <c r="P574" s="300"/>
      <c r="Q574" s="300"/>
      <c r="R574" s="300"/>
      <c r="S574" s="300"/>
      <c r="T574" s="300"/>
      <c r="U574" s="300"/>
      <c r="V574" s="300"/>
      <c r="W574" s="300"/>
      <c r="X574" s="300"/>
    </row>
    <row r="575">
      <c r="A575" s="300"/>
      <c r="B575" s="300"/>
      <c r="C575" s="300"/>
      <c r="D575" s="300"/>
      <c r="E575" s="300"/>
      <c r="F575" s="300"/>
      <c r="G575" s="300"/>
      <c r="H575" s="300"/>
      <c r="I575" s="300"/>
      <c r="J575" s="300"/>
      <c r="K575" s="300"/>
      <c r="L575" s="300"/>
      <c r="M575" s="300"/>
      <c r="N575" s="300"/>
      <c r="O575" s="300"/>
      <c r="P575" s="300"/>
      <c r="Q575" s="300"/>
      <c r="R575" s="300"/>
      <c r="S575" s="300"/>
      <c r="T575" s="300"/>
      <c r="U575" s="300"/>
      <c r="V575" s="300"/>
      <c r="W575" s="300"/>
      <c r="X575" s="300"/>
    </row>
    <row r="576">
      <c r="A576" s="300"/>
      <c r="B576" s="300"/>
      <c r="C576" s="300"/>
      <c r="D576" s="300"/>
      <c r="E576" s="300"/>
      <c r="F576" s="300"/>
      <c r="G576" s="300"/>
      <c r="H576" s="300"/>
      <c r="I576" s="300"/>
      <c r="J576" s="300"/>
      <c r="K576" s="300"/>
      <c r="L576" s="300"/>
      <c r="M576" s="300"/>
      <c r="N576" s="300"/>
      <c r="O576" s="300"/>
      <c r="P576" s="300"/>
      <c r="Q576" s="300"/>
      <c r="R576" s="300"/>
      <c r="S576" s="300"/>
      <c r="T576" s="300"/>
      <c r="U576" s="300"/>
      <c r="V576" s="300"/>
      <c r="W576" s="300"/>
      <c r="X576" s="300"/>
    </row>
    <row r="577">
      <c r="A577" s="300"/>
      <c r="B577" s="300"/>
      <c r="C577" s="300"/>
      <c r="D577" s="300"/>
      <c r="E577" s="300"/>
      <c r="F577" s="300"/>
      <c r="G577" s="300"/>
      <c r="H577" s="300"/>
      <c r="I577" s="300"/>
      <c r="J577" s="300"/>
      <c r="K577" s="300"/>
      <c r="L577" s="300"/>
      <c r="M577" s="300"/>
      <c r="N577" s="300"/>
      <c r="O577" s="300"/>
      <c r="P577" s="300"/>
      <c r="Q577" s="300"/>
      <c r="R577" s="300"/>
      <c r="S577" s="300"/>
      <c r="T577" s="300"/>
      <c r="U577" s="300"/>
      <c r="V577" s="300"/>
      <c r="W577" s="300"/>
      <c r="X577" s="300"/>
    </row>
    <row r="578">
      <c r="A578" s="300"/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  <c r="O578" s="300"/>
      <c r="P578" s="300"/>
      <c r="Q578" s="300"/>
      <c r="R578" s="300"/>
      <c r="S578" s="300"/>
      <c r="T578" s="300"/>
      <c r="U578" s="300"/>
      <c r="V578" s="300"/>
      <c r="W578" s="300"/>
      <c r="X578" s="300"/>
    </row>
    <row r="579">
      <c r="A579" s="300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  <c r="O579" s="300"/>
      <c r="P579" s="300"/>
      <c r="Q579" s="300"/>
      <c r="R579" s="300"/>
      <c r="S579" s="300"/>
      <c r="T579" s="300"/>
      <c r="U579" s="300"/>
      <c r="V579" s="300"/>
      <c r="W579" s="300"/>
      <c r="X579" s="300"/>
    </row>
    <row r="580">
      <c r="A580" s="300"/>
      <c r="B580" s="300"/>
      <c r="C580" s="300"/>
      <c r="D580" s="300"/>
      <c r="E580" s="300"/>
      <c r="F580" s="300"/>
      <c r="G580" s="300"/>
      <c r="H580" s="300"/>
      <c r="I580" s="300"/>
      <c r="J580" s="300"/>
      <c r="K580" s="300"/>
      <c r="L580" s="300"/>
      <c r="M580" s="300"/>
      <c r="N580" s="300"/>
      <c r="O580" s="300"/>
      <c r="P580" s="300"/>
      <c r="Q580" s="300"/>
      <c r="R580" s="300"/>
      <c r="S580" s="300"/>
      <c r="T580" s="300"/>
      <c r="U580" s="300"/>
      <c r="V580" s="300"/>
      <c r="W580" s="300"/>
      <c r="X580" s="300"/>
    </row>
    <row r="581">
      <c r="A581" s="300"/>
      <c r="B581" s="300"/>
      <c r="C581" s="300"/>
      <c r="D581" s="300"/>
      <c r="E581" s="300"/>
      <c r="F581" s="300"/>
      <c r="G581" s="300"/>
      <c r="H581" s="300"/>
      <c r="I581" s="300"/>
      <c r="J581" s="300"/>
      <c r="K581" s="300"/>
      <c r="L581" s="300"/>
      <c r="M581" s="300"/>
      <c r="N581" s="300"/>
      <c r="O581" s="300"/>
      <c r="P581" s="300"/>
      <c r="Q581" s="300"/>
      <c r="R581" s="300"/>
      <c r="S581" s="300"/>
      <c r="T581" s="300"/>
      <c r="U581" s="300"/>
      <c r="V581" s="300"/>
      <c r="W581" s="300"/>
      <c r="X581" s="300"/>
    </row>
    <row r="582">
      <c r="A582" s="300"/>
      <c r="B582" s="300"/>
      <c r="C582" s="300"/>
      <c r="D582" s="300"/>
      <c r="E582" s="300"/>
      <c r="F582" s="300"/>
      <c r="G582" s="300"/>
      <c r="H582" s="300"/>
      <c r="I582" s="300"/>
      <c r="J582" s="300"/>
      <c r="K582" s="300"/>
      <c r="L582" s="300"/>
      <c r="M582" s="300"/>
      <c r="N582" s="300"/>
      <c r="O582" s="300"/>
      <c r="P582" s="300"/>
      <c r="Q582" s="300"/>
      <c r="R582" s="300"/>
      <c r="S582" s="300"/>
      <c r="T582" s="300"/>
      <c r="U582" s="300"/>
      <c r="V582" s="300"/>
      <c r="W582" s="300"/>
      <c r="X582" s="300"/>
    </row>
    <row r="583">
      <c r="A583" s="300"/>
      <c r="B583" s="300"/>
      <c r="C583" s="300"/>
      <c r="D583" s="300"/>
      <c r="E583" s="300"/>
      <c r="F583" s="300"/>
      <c r="G583" s="300"/>
      <c r="H583" s="300"/>
      <c r="I583" s="300"/>
      <c r="J583" s="300"/>
      <c r="K583" s="300"/>
      <c r="L583" s="300"/>
      <c r="M583" s="300"/>
      <c r="N583" s="300"/>
      <c r="O583" s="300"/>
      <c r="P583" s="300"/>
      <c r="Q583" s="300"/>
      <c r="R583" s="300"/>
      <c r="S583" s="300"/>
      <c r="T583" s="300"/>
      <c r="U583" s="300"/>
      <c r="V583" s="300"/>
      <c r="W583" s="300"/>
      <c r="X583" s="300"/>
    </row>
    <row r="584">
      <c r="A584" s="300"/>
      <c r="B584" s="300"/>
      <c r="C584" s="300"/>
      <c r="D584" s="300"/>
      <c r="E584" s="300"/>
      <c r="F584" s="300"/>
      <c r="G584" s="300"/>
      <c r="H584" s="300"/>
      <c r="I584" s="300"/>
      <c r="J584" s="300"/>
      <c r="K584" s="300"/>
      <c r="L584" s="300"/>
      <c r="M584" s="300"/>
      <c r="N584" s="300"/>
      <c r="O584" s="300"/>
      <c r="P584" s="300"/>
      <c r="Q584" s="300"/>
      <c r="R584" s="300"/>
      <c r="S584" s="300"/>
      <c r="T584" s="300"/>
      <c r="U584" s="300"/>
      <c r="V584" s="300"/>
      <c r="W584" s="300"/>
      <c r="X584" s="300"/>
    </row>
    <row r="585">
      <c r="A585" s="300"/>
      <c r="B585" s="300"/>
      <c r="C585" s="300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300"/>
      <c r="S585" s="300"/>
      <c r="T585" s="300"/>
      <c r="U585" s="300"/>
      <c r="V585" s="300"/>
      <c r="W585" s="300"/>
      <c r="X585" s="300"/>
    </row>
    <row r="586">
      <c r="A586" s="300"/>
      <c r="B586" s="300"/>
      <c r="C586" s="300"/>
      <c r="D586" s="300"/>
      <c r="E586" s="300"/>
      <c r="F586" s="300"/>
      <c r="G586" s="300"/>
      <c r="H586" s="300"/>
      <c r="I586" s="300"/>
      <c r="J586" s="300"/>
      <c r="K586" s="300"/>
      <c r="L586" s="300"/>
      <c r="M586" s="300"/>
      <c r="N586" s="300"/>
      <c r="O586" s="300"/>
      <c r="P586" s="300"/>
      <c r="Q586" s="300"/>
      <c r="R586" s="300"/>
      <c r="S586" s="300"/>
      <c r="T586" s="300"/>
      <c r="U586" s="300"/>
      <c r="V586" s="300"/>
      <c r="W586" s="300"/>
      <c r="X586" s="300"/>
    </row>
    <row r="587">
      <c r="A587" s="300"/>
      <c r="B587" s="300"/>
      <c r="C587" s="300"/>
      <c r="D587" s="300"/>
      <c r="E587" s="300"/>
      <c r="F587" s="300"/>
      <c r="G587" s="300"/>
      <c r="H587" s="300"/>
      <c r="I587" s="300"/>
      <c r="J587" s="300"/>
      <c r="K587" s="300"/>
      <c r="L587" s="300"/>
      <c r="M587" s="300"/>
      <c r="N587" s="300"/>
      <c r="O587" s="300"/>
      <c r="P587" s="300"/>
      <c r="Q587" s="300"/>
      <c r="R587" s="300"/>
      <c r="S587" s="300"/>
      <c r="T587" s="300"/>
      <c r="U587" s="300"/>
      <c r="V587" s="300"/>
      <c r="W587" s="300"/>
      <c r="X587" s="300"/>
    </row>
    <row r="588">
      <c r="A588" s="300"/>
      <c r="B588" s="300"/>
      <c r="C588" s="300"/>
      <c r="D588" s="300"/>
      <c r="E588" s="300"/>
      <c r="F588" s="300"/>
      <c r="G588" s="300"/>
      <c r="H588" s="300"/>
      <c r="I588" s="300"/>
      <c r="J588" s="300"/>
      <c r="K588" s="300"/>
      <c r="L588" s="300"/>
      <c r="M588" s="300"/>
      <c r="N588" s="300"/>
      <c r="O588" s="300"/>
      <c r="P588" s="300"/>
      <c r="Q588" s="300"/>
      <c r="R588" s="300"/>
      <c r="S588" s="300"/>
      <c r="T588" s="300"/>
      <c r="U588" s="300"/>
      <c r="V588" s="300"/>
      <c r="W588" s="300"/>
      <c r="X588" s="300"/>
    </row>
    <row r="589">
      <c r="A589" s="300"/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</row>
    <row r="590">
      <c r="A590" s="300"/>
      <c r="B590" s="300"/>
      <c r="C590" s="300"/>
      <c r="D590" s="300"/>
      <c r="E590" s="300"/>
      <c r="F590" s="300"/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300"/>
      <c r="S590" s="300"/>
      <c r="T590" s="300"/>
      <c r="U590" s="300"/>
      <c r="V590" s="300"/>
      <c r="W590" s="300"/>
      <c r="X590" s="300"/>
    </row>
    <row r="591">
      <c r="A591" s="300"/>
      <c r="B591" s="300"/>
      <c r="C591" s="300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  <c r="O591" s="300"/>
      <c r="P591" s="300"/>
      <c r="Q591" s="300"/>
      <c r="R591" s="300"/>
      <c r="S591" s="300"/>
      <c r="T591" s="300"/>
      <c r="U591" s="300"/>
      <c r="V591" s="300"/>
      <c r="W591" s="300"/>
      <c r="X591" s="300"/>
    </row>
    <row r="592">
      <c r="A592" s="300"/>
      <c r="B592" s="300"/>
      <c r="C592" s="300"/>
      <c r="D592" s="300"/>
      <c r="E592" s="300"/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300"/>
      <c r="S592" s="300"/>
      <c r="T592" s="300"/>
      <c r="U592" s="300"/>
      <c r="V592" s="300"/>
      <c r="W592" s="300"/>
      <c r="X592" s="300"/>
    </row>
    <row r="593">
      <c r="A593" s="300"/>
      <c r="B593" s="300"/>
      <c r="C593" s="300"/>
      <c r="D593" s="300"/>
      <c r="E593" s="300"/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300"/>
      <c r="S593" s="300"/>
      <c r="T593" s="300"/>
      <c r="U593" s="300"/>
      <c r="V593" s="300"/>
      <c r="W593" s="300"/>
      <c r="X593" s="300"/>
    </row>
    <row r="594">
      <c r="A594" s="300"/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0"/>
      <c r="U594" s="300"/>
      <c r="V594" s="300"/>
      <c r="W594" s="300"/>
      <c r="X594" s="300"/>
    </row>
    <row r="595">
      <c r="A595" s="300"/>
      <c r="B595" s="300"/>
      <c r="C595" s="300"/>
      <c r="D595" s="300"/>
      <c r="E595" s="300"/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300"/>
      <c r="S595" s="300"/>
      <c r="T595" s="300"/>
      <c r="U595" s="300"/>
      <c r="V595" s="300"/>
      <c r="W595" s="300"/>
      <c r="X595" s="300"/>
    </row>
    <row r="596">
      <c r="A596" s="300"/>
      <c r="B596" s="300"/>
      <c r="C596" s="300"/>
      <c r="D596" s="300"/>
      <c r="E596" s="300"/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300"/>
      <c r="S596" s="300"/>
      <c r="T596" s="300"/>
      <c r="U596" s="300"/>
      <c r="V596" s="300"/>
      <c r="W596" s="300"/>
      <c r="X596" s="300"/>
    </row>
    <row r="597">
      <c r="A597" s="300"/>
      <c r="B597" s="300"/>
      <c r="C597" s="300"/>
      <c r="D597" s="300"/>
      <c r="E597" s="300"/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300"/>
      <c r="S597" s="300"/>
      <c r="T597" s="300"/>
      <c r="U597" s="300"/>
      <c r="V597" s="300"/>
      <c r="W597" s="300"/>
      <c r="X597" s="300"/>
    </row>
    <row r="598">
      <c r="A598" s="300"/>
      <c r="B598" s="300"/>
      <c r="C598" s="300"/>
      <c r="D598" s="300"/>
      <c r="E598" s="300"/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300"/>
      <c r="S598" s="300"/>
      <c r="T598" s="300"/>
      <c r="U598" s="300"/>
      <c r="V598" s="300"/>
      <c r="W598" s="300"/>
      <c r="X598" s="300"/>
    </row>
    <row r="599">
      <c r="A599" s="300"/>
      <c r="B599" s="300"/>
      <c r="C599" s="300"/>
      <c r="D599" s="300"/>
      <c r="E599" s="300"/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300"/>
      <c r="S599" s="300"/>
      <c r="T599" s="300"/>
      <c r="U599" s="300"/>
      <c r="V599" s="300"/>
      <c r="W599" s="300"/>
      <c r="X599" s="300"/>
    </row>
    <row r="600">
      <c r="A600" s="300"/>
      <c r="B600" s="300"/>
      <c r="C600" s="300"/>
      <c r="D600" s="300"/>
      <c r="E600" s="300"/>
      <c r="F600" s="300"/>
      <c r="G600" s="300"/>
      <c r="H600" s="300"/>
      <c r="I600" s="300"/>
      <c r="J600" s="300"/>
      <c r="K600" s="300"/>
      <c r="L600" s="300"/>
      <c r="M600" s="300"/>
      <c r="N600" s="300"/>
      <c r="O600" s="300"/>
      <c r="P600" s="300"/>
      <c r="Q600" s="300"/>
      <c r="R600" s="300"/>
      <c r="S600" s="300"/>
      <c r="T600" s="300"/>
      <c r="U600" s="300"/>
      <c r="V600" s="300"/>
      <c r="W600" s="300"/>
      <c r="X600" s="300"/>
    </row>
    <row r="601">
      <c r="A601" s="300"/>
      <c r="B601" s="300"/>
      <c r="C601" s="300"/>
      <c r="D601" s="300"/>
      <c r="E601" s="300"/>
      <c r="F601" s="300"/>
      <c r="G601" s="300"/>
      <c r="H601" s="300"/>
      <c r="I601" s="300"/>
      <c r="J601" s="300"/>
      <c r="K601" s="300"/>
      <c r="L601" s="300"/>
      <c r="M601" s="300"/>
      <c r="N601" s="300"/>
      <c r="O601" s="300"/>
      <c r="P601" s="300"/>
      <c r="Q601" s="300"/>
      <c r="R601" s="300"/>
      <c r="S601" s="300"/>
      <c r="T601" s="300"/>
      <c r="U601" s="300"/>
      <c r="V601" s="300"/>
      <c r="W601" s="300"/>
      <c r="X601" s="300"/>
    </row>
    <row r="602">
      <c r="A602" s="300"/>
      <c r="B602" s="300"/>
      <c r="C602" s="300"/>
      <c r="D602" s="300"/>
      <c r="E602" s="300"/>
      <c r="F602" s="300"/>
      <c r="G602" s="300"/>
      <c r="H602" s="300"/>
      <c r="I602" s="300"/>
      <c r="J602" s="300"/>
      <c r="K602" s="300"/>
      <c r="L602" s="300"/>
      <c r="M602" s="300"/>
      <c r="N602" s="300"/>
      <c r="O602" s="300"/>
      <c r="P602" s="300"/>
      <c r="Q602" s="300"/>
      <c r="R602" s="300"/>
      <c r="S602" s="300"/>
      <c r="T602" s="300"/>
      <c r="U602" s="300"/>
      <c r="V602" s="300"/>
      <c r="W602" s="300"/>
      <c r="X602" s="300"/>
    </row>
    <row r="603">
      <c r="A603" s="300"/>
      <c r="B603" s="300"/>
      <c r="C603" s="300"/>
      <c r="D603" s="300"/>
      <c r="E603" s="300"/>
      <c r="F603" s="300"/>
      <c r="G603" s="300"/>
      <c r="H603" s="300"/>
      <c r="I603" s="300"/>
      <c r="J603" s="300"/>
      <c r="K603" s="300"/>
      <c r="L603" s="300"/>
      <c r="M603" s="300"/>
      <c r="N603" s="300"/>
      <c r="O603" s="300"/>
      <c r="P603" s="300"/>
      <c r="Q603" s="300"/>
      <c r="R603" s="300"/>
      <c r="S603" s="300"/>
      <c r="T603" s="300"/>
      <c r="U603" s="300"/>
      <c r="V603" s="300"/>
      <c r="W603" s="300"/>
      <c r="X603" s="300"/>
    </row>
    <row r="604">
      <c r="A604" s="300"/>
      <c r="B604" s="300"/>
      <c r="C604" s="300"/>
      <c r="D604" s="300"/>
      <c r="E604" s="300"/>
      <c r="F604" s="300"/>
      <c r="G604" s="300"/>
      <c r="H604" s="300"/>
      <c r="I604" s="300"/>
      <c r="J604" s="300"/>
      <c r="K604" s="300"/>
      <c r="L604" s="300"/>
      <c r="M604" s="300"/>
      <c r="N604" s="300"/>
      <c r="O604" s="300"/>
      <c r="P604" s="300"/>
      <c r="Q604" s="300"/>
      <c r="R604" s="300"/>
      <c r="S604" s="300"/>
      <c r="T604" s="300"/>
      <c r="U604" s="300"/>
      <c r="V604" s="300"/>
      <c r="W604" s="300"/>
      <c r="X604" s="300"/>
    </row>
    <row r="605">
      <c r="A605" s="300"/>
      <c r="B605" s="300"/>
      <c r="C605" s="300"/>
      <c r="D605" s="300"/>
      <c r="E605" s="300"/>
      <c r="F605" s="300"/>
      <c r="G605" s="300"/>
      <c r="H605" s="300"/>
      <c r="I605" s="300"/>
      <c r="J605" s="300"/>
      <c r="K605" s="300"/>
      <c r="L605" s="300"/>
      <c r="M605" s="300"/>
      <c r="N605" s="300"/>
      <c r="O605" s="300"/>
      <c r="P605" s="300"/>
      <c r="Q605" s="300"/>
      <c r="R605" s="300"/>
      <c r="S605" s="300"/>
      <c r="T605" s="300"/>
      <c r="U605" s="300"/>
      <c r="V605" s="300"/>
      <c r="W605" s="300"/>
      <c r="X605" s="300"/>
    </row>
    <row r="606">
      <c r="A606" s="300"/>
      <c r="B606" s="300"/>
      <c r="C606" s="300"/>
      <c r="D606" s="300"/>
      <c r="E606" s="300"/>
      <c r="F606" s="300"/>
      <c r="G606" s="300"/>
      <c r="H606" s="300"/>
      <c r="I606" s="300"/>
      <c r="J606" s="300"/>
      <c r="K606" s="300"/>
      <c r="L606" s="300"/>
      <c r="M606" s="300"/>
      <c r="N606" s="300"/>
      <c r="O606" s="300"/>
      <c r="P606" s="300"/>
      <c r="Q606" s="300"/>
      <c r="R606" s="300"/>
      <c r="S606" s="300"/>
      <c r="T606" s="300"/>
      <c r="U606" s="300"/>
      <c r="V606" s="300"/>
      <c r="W606" s="300"/>
      <c r="X606" s="300"/>
    </row>
    <row r="607">
      <c r="A607" s="300"/>
      <c r="B607" s="300"/>
      <c r="C607" s="300"/>
      <c r="D607" s="300"/>
      <c r="E607" s="300"/>
      <c r="F607" s="300"/>
      <c r="G607" s="300"/>
      <c r="H607" s="300"/>
      <c r="I607" s="300"/>
      <c r="J607" s="300"/>
      <c r="K607" s="300"/>
      <c r="L607" s="300"/>
      <c r="M607" s="300"/>
      <c r="N607" s="300"/>
      <c r="O607" s="300"/>
      <c r="P607" s="300"/>
      <c r="Q607" s="300"/>
      <c r="R607" s="300"/>
      <c r="S607" s="300"/>
      <c r="T607" s="300"/>
      <c r="U607" s="300"/>
      <c r="V607" s="300"/>
      <c r="W607" s="300"/>
      <c r="X607" s="300"/>
    </row>
    <row r="608">
      <c r="A608" s="300"/>
      <c r="B608" s="300"/>
      <c r="C608" s="300"/>
      <c r="D608" s="300"/>
      <c r="E608" s="300"/>
      <c r="F608" s="300"/>
      <c r="G608" s="300"/>
      <c r="H608" s="300"/>
      <c r="I608" s="300"/>
      <c r="J608" s="300"/>
      <c r="K608" s="300"/>
      <c r="L608" s="300"/>
      <c r="M608" s="300"/>
      <c r="N608" s="300"/>
      <c r="O608" s="300"/>
      <c r="P608" s="300"/>
      <c r="Q608" s="300"/>
      <c r="R608" s="300"/>
      <c r="S608" s="300"/>
      <c r="T608" s="300"/>
      <c r="U608" s="300"/>
      <c r="V608" s="300"/>
      <c r="W608" s="300"/>
      <c r="X608" s="300"/>
    </row>
    <row r="609">
      <c r="A609" s="300"/>
      <c r="B609" s="300"/>
      <c r="C609" s="300"/>
      <c r="D609" s="300"/>
      <c r="E609" s="300"/>
      <c r="F609" s="300"/>
      <c r="G609" s="300"/>
      <c r="H609" s="300"/>
      <c r="I609" s="300"/>
      <c r="J609" s="300"/>
      <c r="K609" s="300"/>
      <c r="L609" s="300"/>
      <c r="M609" s="300"/>
      <c r="N609" s="300"/>
      <c r="O609" s="300"/>
      <c r="P609" s="300"/>
      <c r="Q609" s="300"/>
      <c r="R609" s="300"/>
      <c r="S609" s="300"/>
      <c r="T609" s="300"/>
      <c r="U609" s="300"/>
      <c r="V609" s="300"/>
      <c r="W609" s="300"/>
      <c r="X609" s="300"/>
    </row>
    <row r="610">
      <c r="A610" s="300"/>
      <c r="B610" s="300"/>
      <c r="C610" s="300"/>
      <c r="D610" s="300"/>
      <c r="E610" s="300"/>
      <c r="F610" s="300"/>
      <c r="G610" s="300"/>
      <c r="H610" s="300"/>
      <c r="I610" s="300"/>
      <c r="J610" s="300"/>
      <c r="K610" s="300"/>
      <c r="L610" s="300"/>
      <c r="M610" s="300"/>
      <c r="N610" s="300"/>
      <c r="O610" s="300"/>
      <c r="P610" s="300"/>
      <c r="Q610" s="300"/>
      <c r="R610" s="300"/>
      <c r="S610" s="300"/>
      <c r="T610" s="300"/>
      <c r="U610" s="300"/>
      <c r="V610" s="300"/>
      <c r="W610" s="300"/>
      <c r="X610" s="300"/>
    </row>
    <row r="611">
      <c r="A611" s="300"/>
      <c r="B611" s="300"/>
      <c r="C611" s="300"/>
      <c r="D611" s="300"/>
      <c r="E611" s="300"/>
      <c r="F611" s="300"/>
      <c r="G611" s="300"/>
      <c r="H611" s="300"/>
      <c r="I611" s="300"/>
      <c r="J611" s="300"/>
      <c r="K611" s="300"/>
      <c r="L611" s="300"/>
      <c r="M611" s="300"/>
      <c r="N611" s="300"/>
      <c r="O611" s="300"/>
      <c r="P611" s="300"/>
      <c r="Q611" s="300"/>
      <c r="R611" s="300"/>
      <c r="S611" s="300"/>
      <c r="T611" s="300"/>
      <c r="U611" s="300"/>
      <c r="V611" s="300"/>
      <c r="W611" s="300"/>
      <c r="X611" s="300"/>
    </row>
    <row r="612">
      <c r="A612" s="300"/>
      <c r="B612" s="300"/>
      <c r="C612" s="300"/>
      <c r="D612" s="300"/>
      <c r="E612" s="300"/>
      <c r="F612" s="300"/>
      <c r="G612" s="300"/>
      <c r="H612" s="300"/>
      <c r="I612" s="300"/>
      <c r="J612" s="300"/>
      <c r="K612" s="300"/>
      <c r="L612" s="300"/>
      <c r="M612" s="300"/>
      <c r="N612" s="300"/>
      <c r="O612" s="300"/>
      <c r="P612" s="300"/>
      <c r="Q612" s="300"/>
      <c r="R612" s="300"/>
      <c r="S612" s="300"/>
      <c r="T612" s="300"/>
      <c r="U612" s="300"/>
      <c r="V612" s="300"/>
      <c r="W612" s="300"/>
      <c r="X612" s="300"/>
    </row>
    <row r="613">
      <c r="A613" s="300"/>
      <c r="B613" s="300"/>
      <c r="C613" s="300"/>
      <c r="D613" s="300"/>
      <c r="E613" s="300"/>
      <c r="F613" s="300"/>
      <c r="G613" s="300"/>
      <c r="H613" s="300"/>
      <c r="I613" s="300"/>
      <c r="J613" s="300"/>
      <c r="K613" s="300"/>
      <c r="L613" s="300"/>
      <c r="M613" s="300"/>
      <c r="N613" s="300"/>
      <c r="O613" s="300"/>
      <c r="P613" s="300"/>
      <c r="Q613" s="300"/>
      <c r="R613" s="300"/>
      <c r="S613" s="300"/>
      <c r="T613" s="300"/>
      <c r="U613" s="300"/>
      <c r="V613" s="300"/>
      <c r="W613" s="300"/>
      <c r="X613" s="300"/>
    </row>
    <row r="614">
      <c r="A614" s="300"/>
      <c r="B614" s="300"/>
      <c r="C614" s="300"/>
      <c r="D614" s="300"/>
      <c r="E614" s="300"/>
      <c r="F614" s="300"/>
      <c r="G614" s="300"/>
      <c r="H614" s="300"/>
      <c r="I614" s="300"/>
      <c r="J614" s="300"/>
      <c r="K614" s="300"/>
      <c r="L614" s="300"/>
      <c r="M614" s="300"/>
      <c r="N614" s="300"/>
      <c r="O614" s="300"/>
      <c r="P614" s="300"/>
      <c r="Q614" s="300"/>
      <c r="R614" s="300"/>
      <c r="S614" s="300"/>
      <c r="T614" s="300"/>
      <c r="U614" s="300"/>
      <c r="V614" s="300"/>
      <c r="W614" s="300"/>
      <c r="X614" s="300"/>
    </row>
    <row r="615">
      <c r="A615" s="300"/>
      <c r="B615" s="300"/>
      <c r="C615" s="300"/>
      <c r="D615" s="300"/>
      <c r="E615" s="300"/>
      <c r="F615" s="300"/>
      <c r="G615" s="300"/>
      <c r="H615" s="300"/>
      <c r="I615" s="300"/>
      <c r="J615" s="300"/>
      <c r="K615" s="300"/>
      <c r="L615" s="300"/>
      <c r="M615" s="300"/>
      <c r="N615" s="300"/>
      <c r="O615" s="300"/>
      <c r="P615" s="300"/>
      <c r="Q615" s="300"/>
      <c r="R615" s="300"/>
      <c r="S615" s="300"/>
      <c r="T615" s="300"/>
      <c r="U615" s="300"/>
      <c r="V615" s="300"/>
      <c r="W615" s="300"/>
      <c r="X615" s="300"/>
    </row>
    <row r="616">
      <c r="A616" s="300"/>
      <c r="B616" s="300"/>
      <c r="C616" s="300"/>
      <c r="D616" s="300"/>
      <c r="E616" s="300"/>
      <c r="F616" s="300"/>
      <c r="G616" s="300"/>
      <c r="H616" s="300"/>
      <c r="I616" s="300"/>
      <c r="J616" s="300"/>
      <c r="K616" s="300"/>
      <c r="L616" s="300"/>
      <c r="M616" s="300"/>
      <c r="N616" s="300"/>
      <c r="O616" s="300"/>
      <c r="P616" s="300"/>
      <c r="Q616" s="300"/>
      <c r="R616" s="300"/>
      <c r="S616" s="300"/>
      <c r="T616" s="300"/>
      <c r="U616" s="300"/>
      <c r="V616" s="300"/>
      <c r="W616" s="300"/>
      <c r="X616" s="300"/>
    </row>
    <row r="617">
      <c r="A617" s="300"/>
      <c r="B617" s="300"/>
      <c r="C617" s="300"/>
      <c r="D617" s="300"/>
      <c r="E617" s="300"/>
      <c r="F617" s="300"/>
      <c r="G617" s="300"/>
      <c r="H617" s="300"/>
      <c r="I617" s="300"/>
      <c r="J617" s="300"/>
      <c r="K617" s="300"/>
      <c r="L617" s="300"/>
      <c r="M617" s="300"/>
      <c r="N617" s="300"/>
      <c r="O617" s="300"/>
      <c r="P617" s="300"/>
      <c r="Q617" s="300"/>
      <c r="R617" s="300"/>
      <c r="S617" s="300"/>
      <c r="T617" s="300"/>
      <c r="U617" s="300"/>
      <c r="V617" s="300"/>
      <c r="W617" s="300"/>
      <c r="X617" s="300"/>
    </row>
    <row r="618">
      <c r="A618" s="300"/>
      <c r="B618" s="300"/>
      <c r="C618" s="300"/>
      <c r="D618" s="300"/>
      <c r="E618" s="300"/>
      <c r="F618" s="300"/>
      <c r="G618" s="300"/>
      <c r="H618" s="300"/>
      <c r="I618" s="300"/>
      <c r="J618" s="300"/>
      <c r="K618" s="300"/>
      <c r="L618" s="300"/>
      <c r="M618" s="300"/>
      <c r="N618" s="300"/>
      <c r="O618" s="300"/>
      <c r="P618" s="300"/>
      <c r="Q618" s="300"/>
      <c r="R618" s="300"/>
      <c r="S618" s="300"/>
      <c r="T618" s="300"/>
      <c r="U618" s="300"/>
      <c r="V618" s="300"/>
      <c r="W618" s="300"/>
      <c r="X618" s="300"/>
    </row>
    <row r="619">
      <c r="A619" s="300"/>
      <c r="B619" s="300"/>
      <c r="C619" s="300"/>
      <c r="D619" s="300"/>
      <c r="E619" s="300"/>
      <c r="F619" s="300"/>
      <c r="G619" s="300"/>
      <c r="H619" s="300"/>
      <c r="I619" s="300"/>
      <c r="J619" s="300"/>
      <c r="K619" s="300"/>
      <c r="L619" s="300"/>
      <c r="M619" s="300"/>
      <c r="N619" s="300"/>
      <c r="O619" s="300"/>
      <c r="P619" s="300"/>
      <c r="Q619" s="300"/>
      <c r="R619" s="300"/>
      <c r="S619" s="300"/>
      <c r="T619" s="300"/>
      <c r="U619" s="300"/>
      <c r="V619" s="300"/>
      <c r="W619" s="300"/>
      <c r="X619" s="300"/>
    </row>
    <row r="620">
      <c r="A620" s="300"/>
      <c r="B620" s="300"/>
      <c r="C620" s="300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300"/>
      <c r="S620" s="300"/>
      <c r="T620" s="300"/>
      <c r="U620" s="300"/>
      <c r="V620" s="300"/>
      <c r="W620" s="300"/>
      <c r="X620" s="300"/>
    </row>
    <row r="621">
      <c r="A621" s="300"/>
      <c r="B621" s="300"/>
      <c r="C621" s="300"/>
      <c r="D621" s="300"/>
      <c r="E621" s="300"/>
      <c r="F621" s="300"/>
      <c r="G621" s="300"/>
      <c r="H621" s="300"/>
      <c r="I621" s="300"/>
      <c r="J621" s="300"/>
      <c r="K621" s="300"/>
      <c r="L621" s="300"/>
      <c r="M621" s="300"/>
      <c r="N621" s="300"/>
      <c r="O621" s="300"/>
      <c r="P621" s="300"/>
      <c r="Q621" s="300"/>
      <c r="R621" s="300"/>
      <c r="S621" s="300"/>
      <c r="T621" s="300"/>
      <c r="U621" s="300"/>
      <c r="V621" s="300"/>
      <c r="W621" s="300"/>
      <c r="X621" s="300"/>
    </row>
    <row r="622">
      <c r="A622" s="300"/>
      <c r="B622" s="300"/>
      <c r="C622" s="300"/>
      <c r="D622" s="300"/>
      <c r="E622" s="300"/>
      <c r="F622" s="300"/>
      <c r="G622" s="300"/>
      <c r="H622" s="300"/>
      <c r="I622" s="300"/>
      <c r="J622" s="300"/>
      <c r="K622" s="300"/>
      <c r="L622" s="300"/>
      <c r="M622" s="300"/>
      <c r="N622" s="300"/>
      <c r="O622" s="300"/>
      <c r="P622" s="300"/>
      <c r="Q622" s="300"/>
      <c r="R622" s="300"/>
      <c r="S622" s="300"/>
      <c r="T622" s="300"/>
      <c r="U622" s="300"/>
      <c r="V622" s="300"/>
      <c r="W622" s="300"/>
      <c r="X622" s="300"/>
    </row>
    <row r="623">
      <c r="A623" s="300"/>
      <c r="B623" s="300"/>
      <c r="C623" s="300"/>
      <c r="D623" s="300"/>
      <c r="E623" s="300"/>
      <c r="F623" s="300"/>
      <c r="G623" s="300"/>
      <c r="H623" s="300"/>
      <c r="I623" s="300"/>
      <c r="J623" s="300"/>
      <c r="K623" s="300"/>
      <c r="L623" s="300"/>
      <c r="M623" s="300"/>
      <c r="N623" s="300"/>
      <c r="O623" s="300"/>
      <c r="P623" s="300"/>
      <c r="Q623" s="300"/>
      <c r="R623" s="300"/>
      <c r="S623" s="300"/>
      <c r="T623" s="300"/>
      <c r="U623" s="300"/>
      <c r="V623" s="300"/>
      <c r="W623" s="300"/>
      <c r="X623" s="300"/>
    </row>
    <row r="624">
      <c r="A624" s="300"/>
      <c r="B624" s="300"/>
      <c r="C624" s="300"/>
      <c r="D624" s="300"/>
      <c r="E624" s="300"/>
      <c r="F624" s="300"/>
      <c r="G624" s="300"/>
      <c r="H624" s="300"/>
      <c r="I624" s="300"/>
      <c r="J624" s="300"/>
      <c r="K624" s="300"/>
      <c r="L624" s="300"/>
      <c r="M624" s="300"/>
      <c r="N624" s="300"/>
      <c r="O624" s="300"/>
      <c r="P624" s="300"/>
      <c r="Q624" s="300"/>
      <c r="R624" s="300"/>
      <c r="S624" s="300"/>
      <c r="T624" s="300"/>
      <c r="U624" s="300"/>
      <c r="V624" s="300"/>
      <c r="W624" s="300"/>
      <c r="X624" s="300"/>
    </row>
    <row r="625">
      <c r="A625" s="300"/>
      <c r="B625" s="300"/>
      <c r="C625" s="300"/>
      <c r="D625" s="300"/>
      <c r="E625" s="300"/>
      <c r="F625" s="300"/>
      <c r="G625" s="300"/>
      <c r="H625" s="300"/>
      <c r="I625" s="300"/>
      <c r="J625" s="300"/>
      <c r="K625" s="300"/>
      <c r="L625" s="300"/>
      <c r="M625" s="300"/>
      <c r="N625" s="300"/>
      <c r="O625" s="300"/>
      <c r="P625" s="300"/>
      <c r="Q625" s="300"/>
      <c r="R625" s="300"/>
      <c r="S625" s="300"/>
      <c r="T625" s="300"/>
      <c r="U625" s="300"/>
      <c r="V625" s="300"/>
      <c r="W625" s="300"/>
      <c r="X625" s="300"/>
    </row>
    <row r="626">
      <c r="A626" s="300"/>
      <c r="B626" s="300"/>
      <c r="C626" s="300"/>
      <c r="D626" s="300"/>
      <c r="E626" s="300"/>
      <c r="F626" s="300"/>
      <c r="G626" s="300"/>
      <c r="H626" s="300"/>
      <c r="I626" s="300"/>
      <c r="J626" s="300"/>
      <c r="K626" s="300"/>
      <c r="L626" s="300"/>
      <c r="M626" s="300"/>
      <c r="N626" s="300"/>
      <c r="O626" s="300"/>
      <c r="P626" s="300"/>
      <c r="Q626" s="300"/>
      <c r="R626" s="300"/>
      <c r="S626" s="300"/>
      <c r="T626" s="300"/>
      <c r="U626" s="300"/>
      <c r="V626" s="300"/>
      <c r="W626" s="300"/>
      <c r="X626" s="300"/>
    </row>
    <row r="627">
      <c r="A627" s="300"/>
      <c r="B627" s="300"/>
      <c r="C627" s="300"/>
      <c r="D627" s="300"/>
      <c r="E627" s="300"/>
      <c r="F627" s="300"/>
      <c r="G627" s="300"/>
      <c r="H627" s="300"/>
      <c r="I627" s="300"/>
      <c r="J627" s="300"/>
      <c r="K627" s="300"/>
      <c r="L627" s="300"/>
      <c r="M627" s="300"/>
      <c r="N627" s="300"/>
      <c r="O627" s="300"/>
      <c r="P627" s="300"/>
      <c r="Q627" s="300"/>
      <c r="R627" s="300"/>
      <c r="S627" s="300"/>
      <c r="T627" s="300"/>
      <c r="U627" s="300"/>
      <c r="V627" s="300"/>
      <c r="W627" s="300"/>
      <c r="X627" s="300"/>
    </row>
    <row r="628">
      <c r="A628" s="300"/>
      <c r="B628" s="300"/>
      <c r="C628" s="300"/>
      <c r="D628" s="300"/>
      <c r="E628" s="300"/>
      <c r="F628" s="300"/>
      <c r="G628" s="300"/>
      <c r="H628" s="300"/>
      <c r="I628" s="300"/>
      <c r="J628" s="300"/>
      <c r="K628" s="300"/>
      <c r="L628" s="300"/>
      <c r="M628" s="300"/>
      <c r="N628" s="300"/>
      <c r="O628" s="300"/>
      <c r="P628" s="300"/>
      <c r="Q628" s="300"/>
      <c r="R628" s="300"/>
      <c r="S628" s="300"/>
      <c r="T628" s="300"/>
      <c r="U628" s="300"/>
      <c r="V628" s="300"/>
      <c r="W628" s="300"/>
      <c r="X628" s="300"/>
    </row>
    <row r="629">
      <c r="A629" s="300"/>
      <c r="B629" s="300"/>
      <c r="C629" s="300"/>
      <c r="D629" s="300"/>
      <c r="E629" s="300"/>
      <c r="F629" s="300"/>
      <c r="G629" s="300"/>
      <c r="H629" s="300"/>
      <c r="I629" s="300"/>
      <c r="J629" s="300"/>
      <c r="K629" s="300"/>
      <c r="L629" s="300"/>
      <c r="M629" s="300"/>
      <c r="N629" s="300"/>
      <c r="O629" s="300"/>
      <c r="P629" s="300"/>
      <c r="Q629" s="300"/>
      <c r="R629" s="300"/>
      <c r="S629" s="300"/>
      <c r="T629" s="300"/>
      <c r="U629" s="300"/>
      <c r="V629" s="300"/>
      <c r="W629" s="300"/>
      <c r="X629" s="300"/>
    </row>
    <row r="630">
      <c r="A630" s="300"/>
      <c r="B630" s="300"/>
      <c r="C630" s="300"/>
      <c r="D630" s="300"/>
      <c r="E630" s="300"/>
      <c r="F630" s="300"/>
      <c r="G630" s="300"/>
      <c r="H630" s="300"/>
      <c r="I630" s="300"/>
      <c r="J630" s="300"/>
      <c r="K630" s="300"/>
      <c r="L630" s="300"/>
      <c r="M630" s="300"/>
      <c r="N630" s="300"/>
      <c r="O630" s="300"/>
      <c r="P630" s="300"/>
      <c r="Q630" s="300"/>
      <c r="R630" s="300"/>
      <c r="S630" s="300"/>
      <c r="T630" s="300"/>
      <c r="U630" s="300"/>
      <c r="V630" s="300"/>
      <c r="W630" s="300"/>
      <c r="X630" s="300"/>
    </row>
    <row r="631">
      <c r="A631" s="300"/>
      <c r="B631" s="300"/>
      <c r="C631" s="300"/>
      <c r="D631" s="300"/>
      <c r="E631" s="300"/>
      <c r="F631" s="300"/>
      <c r="G631" s="300"/>
      <c r="H631" s="300"/>
      <c r="I631" s="300"/>
      <c r="J631" s="300"/>
      <c r="K631" s="300"/>
      <c r="L631" s="300"/>
      <c r="M631" s="300"/>
      <c r="N631" s="300"/>
      <c r="O631" s="300"/>
      <c r="P631" s="300"/>
      <c r="Q631" s="300"/>
      <c r="R631" s="300"/>
      <c r="S631" s="300"/>
      <c r="T631" s="300"/>
      <c r="U631" s="300"/>
      <c r="V631" s="300"/>
      <c r="W631" s="300"/>
      <c r="X631" s="300"/>
    </row>
    <row r="632">
      <c r="A632" s="300"/>
      <c r="B632" s="300"/>
      <c r="C632" s="300"/>
      <c r="D632" s="300"/>
      <c r="E632" s="300"/>
      <c r="F632" s="300"/>
      <c r="G632" s="300"/>
      <c r="H632" s="300"/>
      <c r="I632" s="300"/>
      <c r="J632" s="300"/>
      <c r="K632" s="300"/>
      <c r="L632" s="300"/>
      <c r="M632" s="300"/>
      <c r="N632" s="300"/>
      <c r="O632" s="300"/>
      <c r="P632" s="300"/>
      <c r="Q632" s="300"/>
      <c r="R632" s="300"/>
      <c r="S632" s="300"/>
      <c r="T632" s="300"/>
      <c r="U632" s="300"/>
      <c r="V632" s="300"/>
      <c r="W632" s="300"/>
      <c r="X632" s="300"/>
    </row>
    <row r="633">
      <c r="A633" s="300"/>
      <c r="B633" s="300"/>
      <c r="C633" s="300"/>
      <c r="D633" s="300"/>
      <c r="E633" s="300"/>
      <c r="F633" s="300"/>
      <c r="G633" s="300"/>
      <c r="H633" s="300"/>
      <c r="I633" s="300"/>
      <c r="J633" s="300"/>
      <c r="K633" s="300"/>
      <c r="L633" s="300"/>
      <c r="M633" s="300"/>
      <c r="N633" s="300"/>
      <c r="O633" s="300"/>
      <c r="P633" s="300"/>
      <c r="Q633" s="300"/>
      <c r="R633" s="300"/>
      <c r="S633" s="300"/>
      <c r="T633" s="300"/>
      <c r="U633" s="300"/>
      <c r="V633" s="300"/>
      <c r="W633" s="300"/>
      <c r="X633" s="300"/>
    </row>
    <row r="634">
      <c r="A634" s="300"/>
      <c r="B634" s="300"/>
      <c r="C634" s="300"/>
      <c r="D634" s="300"/>
      <c r="E634" s="300"/>
      <c r="F634" s="300"/>
      <c r="G634" s="300"/>
      <c r="H634" s="300"/>
      <c r="I634" s="300"/>
      <c r="J634" s="300"/>
      <c r="K634" s="300"/>
      <c r="L634" s="300"/>
      <c r="M634" s="300"/>
      <c r="N634" s="300"/>
      <c r="O634" s="300"/>
      <c r="P634" s="300"/>
      <c r="Q634" s="300"/>
      <c r="R634" s="300"/>
      <c r="S634" s="300"/>
      <c r="T634" s="300"/>
      <c r="U634" s="300"/>
      <c r="V634" s="300"/>
      <c r="W634" s="300"/>
      <c r="X634" s="300"/>
    </row>
    <row r="635">
      <c r="A635" s="300"/>
      <c r="B635" s="300"/>
      <c r="C635" s="300"/>
      <c r="D635" s="300"/>
      <c r="E635" s="300"/>
      <c r="F635" s="300"/>
      <c r="G635" s="300"/>
      <c r="H635" s="300"/>
      <c r="I635" s="300"/>
      <c r="J635" s="300"/>
      <c r="K635" s="300"/>
      <c r="L635" s="300"/>
      <c r="M635" s="300"/>
      <c r="N635" s="300"/>
      <c r="O635" s="300"/>
      <c r="P635" s="300"/>
      <c r="Q635" s="300"/>
      <c r="R635" s="300"/>
      <c r="S635" s="300"/>
      <c r="T635" s="300"/>
      <c r="U635" s="300"/>
      <c r="V635" s="300"/>
      <c r="W635" s="300"/>
      <c r="X635" s="300"/>
    </row>
    <row r="636">
      <c r="A636" s="300"/>
      <c r="B636" s="300"/>
      <c r="C636" s="300"/>
      <c r="D636" s="300"/>
      <c r="E636" s="300"/>
      <c r="F636" s="300"/>
      <c r="G636" s="300"/>
      <c r="H636" s="300"/>
      <c r="I636" s="300"/>
      <c r="J636" s="300"/>
      <c r="K636" s="300"/>
      <c r="L636" s="300"/>
      <c r="M636" s="300"/>
      <c r="N636" s="300"/>
      <c r="O636" s="300"/>
      <c r="P636" s="300"/>
      <c r="Q636" s="300"/>
      <c r="R636" s="300"/>
      <c r="S636" s="300"/>
      <c r="T636" s="300"/>
      <c r="U636" s="300"/>
      <c r="V636" s="300"/>
      <c r="W636" s="300"/>
      <c r="X636" s="300"/>
    </row>
    <row r="637">
      <c r="A637" s="300"/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0"/>
      <c r="U637" s="300"/>
      <c r="V637" s="300"/>
      <c r="W637" s="300"/>
      <c r="X637" s="300"/>
    </row>
    <row r="638">
      <c r="A638" s="300"/>
      <c r="B638" s="300"/>
      <c r="C638" s="300"/>
      <c r="D638" s="300"/>
      <c r="E638" s="300"/>
      <c r="F638" s="300"/>
      <c r="G638" s="300"/>
      <c r="H638" s="300"/>
      <c r="I638" s="300"/>
      <c r="J638" s="300"/>
      <c r="K638" s="300"/>
      <c r="L638" s="300"/>
      <c r="M638" s="300"/>
      <c r="N638" s="300"/>
      <c r="O638" s="300"/>
      <c r="P638" s="300"/>
      <c r="Q638" s="300"/>
      <c r="R638" s="300"/>
      <c r="S638" s="300"/>
      <c r="T638" s="300"/>
      <c r="U638" s="300"/>
      <c r="V638" s="300"/>
      <c r="W638" s="300"/>
      <c r="X638" s="300"/>
    </row>
    <row r="639">
      <c r="A639" s="300"/>
      <c r="B639" s="300"/>
      <c r="C639" s="300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300"/>
      <c r="S639" s="300"/>
      <c r="T639" s="300"/>
      <c r="U639" s="300"/>
      <c r="V639" s="300"/>
      <c r="W639" s="300"/>
      <c r="X639" s="300"/>
    </row>
    <row r="640">
      <c r="A640" s="300"/>
      <c r="B640" s="300"/>
      <c r="C640" s="300"/>
      <c r="D640" s="300"/>
      <c r="E640" s="300"/>
      <c r="F640" s="300"/>
      <c r="G640" s="300"/>
      <c r="H640" s="300"/>
      <c r="I640" s="300"/>
      <c r="J640" s="300"/>
      <c r="K640" s="300"/>
      <c r="L640" s="300"/>
      <c r="M640" s="300"/>
      <c r="N640" s="300"/>
      <c r="O640" s="300"/>
      <c r="P640" s="300"/>
      <c r="Q640" s="300"/>
      <c r="R640" s="300"/>
      <c r="S640" s="300"/>
      <c r="T640" s="300"/>
      <c r="U640" s="300"/>
      <c r="V640" s="300"/>
      <c r="W640" s="300"/>
      <c r="X640" s="300"/>
    </row>
    <row r="641">
      <c r="A641" s="300"/>
      <c r="B641" s="300"/>
      <c r="C641" s="300"/>
      <c r="D641" s="300"/>
      <c r="E641" s="300"/>
      <c r="F641" s="300"/>
      <c r="G641" s="300"/>
      <c r="H641" s="300"/>
      <c r="I641" s="300"/>
      <c r="J641" s="300"/>
      <c r="K641" s="300"/>
      <c r="L641" s="300"/>
      <c r="M641" s="300"/>
      <c r="N641" s="300"/>
      <c r="O641" s="300"/>
      <c r="P641" s="300"/>
      <c r="Q641" s="300"/>
      <c r="R641" s="300"/>
      <c r="S641" s="300"/>
      <c r="T641" s="300"/>
      <c r="U641" s="300"/>
      <c r="V641" s="300"/>
      <c r="W641" s="300"/>
      <c r="X641" s="300"/>
    </row>
    <row r="642">
      <c r="A642" s="300"/>
      <c r="B642" s="300"/>
      <c r="C642" s="300"/>
      <c r="D642" s="300"/>
      <c r="E642" s="300"/>
      <c r="F642" s="300"/>
      <c r="G642" s="300"/>
      <c r="H642" s="300"/>
      <c r="I642" s="300"/>
      <c r="J642" s="300"/>
      <c r="K642" s="300"/>
      <c r="L642" s="300"/>
      <c r="M642" s="300"/>
      <c r="N642" s="300"/>
      <c r="O642" s="300"/>
      <c r="P642" s="300"/>
      <c r="Q642" s="300"/>
      <c r="R642" s="300"/>
      <c r="S642" s="300"/>
      <c r="T642" s="300"/>
      <c r="U642" s="300"/>
      <c r="V642" s="300"/>
      <c r="W642" s="300"/>
      <c r="X642" s="300"/>
    </row>
    <row r="643">
      <c r="A643" s="300"/>
      <c r="B643" s="300"/>
      <c r="C643" s="300"/>
      <c r="D643" s="300"/>
      <c r="E643" s="300"/>
      <c r="F643" s="300"/>
      <c r="G643" s="300"/>
      <c r="H643" s="300"/>
      <c r="I643" s="300"/>
      <c r="J643" s="300"/>
      <c r="K643" s="300"/>
      <c r="L643" s="300"/>
      <c r="M643" s="300"/>
      <c r="N643" s="300"/>
      <c r="O643" s="300"/>
      <c r="P643" s="300"/>
      <c r="Q643" s="300"/>
      <c r="R643" s="300"/>
      <c r="S643" s="300"/>
      <c r="T643" s="300"/>
      <c r="U643" s="300"/>
      <c r="V643" s="300"/>
      <c r="W643" s="300"/>
      <c r="X643" s="300"/>
    </row>
    <row r="644">
      <c r="A644" s="300"/>
      <c r="B644" s="300"/>
      <c r="C644" s="300"/>
      <c r="D644" s="300"/>
      <c r="E644" s="300"/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300"/>
      <c r="S644" s="300"/>
      <c r="T644" s="300"/>
      <c r="U644" s="300"/>
      <c r="V644" s="300"/>
      <c r="W644" s="300"/>
      <c r="X644" s="300"/>
    </row>
    <row r="645">
      <c r="A645" s="300"/>
      <c r="B645" s="300"/>
      <c r="C645" s="300"/>
      <c r="D645" s="300"/>
      <c r="E645" s="300"/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300"/>
      <c r="S645" s="300"/>
      <c r="T645" s="300"/>
      <c r="U645" s="300"/>
      <c r="V645" s="300"/>
      <c r="W645" s="300"/>
      <c r="X645" s="300"/>
    </row>
    <row r="646">
      <c r="A646" s="300"/>
      <c r="B646" s="300"/>
      <c r="C646" s="300"/>
      <c r="D646" s="300"/>
      <c r="E646" s="300"/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300"/>
      <c r="S646" s="300"/>
      <c r="T646" s="300"/>
      <c r="U646" s="300"/>
      <c r="V646" s="300"/>
      <c r="W646" s="300"/>
      <c r="X646" s="300"/>
    </row>
    <row r="647">
      <c r="A647" s="300"/>
      <c r="B647" s="300"/>
      <c r="C647" s="300"/>
      <c r="D647" s="300"/>
      <c r="E647" s="300"/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300"/>
      <c r="S647" s="300"/>
      <c r="T647" s="300"/>
      <c r="U647" s="300"/>
      <c r="V647" s="300"/>
      <c r="W647" s="300"/>
      <c r="X647" s="300"/>
    </row>
    <row r="648">
      <c r="A648" s="300"/>
      <c r="B648" s="300"/>
      <c r="C648" s="300"/>
      <c r="D648" s="300"/>
      <c r="E648" s="300"/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  <c r="T648" s="300"/>
      <c r="U648" s="300"/>
      <c r="V648" s="300"/>
      <c r="W648" s="300"/>
      <c r="X648" s="300"/>
    </row>
    <row r="649">
      <c r="A649" s="300"/>
      <c r="B649" s="300"/>
      <c r="C649" s="300"/>
      <c r="D649" s="300"/>
      <c r="E649" s="300"/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300"/>
      <c r="S649" s="300"/>
      <c r="T649" s="300"/>
      <c r="U649" s="300"/>
      <c r="V649" s="300"/>
      <c r="W649" s="300"/>
      <c r="X649" s="300"/>
    </row>
    <row r="650">
      <c r="A650" s="300"/>
      <c r="B650" s="300"/>
      <c r="C650" s="300"/>
      <c r="D650" s="300"/>
      <c r="E650" s="300"/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300"/>
      <c r="S650" s="300"/>
      <c r="T650" s="300"/>
      <c r="U650" s="300"/>
      <c r="V650" s="300"/>
      <c r="W650" s="300"/>
      <c r="X650" s="300"/>
    </row>
    <row r="651">
      <c r="A651" s="300"/>
      <c r="B651" s="300"/>
      <c r="C651" s="300"/>
      <c r="D651" s="300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0"/>
      <c r="U651" s="300"/>
      <c r="V651" s="300"/>
      <c r="W651" s="300"/>
      <c r="X651" s="300"/>
    </row>
    <row r="652">
      <c r="A652" s="300"/>
      <c r="B652" s="300"/>
      <c r="C652" s="300"/>
      <c r="D652" s="300"/>
      <c r="E652" s="300"/>
      <c r="F652" s="300"/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300"/>
      <c r="S652" s="300"/>
      <c r="T652" s="300"/>
      <c r="U652" s="300"/>
      <c r="V652" s="300"/>
      <c r="W652" s="300"/>
      <c r="X652" s="300"/>
    </row>
    <row r="653">
      <c r="A653" s="300"/>
      <c r="B653" s="300"/>
      <c r="C653" s="300"/>
      <c r="D653" s="300"/>
      <c r="E653" s="300"/>
      <c r="F653" s="300"/>
      <c r="G653" s="300"/>
      <c r="H653" s="300"/>
      <c r="I653" s="300"/>
      <c r="J653" s="300"/>
      <c r="K653" s="300"/>
      <c r="L653" s="300"/>
      <c r="M653" s="300"/>
      <c r="N653" s="300"/>
      <c r="O653" s="300"/>
      <c r="P653" s="300"/>
      <c r="Q653" s="300"/>
      <c r="R653" s="300"/>
      <c r="S653" s="300"/>
      <c r="T653" s="300"/>
      <c r="U653" s="300"/>
      <c r="V653" s="300"/>
      <c r="W653" s="300"/>
      <c r="X653" s="300"/>
    </row>
    <row r="654">
      <c r="A654" s="300"/>
      <c r="B654" s="300"/>
      <c r="C654" s="300"/>
      <c r="D654" s="300"/>
      <c r="E654" s="300"/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300"/>
      <c r="S654" s="300"/>
      <c r="T654" s="300"/>
      <c r="U654" s="300"/>
      <c r="V654" s="300"/>
      <c r="W654" s="300"/>
      <c r="X654" s="300"/>
    </row>
    <row r="655">
      <c r="A655" s="300"/>
      <c r="B655" s="300"/>
      <c r="C655" s="300"/>
      <c r="D655" s="300"/>
      <c r="E655" s="300"/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300"/>
      <c r="S655" s="300"/>
      <c r="T655" s="300"/>
      <c r="U655" s="300"/>
      <c r="V655" s="300"/>
      <c r="W655" s="300"/>
      <c r="X655" s="300"/>
    </row>
    <row r="656">
      <c r="A656" s="300"/>
      <c r="B656" s="300"/>
      <c r="C656" s="300"/>
      <c r="D656" s="300"/>
      <c r="E656" s="300"/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300"/>
      <c r="S656" s="300"/>
      <c r="T656" s="300"/>
      <c r="U656" s="300"/>
      <c r="V656" s="300"/>
      <c r="W656" s="300"/>
      <c r="X656" s="300"/>
    </row>
    <row r="657">
      <c r="A657" s="300"/>
      <c r="B657" s="300"/>
      <c r="C657" s="300"/>
      <c r="D657" s="300"/>
      <c r="E657" s="300"/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300"/>
      <c r="S657" s="300"/>
      <c r="T657" s="300"/>
      <c r="U657" s="300"/>
      <c r="V657" s="300"/>
      <c r="W657" s="300"/>
      <c r="X657" s="300"/>
    </row>
    <row r="658">
      <c r="A658" s="300"/>
      <c r="B658" s="300"/>
      <c r="C658" s="300"/>
      <c r="D658" s="300"/>
      <c r="E658" s="300"/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300"/>
      <c r="S658" s="300"/>
      <c r="T658" s="300"/>
      <c r="U658" s="300"/>
      <c r="V658" s="300"/>
      <c r="W658" s="300"/>
      <c r="X658" s="300"/>
    </row>
    <row r="659">
      <c r="A659" s="300"/>
      <c r="B659" s="300"/>
      <c r="C659" s="300"/>
      <c r="D659" s="300"/>
      <c r="E659" s="300"/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300"/>
      <c r="S659" s="300"/>
      <c r="T659" s="300"/>
      <c r="U659" s="300"/>
      <c r="V659" s="300"/>
      <c r="W659" s="300"/>
      <c r="X659" s="300"/>
    </row>
    <row r="660">
      <c r="A660" s="300"/>
      <c r="B660" s="300"/>
      <c r="C660" s="300"/>
      <c r="D660" s="300"/>
      <c r="E660" s="300"/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300"/>
      <c r="S660" s="300"/>
      <c r="T660" s="300"/>
      <c r="U660" s="300"/>
      <c r="V660" s="300"/>
      <c r="W660" s="300"/>
      <c r="X660" s="300"/>
    </row>
    <row r="661">
      <c r="A661" s="300"/>
      <c r="B661" s="300"/>
      <c r="C661" s="300"/>
      <c r="D661" s="300"/>
      <c r="E661" s="300"/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300"/>
      <c r="S661" s="300"/>
      <c r="T661" s="300"/>
      <c r="U661" s="300"/>
      <c r="V661" s="300"/>
      <c r="W661" s="300"/>
      <c r="X661" s="300"/>
    </row>
    <row r="662">
      <c r="A662" s="300"/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</row>
    <row r="663">
      <c r="A663" s="300"/>
      <c r="B663" s="300"/>
      <c r="C663" s="300"/>
      <c r="D663" s="300"/>
      <c r="E663" s="300"/>
      <c r="F663" s="300"/>
      <c r="G663" s="300"/>
      <c r="H663" s="300"/>
      <c r="I663" s="300"/>
      <c r="J663" s="300"/>
      <c r="K663" s="300"/>
      <c r="L663" s="300"/>
      <c r="M663" s="300"/>
      <c r="N663" s="300"/>
      <c r="O663" s="300"/>
      <c r="P663" s="300"/>
      <c r="Q663" s="300"/>
      <c r="R663" s="300"/>
      <c r="S663" s="300"/>
      <c r="T663" s="300"/>
      <c r="U663" s="300"/>
      <c r="V663" s="300"/>
      <c r="W663" s="300"/>
      <c r="X663" s="300"/>
    </row>
    <row r="664">
      <c r="A664" s="300"/>
      <c r="B664" s="300"/>
      <c r="C664" s="300"/>
      <c r="D664" s="300"/>
      <c r="E664" s="300"/>
      <c r="F664" s="300"/>
      <c r="G664" s="300"/>
      <c r="H664" s="300"/>
      <c r="I664" s="300"/>
      <c r="J664" s="300"/>
      <c r="K664" s="300"/>
      <c r="L664" s="300"/>
      <c r="M664" s="300"/>
      <c r="N664" s="300"/>
      <c r="O664" s="300"/>
      <c r="P664" s="300"/>
      <c r="Q664" s="300"/>
      <c r="R664" s="300"/>
      <c r="S664" s="300"/>
      <c r="T664" s="300"/>
      <c r="U664" s="300"/>
      <c r="V664" s="300"/>
      <c r="W664" s="300"/>
      <c r="X664" s="300"/>
    </row>
    <row r="665">
      <c r="A665" s="300"/>
      <c r="B665" s="300"/>
      <c r="C665" s="300"/>
      <c r="D665" s="300"/>
      <c r="E665" s="300"/>
      <c r="F665" s="300"/>
      <c r="G665" s="300"/>
      <c r="H665" s="300"/>
      <c r="I665" s="300"/>
      <c r="J665" s="300"/>
      <c r="K665" s="300"/>
      <c r="L665" s="300"/>
      <c r="M665" s="300"/>
      <c r="N665" s="300"/>
      <c r="O665" s="300"/>
      <c r="P665" s="300"/>
      <c r="Q665" s="300"/>
      <c r="R665" s="300"/>
      <c r="S665" s="300"/>
      <c r="T665" s="300"/>
      <c r="U665" s="300"/>
      <c r="V665" s="300"/>
      <c r="W665" s="300"/>
      <c r="X665" s="300"/>
    </row>
    <row r="666">
      <c r="A666" s="300"/>
      <c r="B666" s="300"/>
      <c r="C666" s="300"/>
      <c r="D666" s="300"/>
      <c r="E666" s="300"/>
      <c r="F666" s="300"/>
      <c r="G666" s="300"/>
      <c r="H666" s="300"/>
      <c r="I666" s="300"/>
      <c r="J666" s="300"/>
      <c r="K666" s="300"/>
      <c r="L666" s="300"/>
      <c r="M666" s="300"/>
      <c r="N666" s="300"/>
      <c r="O666" s="300"/>
      <c r="P666" s="300"/>
      <c r="Q666" s="300"/>
      <c r="R666" s="300"/>
      <c r="S666" s="300"/>
      <c r="T666" s="300"/>
      <c r="U666" s="300"/>
      <c r="V666" s="300"/>
      <c r="W666" s="300"/>
      <c r="X666" s="300"/>
    </row>
    <row r="667">
      <c r="A667" s="300"/>
      <c r="B667" s="300"/>
      <c r="C667" s="300"/>
      <c r="D667" s="300"/>
      <c r="E667" s="300"/>
      <c r="F667" s="300"/>
      <c r="G667" s="300"/>
      <c r="H667" s="300"/>
      <c r="I667" s="300"/>
      <c r="J667" s="300"/>
      <c r="K667" s="300"/>
      <c r="L667" s="300"/>
      <c r="M667" s="300"/>
      <c r="N667" s="300"/>
      <c r="O667" s="300"/>
      <c r="P667" s="300"/>
      <c r="Q667" s="300"/>
      <c r="R667" s="300"/>
      <c r="S667" s="300"/>
      <c r="T667" s="300"/>
      <c r="U667" s="300"/>
      <c r="V667" s="300"/>
      <c r="W667" s="300"/>
      <c r="X667" s="300"/>
    </row>
    <row r="668">
      <c r="A668" s="300"/>
      <c r="B668" s="300"/>
      <c r="C668" s="300"/>
      <c r="D668" s="300"/>
      <c r="E668" s="300"/>
      <c r="F668" s="300"/>
      <c r="G668" s="300"/>
      <c r="H668" s="300"/>
      <c r="I668" s="300"/>
      <c r="J668" s="300"/>
      <c r="K668" s="300"/>
      <c r="L668" s="300"/>
      <c r="M668" s="300"/>
      <c r="N668" s="300"/>
      <c r="O668" s="300"/>
      <c r="P668" s="300"/>
      <c r="Q668" s="300"/>
      <c r="R668" s="300"/>
      <c r="S668" s="300"/>
      <c r="T668" s="300"/>
      <c r="U668" s="300"/>
      <c r="V668" s="300"/>
      <c r="W668" s="300"/>
      <c r="X668" s="300"/>
    </row>
    <row r="669">
      <c r="A669" s="300"/>
      <c r="B669" s="300"/>
      <c r="C669" s="300"/>
      <c r="D669" s="300"/>
      <c r="E669" s="300"/>
      <c r="F669" s="300"/>
      <c r="G669" s="300"/>
      <c r="H669" s="300"/>
      <c r="I669" s="300"/>
      <c r="J669" s="300"/>
      <c r="K669" s="300"/>
      <c r="L669" s="300"/>
      <c r="M669" s="300"/>
      <c r="N669" s="300"/>
      <c r="O669" s="300"/>
      <c r="P669" s="300"/>
      <c r="Q669" s="300"/>
      <c r="R669" s="300"/>
      <c r="S669" s="300"/>
      <c r="T669" s="300"/>
      <c r="U669" s="300"/>
      <c r="V669" s="300"/>
      <c r="W669" s="300"/>
      <c r="X669" s="300"/>
    </row>
    <row r="670">
      <c r="A670" s="300"/>
      <c r="B670" s="300"/>
      <c r="C670" s="300"/>
      <c r="D670" s="300"/>
      <c r="E670" s="300"/>
      <c r="F670" s="300"/>
      <c r="G670" s="300"/>
      <c r="H670" s="300"/>
      <c r="I670" s="300"/>
      <c r="J670" s="300"/>
      <c r="K670" s="300"/>
      <c r="L670" s="300"/>
      <c r="M670" s="300"/>
      <c r="N670" s="300"/>
      <c r="O670" s="300"/>
      <c r="P670" s="300"/>
      <c r="Q670" s="300"/>
      <c r="R670" s="300"/>
      <c r="S670" s="300"/>
      <c r="T670" s="300"/>
      <c r="U670" s="300"/>
      <c r="V670" s="300"/>
      <c r="W670" s="300"/>
      <c r="X670" s="300"/>
    </row>
    <row r="671">
      <c r="A671" s="300"/>
      <c r="B671" s="300"/>
      <c r="C671" s="300"/>
      <c r="D671" s="300"/>
      <c r="E671" s="300"/>
      <c r="F671" s="300"/>
      <c r="G671" s="300"/>
      <c r="H671" s="300"/>
      <c r="I671" s="300"/>
      <c r="J671" s="300"/>
      <c r="K671" s="300"/>
      <c r="L671" s="300"/>
      <c r="M671" s="300"/>
      <c r="N671" s="300"/>
      <c r="O671" s="300"/>
      <c r="P671" s="300"/>
      <c r="Q671" s="300"/>
      <c r="R671" s="300"/>
      <c r="S671" s="300"/>
      <c r="T671" s="300"/>
      <c r="U671" s="300"/>
      <c r="V671" s="300"/>
      <c r="W671" s="300"/>
      <c r="X671" s="300"/>
    </row>
    <row r="672">
      <c r="A672" s="300"/>
      <c r="B672" s="300"/>
      <c r="C672" s="300"/>
      <c r="D672" s="300"/>
      <c r="E672" s="300"/>
      <c r="F672" s="300"/>
      <c r="G672" s="300"/>
      <c r="H672" s="300"/>
      <c r="I672" s="300"/>
      <c r="J672" s="300"/>
      <c r="K672" s="300"/>
      <c r="L672" s="300"/>
      <c r="M672" s="300"/>
      <c r="N672" s="300"/>
      <c r="O672" s="300"/>
      <c r="P672" s="300"/>
      <c r="Q672" s="300"/>
      <c r="R672" s="300"/>
      <c r="S672" s="300"/>
      <c r="T672" s="300"/>
      <c r="U672" s="300"/>
      <c r="V672" s="300"/>
      <c r="W672" s="300"/>
      <c r="X672" s="300"/>
    </row>
    <row r="673">
      <c r="A673" s="300"/>
      <c r="B673" s="300"/>
      <c r="C673" s="300"/>
      <c r="D673" s="300"/>
      <c r="E673" s="300"/>
      <c r="F673" s="300"/>
      <c r="G673" s="300"/>
      <c r="H673" s="300"/>
      <c r="I673" s="300"/>
      <c r="J673" s="300"/>
      <c r="K673" s="300"/>
      <c r="L673" s="300"/>
      <c r="M673" s="300"/>
      <c r="N673" s="300"/>
      <c r="O673" s="300"/>
      <c r="P673" s="300"/>
      <c r="Q673" s="300"/>
      <c r="R673" s="300"/>
      <c r="S673" s="300"/>
      <c r="T673" s="300"/>
      <c r="U673" s="300"/>
      <c r="V673" s="300"/>
      <c r="W673" s="300"/>
      <c r="X673" s="300"/>
    </row>
    <row r="674">
      <c r="A674" s="300"/>
      <c r="B674" s="300"/>
      <c r="C674" s="300"/>
      <c r="D674" s="300"/>
      <c r="E674" s="300"/>
      <c r="F674" s="300"/>
      <c r="G674" s="300"/>
      <c r="H674" s="300"/>
      <c r="I674" s="300"/>
      <c r="J674" s="300"/>
      <c r="K674" s="300"/>
      <c r="L674" s="300"/>
      <c r="M674" s="300"/>
      <c r="N674" s="300"/>
      <c r="O674" s="300"/>
      <c r="P674" s="300"/>
      <c r="Q674" s="300"/>
      <c r="R674" s="300"/>
      <c r="S674" s="300"/>
      <c r="T674" s="300"/>
      <c r="U674" s="300"/>
      <c r="V674" s="300"/>
      <c r="W674" s="300"/>
      <c r="X674" s="300"/>
    </row>
    <row r="675">
      <c r="A675" s="300"/>
      <c r="B675" s="300"/>
      <c r="C675" s="300"/>
      <c r="D675" s="300"/>
      <c r="E675" s="300"/>
      <c r="F675" s="300"/>
      <c r="G675" s="300"/>
      <c r="H675" s="300"/>
      <c r="I675" s="300"/>
      <c r="J675" s="300"/>
      <c r="K675" s="300"/>
      <c r="L675" s="300"/>
      <c r="M675" s="300"/>
      <c r="N675" s="300"/>
      <c r="O675" s="300"/>
      <c r="P675" s="300"/>
      <c r="Q675" s="300"/>
      <c r="R675" s="300"/>
      <c r="S675" s="300"/>
      <c r="T675" s="300"/>
      <c r="U675" s="300"/>
      <c r="V675" s="300"/>
      <c r="W675" s="300"/>
      <c r="X675" s="300"/>
    </row>
    <row r="676">
      <c r="A676" s="300"/>
      <c r="B676" s="300"/>
      <c r="C676" s="300"/>
      <c r="D676" s="300"/>
      <c r="E676" s="300"/>
      <c r="F676" s="300"/>
      <c r="G676" s="300"/>
      <c r="H676" s="300"/>
      <c r="I676" s="300"/>
      <c r="J676" s="300"/>
      <c r="K676" s="300"/>
      <c r="L676" s="300"/>
      <c r="M676" s="300"/>
      <c r="N676" s="300"/>
      <c r="O676" s="300"/>
      <c r="P676" s="300"/>
      <c r="Q676" s="300"/>
      <c r="R676" s="300"/>
      <c r="S676" s="300"/>
      <c r="T676" s="300"/>
      <c r="U676" s="300"/>
      <c r="V676" s="300"/>
      <c r="W676" s="300"/>
      <c r="X676" s="300"/>
    </row>
    <row r="677">
      <c r="A677" s="300"/>
      <c r="B677" s="300"/>
      <c r="C677" s="300"/>
      <c r="D677" s="300"/>
      <c r="E677" s="300"/>
      <c r="F677" s="300"/>
      <c r="G677" s="300"/>
      <c r="H677" s="300"/>
      <c r="I677" s="300"/>
      <c r="J677" s="300"/>
      <c r="K677" s="300"/>
      <c r="L677" s="300"/>
      <c r="M677" s="300"/>
      <c r="N677" s="300"/>
      <c r="O677" s="300"/>
      <c r="P677" s="300"/>
      <c r="Q677" s="300"/>
      <c r="R677" s="300"/>
      <c r="S677" s="300"/>
      <c r="T677" s="300"/>
      <c r="U677" s="300"/>
      <c r="V677" s="300"/>
      <c r="W677" s="300"/>
      <c r="X677" s="300"/>
    </row>
    <row r="678">
      <c r="A678" s="300"/>
      <c r="B678" s="300"/>
      <c r="C678" s="300"/>
      <c r="D678" s="300"/>
      <c r="E678" s="300"/>
      <c r="F678" s="300"/>
      <c r="G678" s="300"/>
      <c r="H678" s="300"/>
      <c r="I678" s="300"/>
      <c r="J678" s="300"/>
      <c r="K678" s="300"/>
      <c r="L678" s="300"/>
      <c r="M678" s="300"/>
      <c r="N678" s="300"/>
      <c r="O678" s="300"/>
      <c r="P678" s="300"/>
      <c r="Q678" s="300"/>
      <c r="R678" s="300"/>
      <c r="S678" s="300"/>
      <c r="T678" s="300"/>
      <c r="U678" s="300"/>
      <c r="V678" s="300"/>
      <c r="W678" s="300"/>
      <c r="X678" s="300"/>
    </row>
    <row r="679">
      <c r="A679" s="300"/>
      <c r="B679" s="300"/>
      <c r="C679" s="300"/>
      <c r="D679" s="300"/>
      <c r="E679" s="300"/>
      <c r="F679" s="300"/>
      <c r="G679" s="300"/>
      <c r="H679" s="300"/>
      <c r="I679" s="300"/>
      <c r="J679" s="300"/>
      <c r="K679" s="300"/>
      <c r="L679" s="300"/>
      <c r="M679" s="300"/>
      <c r="N679" s="300"/>
      <c r="O679" s="300"/>
      <c r="P679" s="300"/>
      <c r="Q679" s="300"/>
      <c r="R679" s="300"/>
      <c r="S679" s="300"/>
      <c r="T679" s="300"/>
      <c r="U679" s="300"/>
      <c r="V679" s="300"/>
      <c r="W679" s="300"/>
      <c r="X679" s="300"/>
    </row>
    <row r="680">
      <c r="A680" s="300"/>
      <c r="B680" s="300"/>
      <c r="C680" s="300"/>
      <c r="D680" s="300"/>
      <c r="E680" s="300"/>
      <c r="F680" s="300"/>
      <c r="G680" s="300"/>
      <c r="H680" s="300"/>
      <c r="I680" s="300"/>
      <c r="J680" s="300"/>
      <c r="K680" s="300"/>
      <c r="L680" s="300"/>
      <c r="M680" s="300"/>
      <c r="N680" s="300"/>
      <c r="O680" s="300"/>
      <c r="P680" s="300"/>
      <c r="Q680" s="300"/>
      <c r="R680" s="300"/>
      <c r="S680" s="300"/>
      <c r="T680" s="300"/>
      <c r="U680" s="300"/>
      <c r="V680" s="300"/>
      <c r="W680" s="300"/>
      <c r="X680" s="300"/>
    </row>
    <row r="681">
      <c r="A681" s="300"/>
      <c r="B681" s="300"/>
      <c r="C681" s="300"/>
      <c r="D681" s="300"/>
      <c r="E681" s="300"/>
      <c r="F681" s="300"/>
      <c r="G681" s="300"/>
      <c r="H681" s="300"/>
      <c r="I681" s="300"/>
      <c r="J681" s="300"/>
      <c r="K681" s="300"/>
      <c r="L681" s="300"/>
      <c r="M681" s="300"/>
      <c r="N681" s="300"/>
      <c r="O681" s="300"/>
      <c r="P681" s="300"/>
      <c r="Q681" s="300"/>
      <c r="R681" s="300"/>
      <c r="S681" s="300"/>
      <c r="T681" s="300"/>
      <c r="U681" s="300"/>
      <c r="V681" s="300"/>
      <c r="W681" s="300"/>
      <c r="X681" s="300"/>
    </row>
    <row r="682">
      <c r="A682" s="300"/>
      <c r="B682" s="300"/>
      <c r="C682" s="300"/>
      <c r="D682" s="300"/>
      <c r="E682" s="300"/>
      <c r="F682" s="300"/>
      <c r="G682" s="300"/>
      <c r="H682" s="300"/>
      <c r="I682" s="300"/>
      <c r="J682" s="300"/>
      <c r="K682" s="300"/>
      <c r="L682" s="300"/>
      <c r="M682" s="300"/>
      <c r="N682" s="300"/>
      <c r="O682" s="300"/>
      <c r="P682" s="300"/>
      <c r="Q682" s="300"/>
      <c r="R682" s="300"/>
      <c r="S682" s="300"/>
      <c r="T682" s="300"/>
      <c r="U682" s="300"/>
      <c r="V682" s="300"/>
      <c r="W682" s="300"/>
      <c r="X682" s="300"/>
    </row>
    <row r="683">
      <c r="A683" s="300"/>
      <c r="B683" s="300"/>
      <c r="C683" s="300"/>
      <c r="D683" s="300"/>
      <c r="E683" s="300"/>
      <c r="F683" s="300"/>
      <c r="G683" s="300"/>
      <c r="H683" s="300"/>
      <c r="I683" s="300"/>
      <c r="J683" s="300"/>
      <c r="K683" s="300"/>
      <c r="L683" s="300"/>
      <c r="M683" s="300"/>
      <c r="N683" s="300"/>
      <c r="O683" s="300"/>
      <c r="P683" s="300"/>
      <c r="Q683" s="300"/>
      <c r="R683" s="300"/>
      <c r="S683" s="300"/>
      <c r="T683" s="300"/>
      <c r="U683" s="300"/>
      <c r="V683" s="300"/>
      <c r="W683" s="300"/>
      <c r="X683" s="300"/>
    </row>
    <row r="684">
      <c r="A684" s="300"/>
      <c r="B684" s="300"/>
      <c r="C684" s="300"/>
      <c r="D684" s="300"/>
      <c r="E684" s="300"/>
      <c r="F684" s="300"/>
      <c r="G684" s="300"/>
      <c r="H684" s="300"/>
      <c r="I684" s="300"/>
      <c r="J684" s="300"/>
      <c r="K684" s="300"/>
      <c r="L684" s="300"/>
      <c r="M684" s="300"/>
      <c r="N684" s="300"/>
      <c r="O684" s="300"/>
      <c r="P684" s="300"/>
      <c r="Q684" s="300"/>
      <c r="R684" s="300"/>
      <c r="S684" s="300"/>
      <c r="T684" s="300"/>
      <c r="U684" s="300"/>
      <c r="V684" s="300"/>
      <c r="W684" s="300"/>
      <c r="X684" s="300"/>
    </row>
    <row r="685">
      <c r="A685" s="300"/>
      <c r="B685" s="300"/>
      <c r="C685" s="300"/>
      <c r="D685" s="300"/>
      <c r="E685" s="300"/>
      <c r="F685" s="300"/>
      <c r="G685" s="300"/>
      <c r="H685" s="300"/>
      <c r="I685" s="300"/>
      <c r="J685" s="300"/>
      <c r="K685" s="300"/>
      <c r="L685" s="300"/>
      <c r="M685" s="300"/>
      <c r="N685" s="300"/>
      <c r="O685" s="300"/>
      <c r="P685" s="300"/>
      <c r="Q685" s="300"/>
      <c r="R685" s="300"/>
      <c r="S685" s="300"/>
      <c r="T685" s="300"/>
      <c r="U685" s="300"/>
      <c r="V685" s="300"/>
      <c r="W685" s="300"/>
      <c r="X685" s="300"/>
    </row>
    <row r="686">
      <c r="A686" s="300"/>
      <c r="B686" s="300"/>
      <c r="C686" s="300"/>
      <c r="D686" s="300"/>
      <c r="E686" s="300"/>
      <c r="F686" s="300"/>
      <c r="G686" s="300"/>
      <c r="H686" s="300"/>
      <c r="I686" s="300"/>
      <c r="J686" s="300"/>
      <c r="K686" s="300"/>
      <c r="L686" s="300"/>
      <c r="M686" s="300"/>
      <c r="N686" s="300"/>
      <c r="O686" s="300"/>
      <c r="P686" s="300"/>
      <c r="Q686" s="300"/>
      <c r="R686" s="300"/>
      <c r="S686" s="300"/>
      <c r="T686" s="300"/>
      <c r="U686" s="300"/>
      <c r="V686" s="300"/>
      <c r="W686" s="300"/>
      <c r="X686" s="300"/>
    </row>
    <row r="687">
      <c r="A687" s="300"/>
      <c r="B687" s="300"/>
      <c r="C687" s="300"/>
      <c r="D687" s="300"/>
      <c r="E687" s="300"/>
      <c r="F687" s="300"/>
      <c r="G687" s="300"/>
      <c r="H687" s="300"/>
      <c r="I687" s="300"/>
      <c r="J687" s="300"/>
      <c r="K687" s="300"/>
      <c r="L687" s="300"/>
      <c r="M687" s="300"/>
      <c r="N687" s="300"/>
      <c r="O687" s="300"/>
      <c r="P687" s="300"/>
      <c r="Q687" s="300"/>
      <c r="R687" s="300"/>
      <c r="S687" s="300"/>
      <c r="T687" s="300"/>
      <c r="U687" s="300"/>
      <c r="V687" s="300"/>
      <c r="W687" s="300"/>
      <c r="X687" s="300"/>
    </row>
    <row r="688">
      <c r="A688" s="300"/>
      <c r="B688" s="300"/>
      <c r="C688" s="300"/>
      <c r="D688" s="300"/>
      <c r="E688" s="300"/>
      <c r="F688" s="300"/>
      <c r="G688" s="300"/>
      <c r="H688" s="300"/>
      <c r="I688" s="300"/>
      <c r="J688" s="300"/>
      <c r="K688" s="300"/>
      <c r="L688" s="300"/>
      <c r="M688" s="300"/>
      <c r="N688" s="300"/>
      <c r="O688" s="300"/>
      <c r="P688" s="300"/>
      <c r="Q688" s="300"/>
      <c r="R688" s="300"/>
      <c r="S688" s="300"/>
      <c r="T688" s="300"/>
      <c r="U688" s="300"/>
      <c r="V688" s="300"/>
      <c r="W688" s="300"/>
      <c r="X688" s="300"/>
    </row>
    <row r="689">
      <c r="A689" s="300"/>
      <c r="B689" s="300"/>
      <c r="C689" s="300"/>
      <c r="D689" s="300"/>
      <c r="E689" s="300"/>
      <c r="F689" s="300"/>
      <c r="G689" s="300"/>
      <c r="H689" s="300"/>
      <c r="I689" s="300"/>
      <c r="J689" s="300"/>
      <c r="K689" s="300"/>
      <c r="L689" s="300"/>
      <c r="M689" s="300"/>
      <c r="N689" s="300"/>
      <c r="O689" s="300"/>
      <c r="P689" s="300"/>
      <c r="Q689" s="300"/>
      <c r="R689" s="300"/>
      <c r="S689" s="300"/>
      <c r="T689" s="300"/>
      <c r="U689" s="300"/>
      <c r="V689" s="300"/>
      <c r="W689" s="300"/>
      <c r="X689" s="300"/>
    </row>
    <row r="690">
      <c r="A690" s="300"/>
      <c r="B690" s="300"/>
      <c r="C690" s="300"/>
      <c r="D690" s="300"/>
      <c r="E690" s="300"/>
      <c r="F690" s="300"/>
      <c r="G690" s="300"/>
      <c r="H690" s="300"/>
      <c r="I690" s="300"/>
      <c r="J690" s="300"/>
      <c r="K690" s="300"/>
      <c r="L690" s="300"/>
      <c r="M690" s="300"/>
      <c r="N690" s="300"/>
      <c r="O690" s="300"/>
      <c r="P690" s="300"/>
      <c r="Q690" s="300"/>
      <c r="R690" s="300"/>
      <c r="S690" s="300"/>
      <c r="T690" s="300"/>
      <c r="U690" s="300"/>
      <c r="V690" s="300"/>
      <c r="W690" s="300"/>
      <c r="X690" s="300"/>
    </row>
    <row r="691">
      <c r="A691" s="300"/>
      <c r="B691" s="300"/>
      <c r="C691" s="300"/>
      <c r="D691" s="300"/>
      <c r="E691" s="300"/>
      <c r="F691" s="300"/>
      <c r="G691" s="300"/>
      <c r="H691" s="300"/>
      <c r="I691" s="300"/>
      <c r="J691" s="300"/>
      <c r="K691" s="300"/>
      <c r="L691" s="300"/>
      <c r="M691" s="300"/>
      <c r="N691" s="300"/>
      <c r="O691" s="300"/>
      <c r="P691" s="300"/>
      <c r="Q691" s="300"/>
      <c r="R691" s="300"/>
      <c r="S691" s="300"/>
      <c r="T691" s="300"/>
      <c r="U691" s="300"/>
      <c r="V691" s="300"/>
      <c r="W691" s="300"/>
      <c r="X691" s="300"/>
    </row>
    <row r="692">
      <c r="A692" s="300"/>
      <c r="B692" s="300"/>
      <c r="C692" s="300"/>
      <c r="D692" s="300"/>
      <c r="E692" s="300"/>
      <c r="F692" s="300"/>
      <c r="G692" s="300"/>
      <c r="H692" s="300"/>
      <c r="I692" s="300"/>
      <c r="J692" s="300"/>
      <c r="K692" s="300"/>
      <c r="L692" s="300"/>
      <c r="M692" s="300"/>
      <c r="N692" s="300"/>
      <c r="O692" s="300"/>
      <c r="P692" s="300"/>
      <c r="Q692" s="300"/>
      <c r="R692" s="300"/>
      <c r="S692" s="300"/>
      <c r="T692" s="300"/>
      <c r="U692" s="300"/>
      <c r="V692" s="300"/>
      <c r="W692" s="300"/>
      <c r="X692" s="300"/>
    </row>
    <row r="693">
      <c r="A693" s="300"/>
      <c r="B693" s="300"/>
      <c r="C693" s="300"/>
      <c r="D693" s="300"/>
      <c r="E693" s="300"/>
      <c r="F693" s="300"/>
      <c r="G693" s="300"/>
      <c r="H693" s="300"/>
      <c r="I693" s="300"/>
      <c r="J693" s="300"/>
      <c r="K693" s="300"/>
      <c r="L693" s="300"/>
      <c r="M693" s="300"/>
      <c r="N693" s="300"/>
      <c r="O693" s="300"/>
      <c r="P693" s="300"/>
      <c r="Q693" s="300"/>
      <c r="R693" s="300"/>
      <c r="S693" s="300"/>
      <c r="T693" s="300"/>
      <c r="U693" s="300"/>
      <c r="V693" s="300"/>
      <c r="W693" s="300"/>
      <c r="X693" s="300"/>
    </row>
    <row r="694">
      <c r="A694" s="300"/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</row>
    <row r="695">
      <c r="A695" s="300"/>
      <c r="B695" s="300"/>
      <c r="C695" s="300"/>
      <c r="D695" s="300"/>
      <c r="E695" s="300"/>
      <c r="F695" s="300"/>
      <c r="G695" s="300"/>
      <c r="H695" s="300"/>
      <c r="I695" s="300"/>
      <c r="J695" s="300"/>
      <c r="K695" s="300"/>
      <c r="L695" s="300"/>
      <c r="M695" s="300"/>
      <c r="N695" s="300"/>
      <c r="O695" s="300"/>
      <c r="P695" s="300"/>
      <c r="Q695" s="300"/>
      <c r="R695" s="300"/>
      <c r="S695" s="300"/>
      <c r="T695" s="300"/>
      <c r="U695" s="300"/>
      <c r="V695" s="300"/>
      <c r="W695" s="300"/>
      <c r="X695" s="300"/>
    </row>
    <row r="696">
      <c r="A696" s="300"/>
      <c r="B696" s="300"/>
      <c r="C696" s="300"/>
      <c r="D696" s="300"/>
      <c r="E696" s="300"/>
      <c r="F696" s="300"/>
      <c r="G696" s="300"/>
      <c r="H696" s="300"/>
      <c r="I696" s="300"/>
      <c r="J696" s="300"/>
      <c r="K696" s="300"/>
      <c r="L696" s="300"/>
      <c r="M696" s="300"/>
      <c r="N696" s="300"/>
      <c r="O696" s="300"/>
      <c r="P696" s="300"/>
      <c r="Q696" s="300"/>
      <c r="R696" s="300"/>
      <c r="S696" s="300"/>
      <c r="T696" s="300"/>
      <c r="U696" s="300"/>
      <c r="V696" s="300"/>
      <c r="W696" s="300"/>
      <c r="X696" s="300"/>
    </row>
    <row r="697">
      <c r="A697" s="300"/>
      <c r="B697" s="300"/>
      <c r="C697" s="300"/>
      <c r="D697" s="300"/>
      <c r="E697" s="300"/>
      <c r="F697" s="300"/>
      <c r="G697" s="300"/>
      <c r="H697" s="300"/>
      <c r="I697" s="300"/>
      <c r="J697" s="300"/>
      <c r="K697" s="300"/>
      <c r="L697" s="300"/>
      <c r="M697" s="300"/>
      <c r="N697" s="300"/>
      <c r="O697" s="300"/>
      <c r="P697" s="300"/>
      <c r="Q697" s="300"/>
      <c r="R697" s="300"/>
      <c r="S697" s="300"/>
      <c r="T697" s="300"/>
      <c r="U697" s="300"/>
      <c r="V697" s="300"/>
      <c r="W697" s="300"/>
      <c r="X697" s="300"/>
    </row>
    <row r="698">
      <c r="A698" s="300"/>
      <c r="B698" s="300"/>
      <c r="C698" s="300"/>
      <c r="D698" s="300"/>
      <c r="E698" s="300"/>
      <c r="F698" s="300"/>
      <c r="G698" s="300"/>
      <c r="H698" s="300"/>
      <c r="I698" s="300"/>
      <c r="J698" s="300"/>
      <c r="K698" s="300"/>
      <c r="L698" s="300"/>
      <c r="M698" s="300"/>
      <c r="N698" s="300"/>
      <c r="O698" s="300"/>
      <c r="P698" s="300"/>
      <c r="Q698" s="300"/>
      <c r="R698" s="300"/>
      <c r="S698" s="300"/>
      <c r="T698" s="300"/>
      <c r="U698" s="300"/>
      <c r="V698" s="300"/>
      <c r="W698" s="300"/>
      <c r="X698" s="300"/>
    </row>
    <row r="699">
      <c r="A699" s="300"/>
      <c r="B699" s="300"/>
      <c r="C699" s="300"/>
      <c r="D699" s="300"/>
      <c r="E699" s="300"/>
      <c r="F699" s="300"/>
      <c r="G699" s="300"/>
      <c r="H699" s="300"/>
      <c r="I699" s="300"/>
      <c r="J699" s="300"/>
      <c r="K699" s="300"/>
      <c r="L699" s="300"/>
      <c r="M699" s="300"/>
      <c r="N699" s="300"/>
      <c r="O699" s="300"/>
      <c r="P699" s="300"/>
      <c r="Q699" s="300"/>
      <c r="R699" s="300"/>
      <c r="S699" s="300"/>
      <c r="T699" s="300"/>
      <c r="U699" s="300"/>
      <c r="V699" s="300"/>
      <c r="W699" s="300"/>
      <c r="X699" s="300"/>
    </row>
    <row r="700">
      <c r="A700" s="300"/>
      <c r="B700" s="300"/>
      <c r="C700" s="300"/>
      <c r="D700" s="300"/>
      <c r="E700" s="300"/>
      <c r="F700" s="300"/>
      <c r="G700" s="300"/>
      <c r="H700" s="300"/>
      <c r="I700" s="300"/>
      <c r="J700" s="300"/>
      <c r="K700" s="300"/>
      <c r="L700" s="300"/>
      <c r="M700" s="300"/>
      <c r="N700" s="300"/>
      <c r="O700" s="300"/>
      <c r="P700" s="300"/>
      <c r="Q700" s="300"/>
      <c r="R700" s="300"/>
      <c r="S700" s="300"/>
      <c r="T700" s="300"/>
      <c r="U700" s="300"/>
      <c r="V700" s="300"/>
      <c r="W700" s="300"/>
      <c r="X700" s="300"/>
    </row>
    <row r="701">
      <c r="A701" s="300"/>
      <c r="B701" s="300"/>
      <c r="C701" s="300"/>
      <c r="D701" s="300"/>
      <c r="E701" s="300"/>
      <c r="F701" s="300"/>
      <c r="G701" s="300"/>
      <c r="H701" s="300"/>
      <c r="I701" s="300"/>
      <c r="J701" s="300"/>
      <c r="K701" s="300"/>
      <c r="L701" s="300"/>
      <c r="M701" s="300"/>
      <c r="N701" s="300"/>
      <c r="O701" s="300"/>
      <c r="P701" s="300"/>
      <c r="Q701" s="300"/>
      <c r="R701" s="300"/>
      <c r="S701" s="300"/>
      <c r="T701" s="300"/>
      <c r="U701" s="300"/>
      <c r="V701" s="300"/>
      <c r="W701" s="300"/>
      <c r="X701" s="300"/>
    </row>
    <row r="702">
      <c r="A702" s="300"/>
      <c r="B702" s="300"/>
      <c r="C702" s="300"/>
      <c r="D702" s="300"/>
      <c r="E702" s="300"/>
      <c r="F702" s="300"/>
      <c r="G702" s="300"/>
      <c r="H702" s="300"/>
      <c r="I702" s="300"/>
      <c r="J702" s="300"/>
      <c r="K702" s="300"/>
      <c r="L702" s="300"/>
      <c r="M702" s="300"/>
      <c r="N702" s="300"/>
      <c r="O702" s="300"/>
      <c r="P702" s="300"/>
      <c r="Q702" s="300"/>
      <c r="R702" s="300"/>
      <c r="S702" s="300"/>
      <c r="T702" s="300"/>
      <c r="U702" s="300"/>
      <c r="V702" s="300"/>
      <c r="W702" s="300"/>
      <c r="X702" s="300"/>
    </row>
    <row r="703">
      <c r="A703" s="300"/>
      <c r="B703" s="300"/>
      <c r="C703" s="300"/>
      <c r="D703" s="300"/>
      <c r="E703" s="300"/>
      <c r="F703" s="300"/>
      <c r="G703" s="300"/>
      <c r="H703" s="300"/>
      <c r="I703" s="300"/>
      <c r="J703" s="300"/>
      <c r="K703" s="300"/>
      <c r="L703" s="300"/>
      <c r="M703" s="300"/>
      <c r="N703" s="300"/>
      <c r="O703" s="300"/>
      <c r="P703" s="300"/>
      <c r="Q703" s="300"/>
      <c r="R703" s="300"/>
      <c r="S703" s="300"/>
      <c r="T703" s="300"/>
      <c r="U703" s="300"/>
      <c r="V703" s="300"/>
      <c r="W703" s="300"/>
      <c r="X703" s="300"/>
    </row>
    <row r="704">
      <c r="A704" s="300"/>
      <c r="B704" s="300"/>
      <c r="C704" s="300"/>
      <c r="D704" s="300"/>
      <c r="E704" s="300"/>
      <c r="F704" s="300"/>
      <c r="G704" s="300"/>
      <c r="H704" s="300"/>
      <c r="I704" s="300"/>
      <c r="J704" s="300"/>
      <c r="K704" s="300"/>
      <c r="L704" s="300"/>
      <c r="M704" s="300"/>
      <c r="N704" s="300"/>
      <c r="O704" s="300"/>
      <c r="P704" s="300"/>
      <c r="Q704" s="300"/>
      <c r="R704" s="300"/>
      <c r="S704" s="300"/>
      <c r="T704" s="300"/>
      <c r="U704" s="300"/>
      <c r="V704" s="300"/>
      <c r="W704" s="300"/>
      <c r="X704" s="300"/>
    </row>
    <row r="705">
      <c r="A705" s="300"/>
      <c r="B705" s="300"/>
      <c r="C705" s="300"/>
      <c r="D705" s="300"/>
      <c r="E705" s="300"/>
      <c r="F705" s="300"/>
      <c r="G705" s="300"/>
      <c r="H705" s="300"/>
      <c r="I705" s="300"/>
      <c r="J705" s="300"/>
      <c r="K705" s="300"/>
      <c r="L705" s="300"/>
      <c r="M705" s="300"/>
      <c r="N705" s="300"/>
      <c r="O705" s="300"/>
      <c r="P705" s="300"/>
      <c r="Q705" s="300"/>
      <c r="R705" s="300"/>
      <c r="S705" s="300"/>
      <c r="T705" s="300"/>
      <c r="U705" s="300"/>
      <c r="V705" s="300"/>
      <c r="W705" s="300"/>
      <c r="X705" s="300"/>
    </row>
    <row r="706">
      <c r="A706" s="300"/>
      <c r="B706" s="300"/>
      <c r="C706" s="300"/>
      <c r="D706" s="300"/>
      <c r="E706" s="300"/>
      <c r="F706" s="300"/>
      <c r="G706" s="300"/>
      <c r="H706" s="300"/>
      <c r="I706" s="300"/>
      <c r="J706" s="300"/>
      <c r="K706" s="300"/>
      <c r="L706" s="300"/>
      <c r="M706" s="300"/>
      <c r="N706" s="300"/>
      <c r="O706" s="300"/>
      <c r="P706" s="300"/>
      <c r="Q706" s="300"/>
      <c r="R706" s="300"/>
      <c r="S706" s="300"/>
      <c r="T706" s="300"/>
      <c r="U706" s="300"/>
      <c r="V706" s="300"/>
      <c r="W706" s="300"/>
      <c r="X706" s="300"/>
    </row>
    <row r="707">
      <c r="A707" s="300"/>
      <c r="B707" s="300"/>
      <c r="C707" s="300"/>
      <c r="D707" s="300"/>
      <c r="E707" s="300"/>
      <c r="F707" s="300"/>
      <c r="G707" s="300"/>
      <c r="H707" s="300"/>
      <c r="I707" s="300"/>
      <c r="J707" s="300"/>
      <c r="K707" s="300"/>
      <c r="L707" s="300"/>
      <c r="M707" s="300"/>
      <c r="N707" s="300"/>
      <c r="O707" s="300"/>
      <c r="P707" s="300"/>
      <c r="Q707" s="300"/>
      <c r="R707" s="300"/>
      <c r="S707" s="300"/>
      <c r="T707" s="300"/>
      <c r="U707" s="300"/>
      <c r="V707" s="300"/>
      <c r="W707" s="300"/>
      <c r="X707" s="300"/>
    </row>
    <row r="708">
      <c r="A708" s="300"/>
      <c r="B708" s="300"/>
      <c r="C708" s="300"/>
      <c r="D708" s="300"/>
      <c r="E708" s="300"/>
      <c r="F708" s="300"/>
      <c r="G708" s="300"/>
      <c r="H708" s="300"/>
      <c r="I708" s="300"/>
      <c r="J708" s="300"/>
      <c r="K708" s="300"/>
      <c r="L708" s="300"/>
      <c r="M708" s="300"/>
      <c r="N708" s="300"/>
      <c r="O708" s="300"/>
      <c r="P708" s="300"/>
      <c r="Q708" s="300"/>
      <c r="R708" s="300"/>
      <c r="S708" s="300"/>
      <c r="T708" s="300"/>
      <c r="U708" s="300"/>
      <c r="V708" s="300"/>
      <c r="W708" s="300"/>
      <c r="X708" s="300"/>
    </row>
    <row r="709">
      <c r="A709" s="300"/>
      <c r="B709" s="300"/>
      <c r="C709" s="300"/>
      <c r="D709" s="300"/>
      <c r="E709" s="300"/>
      <c r="F709" s="300"/>
      <c r="G709" s="300"/>
      <c r="H709" s="300"/>
      <c r="I709" s="300"/>
      <c r="J709" s="300"/>
      <c r="K709" s="300"/>
      <c r="L709" s="300"/>
      <c r="M709" s="300"/>
      <c r="N709" s="300"/>
      <c r="O709" s="300"/>
      <c r="P709" s="300"/>
      <c r="Q709" s="300"/>
      <c r="R709" s="300"/>
      <c r="S709" s="300"/>
      <c r="T709" s="300"/>
      <c r="U709" s="300"/>
      <c r="V709" s="300"/>
      <c r="W709" s="300"/>
      <c r="X709" s="300"/>
    </row>
    <row r="710">
      <c r="A710" s="300"/>
      <c r="B710" s="300"/>
      <c r="C710" s="300"/>
      <c r="D710" s="300"/>
      <c r="E710" s="300"/>
      <c r="F710" s="300"/>
      <c r="G710" s="300"/>
      <c r="H710" s="300"/>
      <c r="I710" s="300"/>
      <c r="J710" s="300"/>
      <c r="K710" s="300"/>
      <c r="L710" s="300"/>
      <c r="M710" s="300"/>
      <c r="N710" s="300"/>
      <c r="O710" s="300"/>
      <c r="P710" s="300"/>
      <c r="Q710" s="300"/>
      <c r="R710" s="300"/>
      <c r="S710" s="300"/>
      <c r="T710" s="300"/>
      <c r="U710" s="300"/>
      <c r="V710" s="300"/>
      <c r="W710" s="300"/>
      <c r="X710" s="300"/>
    </row>
    <row r="711">
      <c r="A711" s="300"/>
      <c r="B711" s="300"/>
      <c r="C711" s="300"/>
      <c r="D711" s="300"/>
      <c r="E711" s="300"/>
      <c r="F711" s="300"/>
      <c r="G711" s="300"/>
      <c r="H711" s="300"/>
      <c r="I711" s="300"/>
      <c r="J711" s="300"/>
      <c r="K711" s="300"/>
      <c r="L711" s="300"/>
      <c r="M711" s="300"/>
      <c r="N711" s="300"/>
      <c r="O711" s="300"/>
      <c r="P711" s="300"/>
      <c r="Q711" s="300"/>
      <c r="R711" s="300"/>
      <c r="S711" s="300"/>
      <c r="T711" s="300"/>
      <c r="U711" s="300"/>
      <c r="V711" s="300"/>
      <c r="W711" s="300"/>
      <c r="X711" s="300"/>
    </row>
    <row r="712">
      <c r="A712" s="300"/>
      <c r="B712" s="300"/>
      <c r="C712" s="300"/>
      <c r="D712" s="300"/>
      <c r="E712" s="300"/>
      <c r="F712" s="300"/>
      <c r="G712" s="300"/>
      <c r="H712" s="300"/>
      <c r="I712" s="300"/>
      <c r="J712" s="300"/>
      <c r="K712" s="300"/>
      <c r="L712" s="300"/>
      <c r="M712" s="300"/>
      <c r="N712" s="300"/>
      <c r="O712" s="300"/>
      <c r="P712" s="300"/>
      <c r="Q712" s="300"/>
      <c r="R712" s="300"/>
      <c r="S712" s="300"/>
      <c r="T712" s="300"/>
      <c r="U712" s="300"/>
      <c r="V712" s="300"/>
      <c r="W712" s="300"/>
      <c r="X712" s="300"/>
    </row>
    <row r="713">
      <c r="A713" s="300"/>
      <c r="B713" s="300"/>
      <c r="C713" s="300"/>
      <c r="D713" s="300"/>
      <c r="E713" s="300"/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300"/>
      <c r="S713" s="300"/>
      <c r="T713" s="300"/>
      <c r="U713" s="300"/>
      <c r="V713" s="300"/>
      <c r="W713" s="300"/>
      <c r="X713" s="300"/>
    </row>
    <row r="714">
      <c r="A714" s="300"/>
      <c r="B714" s="300"/>
      <c r="C714" s="300"/>
      <c r="D714" s="300"/>
      <c r="E714" s="300"/>
      <c r="F714" s="300"/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300"/>
      <c r="S714" s="300"/>
      <c r="T714" s="300"/>
      <c r="U714" s="300"/>
      <c r="V714" s="300"/>
      <c r="W714" s="300"/>
      <c r="X714" s="300"/>
    </row>
    <row r="715">
      <c r="A715" s="300"/>
      <c r="B715" s="300"/>
      <c r="C715" s="300"/>
      <c r="D715" s="300"/>
      <c r="E715" s="300"/>
      <c r="F715" s="300"/>
      <c r="G715" s="300"/>
      <c r="H715" s="300"/>
      <c r="I715" s="300"/>
      <c r="J715" s="300"/>
      <c r="K715" s="300"/>
      <c r="L715" s="300"/>
      <c r="M715" s="300"/>
      <c r="N715" s="300"/>
      <c r="O715" s="300"/>
      <c r="P715" s="300"/>
      <c r="Q715" s="300"/>
      <c r="R715" s="300"/>
      <c r="S715" s="300"/>
      <c r="T715" s="300"/>
      <c r="U715" s="300"/>
      <c r="V715" s="300"/>
      <c r="W715" s="300"/>
      <c r="X715" s="300"/>
    </row>
    <row r="716">
      <c r="A716" s="300"/>
      <c r="B716" s="300"/>
      <c r="C716" s="300"/>
      <c r="D716" s="300"/>
      <c r="E716" s="300"/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300"/>
      <c r="S716" s="300"/>
      <c r="T716" s="300"/>
      <c r="U716" s="300"/>
      <c r="V716" s="300"/>
      <c r="W716" s="300"/>
      <c r="X716" s="300"/>
    </row>
    <row r="717">
      <c r="A717" s="300"/>
      <c r="B717" s="300"/>
      <c r="C717" s="300"/>
      <c r="D717" s="300"/>
      <c r="E717" s="300"/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300"/>
      <c r="S717" s="300"/>
      <c r="T717" s="300"/>
      <c r="U717" s="300"/>
      <c r="V717" s="300"/>
      <c r="W717" s="300"/>
      <c r="X717" s="300"/>
    </row>
    <row r="718">
      <c r="A718" s="300"/>
      <c r="B718" s="300"/>
      <c r="C718" s="300"/>
      <c r="D718" s="300"/>
      <c r="E718" s="300"/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300"/>
      <c r="S718" s="300"/>
      <c r="T718" s="300"/>
      <c r="U718" s="300"/>
      <c r="V718" s="300"/>
      <c r="W718" s="300"/>
      <c r="X718" s="300"/>
    </row>
    <row r="719">
      <c r="A719" s="300"/>
      <c r="B719" s="300"/>
      <c r="C719" s="300"/>
      <c r="D719" s="300"/>
      <c r="E719" s="300"/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300"/>
      <c r="S719" s="300"/>
      <c r="T719" s="300"/>
      <c r="U719" s="300"/>
      <c r="V719" s="300"/>
      <c r="W719" s="300"/>
      <c r="X719" s="300"/>
    </row>
    <row r="720">
      <c r="A720" s="300"/>
      <c r="B720" s="300"/>
      <c r="C720" s="300"/>
      <c r="D720" s="300"/>
      <c r="E720" s="300"/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300"/>
      <c r="S720" s="300"/>
      <c r="T720" s="300"/>
      <c r="U720" s="300"/>
      <c r="V720" s="300"/>
      <c r="W720" s="300"/>
      <c r="X720" s="300"/>
    </row>
    <row r="721">
      <c r="A721" s="300"/>
      <c r="B721" s="300"/>
      <c r="C721" s="300"/>
      <c r="D721" s="300"/>
      <c r="E721" s="300"/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300"/>
      <c r="S721" s="300"/>
      <c r="T721" s="300"/>
      <c r="U721" s="300"/>
      <c r="V721" s="300"/>
      <c r="W721" s="300"/>
      <c r="X721" s="300"/>
    </row>
    <row r="722">
      <c r="A722" s="300"/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</row>
    <row r="723">
      <c r="A723" s="300"/>
      <c r="B723" s="300"/>
      <c r="C723" s="300"/>
      <c r="D723" s="300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</row>
    <row r="724">
      <c r="A724" s="300"/>
      <c r="B724" s="300"/>
      <c r="C724" s="300"/>
      <c r="D724" s="300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</row>
    <row r="725">
      <c r="A725" s="300"/>
      <c r="B725" s="300"/>
      <c r="C725" s="300"/>
      <c r="D725" s="300"/>
      <c r="E725" s="300"/>
      <c r="F725" s="300"/>
      <c r="G725" s="300"/>
      <c r="H725" s="300"/>
      <c r="I725" s="300"/>
      <c r="J725" s="300"/>
      <c r="K725" s="300"/>
      <c r="L725" s="300"/>
      <c r="M725" s="300"/>
      <c r="N725" s="300"/>
      <c r="O725" s="300"/>
      <c r="P725" s="300"/>
      <c r="Q725" s="300"/>
      <c r="R725" s="300"/>
      <c r="S725" s="300"/>
      <c r="T725" s="300"/>
      <c r="U725" s="300"/>
      <c r="V725" s="300"/>
      <c r="W725" s="300"/>
      <c r="X725" s="300"/>
    </row>
    <row r="726">
      <c r="A726" s="300"/>
      <c r="B726" s="300"/>
      <c r="C726" s="300"/>
      <c r="D726" s="300"/>
      <c r="E726" s="300"/>
      <c r="F726" s="300"/>
      <c r="G726" s="300"/>
      <c r="H726" s="300"/>
      <c r="I726" s="300"/>
      <c r="J726" s="300"/>
      <c r="K726" s="300"/>
      <c r="L726" s="300"/>
      <c r="M726" s="300"/>
      <c r="N726" s="300"/>
      <c r="O726" s="300"/>
      <c r="P726" s="300"/>
      <c r="Q726" s="300"/>
      <c r="R726" s="300"/>
      <c r="S726" s="300"/>
      <c r="T726" s="300"/>
      <c r="U726" s="300"/>
      <c r="V726" s="300"/>
      <c r="W726" s="300"/>
      <c r="X726" s="300"/>
    </row>
    <row r="727">
      <c r="A727" s="300"/>
      <c r="B727" s="300"/>
      <c r="C727" s="300"/>
      <c r="D727" s="300"/>
      <c r="E727" s="300"/>
      <c r="F727" s="300"/>
      <c r="G727" s="300"/>
      <c r="H727" s="300"/>
      <c r="I727" s="300"/>
      <c r="J727" s="300"/>
      <c r="K727" s="300"/>
      <c r="L727" s="300"/>
      <c r="M727" s="300"/>
      <c r="N727" s="300"/>
      <c r="O727" s="300"/>
      <c r="P727" s="300"/>
      <c r="Q727" s="300"/>
      <c r="R727" s="300"/>
      <c r="S727" s="300"/>
      <c r="T727" s="300"/>
      <c r="U727" s="300"/>
      <c r="V727" s="300"/>
      <c r="W727" s="300"/>
      <c r="X727" s="300"/>
    </row>
    <row r="728">
      <c r="A728" s="300"/>
      <c r="B728" s="300"/>
      <c r="C728" s="300"/>
      <c r="D728" s="300"/>
      <c r="E728" s="300"/>
      <c r="F728" s="300"/>
      <c r="G728" s="300"/>
      <c r="H728" s="300"/>
      <c r="I728" s="300"/>
      <c r="J728" s="300"/>
      <c r="K728" s="300"/>
      <c r="L728" s="300"/>
      <c r="M728" s="300"/>
      <c r="N728" s="300"/>
      <c r="O728" s="300"/>
      <c r="P728" s="300"/>
      <c r="Q728" s="300"/>
      <c r="R728" s="300"/>
      <c r="S728" s="300"/>
      <c r="T728" s="300"/>
      <c r="U728" s="300"/>
      <c r="V728" s="300"/>
      <c r="W728" s="300"/>
      <c r="X728" s="300"/>
    </row>
    <row r="729">
      <c r="A729" s="300"/>
      <c r="B729" s="300"/>
      <c r="C729" s="300"/>
      <c r="D729" s="300"/>
      <c r="E729" s="300"/>
      <c r="F729" s="300"/>
      <c r="G729" s="300"/>
      <c r="H729" s="300"/>
      <c r="I729" s="300"/>
      <c r="J729" s="300"/>
      <c r="K729" s="300"/>
      <c r="L729" s="300"/>
      <c r="M729" s="300"/>
      <c r="N729" s="300"/>
      <c r="O729" s="300"/>
      <c r="P729" s="300"/>
      <c r="Q729" s="300"/>
      <c r="R729" s="300"/>
      <c r="S729" s="300"/>
      <c r="T729" s="300"/>
      <c r="U729" s="300"/>
      <c r="V729" s="300"/>
      <c r="W729" s="300"/>
      <c r="X729" s="300"/>
    </row>
    <row r="730">
      <c r="A730" s="300"/>
      <c r="B730" s="300"/>
      <c r="C730" s="300"/>
      <c r="D730" s="300"/>
      <c r="E730" s="300"/>
      <c r="F730" s="300"/>
      <c r="G730" s="300"/>
      <c r="H730" s="300"/>
      <c r="I730" s="300"/>
      <c r="J730" s="300"/>
      <c r="K730" s="300"/>
      <c r="L730" s="300"/>
      <c r="M730" s="300"/>
      <c r="N730" s="300"/>
      <c r="O730" s="300"/>
      <c r="P730" s="300"/>
      <c r="Q730" s="300"/>
      <c r="R730" s="300"/>
      <c r="S730" s="300"/>
      <c r="T730" s="300"/>
      <c r="U730" s="300"/>
      <c r="V730" s="300"/>
      <c r="W730" s="300"/>
      <c r="X730" s="300"/>
    </row>
    <row r="731">
      <c r="A731" s="300"/>
      <c r="B731" s="300"/>
      <c r="C731" s="300"/>
      <c r="D731" s="300"/>
      <c r="E731" s="300"/>
      <c r="F731" s="300"/>
      <c r="G731" s="300"/>
      <c r="H731" s="300"/>
      <c r="I731" s="300"/>
      <c r="J731" s="300"/>
      <c r="K731" s="300"/>
      <c r="L731" s="300"/>
      <c r="M731" s="300"/>
      <c r="N731" s="300"/>
      <c r="O731" s="300"/>
      <c r="P731" s="300"/>
      <c r="Q731" s="300"/>
      <c r="R731" s="300"/>
      <c r="S731" s="300"/>
      <c r="T731" s="300"/>
      <c r="U731" s="300"/>
      <c r="V731" s="300"/>
      <c r="W731" s="300"/>
      <c r="X731" s="300"/>
    </row>
    <row r="732">
      <c r="A732" s="300"/>
      <c r="B732" s="300"/>
      <c r="C732" s="300"/>
      <c r="D732" s="300"/>
      <c r="E732" s="300"/>
      <c r="F732" s="300"/>
      <c r="G732" s="300"/>
      <c r="H732" s="300"/>
      <c r="I732" s="300"/>
      <c r="J732" s="300"/>
      <c r="K732" s="300"/>
      <c r="L732" s="300"/>
      <c r="M732" s="300"/>
      <c r="N732" s="300"/>
      <c r="O732" s="300"/>
      <c r="P732" s="300"/>
      <c r="Q732" s="300"/>
      <c r="R732" s="300"/>
      <c r="S732" s="300"/>
      <c r="T732" s="300"/>
      <c r="U732" s="300"/>
      <c r="V732" s="300"/>
      <c r="W732" s="300"/>
      <c r="X732" s="300"/>
    </row>
    <row r="733">
      <c r="A733" s="300"/>
      <c r="B733" s="300"/>
      <c r="C733" s="300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</row>
    <row r="734">
      <c r="A734" s="300"/>
      <c r="B734" s="300"/>
      <c r="C734" s="300"/>
      <c r="D734" s="300"/>
      <c r="E734" s="300"/>
      <c r="F734" s="300"/>
      <c r="G734" s="300"/>
      <c r="H734" s="300"/>
      <c r="I734" s="300"/>
      <c r="J734" s="300"/>
      <c r="K734" s="300"/>
      <c r="L734" s="300"/>
      <c r="M734" s="300"/>
      <c r="N734" s="300"/>
      <c r="O734" s="300"/>
      <c r="P734" s="300"/>
      <c r="Q734" s="300"/>
      <c r="R734" s="300"/>
      <c r="S734" s="300"/>
      <c r="T734" s="300"/>
      <c r="U734" s="300"/>
      <c r="V734" s="300"/>
      <c r="W734" s="300"/>
      <c r="X734" s="300"/>
    </row>
    <row r="735">
      <c r="A735" s="300"/>
      <c r="B735" s="300"/>
      <c r="C735" s="300"/>
      <c r="D735" s="300"/>
      <c r="E735" s="300"/>
      <c r="F735" s="300"/>
      <c r="G735" s="300"/>
      <c r="H735" s="300"/>
      <c r="I735" s="300"/>
      <c r="J735" s="300"/>
      <c r="K735" s="300"/>
      <c r="L735" s="300"/>
      <c r="M735" s="300"/>
      <c r="N735" s="300"/>
      <c r="O735" s="300"/>
      <c r="P735" s="300"/>
      <c r="Q735" s="300"/>
      <c r="R735" s="300"/>
      <c r="S735" s="300"/>
      <c r="T735" s="300"/>
      <c r="U735" s="300"/>
      <c r="V735" s="300"/>
      <c r="W735" s="300"/>
      <c r="X735" s="300"/>
    </row>
    <row r="736">
      <c r="A736" s="300"/>
      <c r="B736" s="300"/>
      <c r="C736" s="300"/>
      <c r="D736" s="300"/>
      <c r="E736" s="300"/>
      <c r="F736" s="300"/>
      <c r="G736" s="300"/>
      <c r="H736" s="300"/>
      <c r="I736" s="300"/>
      <c r="J736" s="300"/>
      <c r="K736" s="300"/>
      <c r="L736" s="300"/>
      <c r="M736" s="300"/>
      <c r="N736" s="300"/>
      <c r="O736" s="300"/>
      <c r="P736" s="300"/>
      <c r="Q736" s="300"/>
      <c r="R736" s="300"/>
      <c r="S736" s="300"/>
      <c r="T736" s="300"/>
      <c r="U736" s="300"/>
      <c r="V736" s="300"/>
      <c r="W736" s="300"/>
      <c r="X736" s="300"/>
    </row>
    <row r="737">
      <c r="A737" s="300"/>
      <c r="B737" s="300"/>
      <c r="C737" s="300"/>
      <c r="D737" s="300"/>
      <c r="E737" s="300"/>
      <c r="F737" s="300"/>
      <c r="G737" s="300"/>
      <c r="H737" s="300"/>
      <c r="I737" s="300"/>
      <c r="J737" s="300"/>
      <c r="K737" s="300"/>
      <c r="L737" s="300"/>
      <c r="M737" s="300"/>
      <c r="N737" s="300"/>
      <c r="O737" s="300"/>
      <c r="P737" s="300"/>
      <c r="Q737" s="300"/>
      <c r="R737" s="300"/>
      <c r="S737" s="300"/>
      <c r="T737" s="300"/>
      <c r="U737" s="300"/>
      <c r="V737" s="300"/>
      <c r="W737" s="300"/>
      <c r="X737" s="300"/>
    </row>
    <row r="738">
      <c r="A738" s="300"/>
      <c r="B738" s="300"/>
      <c r="C738" s="300"/>
      <c r="D738" s="300"/>
      <c r="E738" s="300"/>
      <c r="F738" s="300"/>
      <c r="G738" s="300"/>
      <c r="H738" s="300"/>
      <c r="I738" s="300"/>
      <c r="J738" s="300"/>
      <c r="K738" s="300"/>
      <c r="L738" s="300"/>
      <c r="M738" s="300"/>
      <c r="N738" s="300"/>
      <c r="O738" s="300"/>
      <c r="P738" s="300"/>
      <c r="Q738" s="300"/>
      <c r="R738" s="300"/>
      <c r="S738" s="300"/>
      <c r="T738" s="300"/>
      <c r="U738" s="300"/>
      <c r="V738" s="300"/>
      <c r="W738" s="300"/>
      <c r="X738" s="300"/>
    </row>
    <row r="739">
      <c r="A739" s="300"/>
      <c r="B739" s="300"/>
      <c r="C739" s="300"/>
      <c r="D739" s="300"/>
      <c r="E739" s="300"/>
      <c r="F739" s="300"/>
      <c r="G739" s="300"/>
      <c r="H739" s="300"/>
      <c r="I739" s="300"/>
      <c r="J739" s="300"/>
      <c r="K739" s="300"/>
      <c r="L739" s="300"/>
      <c r="M739" s="300"/>
      <c r="N739" s="300"/>
      <c r="O739" s="300"/>
      <c r="P739" s="300"/>
      <c r="Q739" s="300"/>
      <c r="R739" s="300"/>
      <c r="S739" s="300"/>
      <c r="T739" s="300"/>
      <c r="U739" s="300"/>
      <c r="V739" s="300"/>
      <c r="W739" s="300"/>
      <c r="X739" s="300"/>
    </row>
    <row r="740">
      <c r="A740" s="300"/>
      <c r="B740" s="300"/>
      <c r="C740" s="300"/>
      <c r="D740" s="300"/>
      <c r="E740" s="300"/>
      <c r="F740" s="300"/>
      <c r="G740" s="300"/>
      <c r="H740" s="300"/>
      <c r="I740" s="300"/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  <c r="T740" s="300"/>
      <c r="U740" s="300"/>
      <c r="V740" s="300"/>
      <c r="W740" s="300"/>
      <c r="X740" s="300"/>
    </row>
    <row r="741">
      <c r="A741" s="300"/>
      <c r="B741" s="300"/>
      <c r="C741" s="300"/>
      <c r="D741" s="300"/>
      <c r="E741" s="300"/>
      <c r="F741" s="300"/>
      <c r="G741" s="300"/>
      <c r="H741" s="300"/>
      <c r="I741" s="300"/>
      <c r="J741" s="300"/>
      <c r="K741" s="300"/>
      <c r="L741" s="300"/>
      <c r="M741" s="300"/>
      <c r="N741" s="300"/>
      <c r="O741" s="300"/>
      <c r="P741" s="300"/>
      <c r="Q741" s="300"/>
      <c r="R741" s="300"/>
      <c r="S741" s="300"/>
      <c r="T741" s="300"/>
      <c r="U741" s="300"/>
      <c r="V741" s="300"/>
      <c r="W741" s="300"/>
      <c r="X741" s="300"/>
    </row>
    <row r="742">
      <c r="A742" s="300"/>
      <c r="B742" s="300"/>
      <c r="C742" s="300"/>
      <c r="D742" s="300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  <c r="O742" s="300"/>
      <c r="P742" s="300"/>
      <c r="Q742" s="300"/>
      <c r="R742" s="300"/>
      <c r="S742" s="300"/>
      <c r="T742" s="300"/>
      <c r="U742" s="300"/>
      <c r="V742" s="300"/>
      <c r="W742" s="300"/>
      <c r="X742" s="300"/>
    </row>
    <row r="743">
      <c r="A743" s="300"/>
      <c r="B743" s="300"/>
      <c r="C743" s="300"/>
      <c r="D743" s="300"/>
      <c r="E743" s="300"/>
      <c r="F743" s="300"/>
      <c r="G743" s="300"/>
      <c r="H743" s="300"/>
      <c r="I743" s="300"/>
      <c r="J743" s="300"/>
      <c r="K743" s="300"/>
      <c r="L743" s="300"/>
      <c r="M743" s="300"/>
      <c r="N743" s="300"/>
      <c r="O743" s="300"/>
      <c r="P743" s="300"/>
      <c r="Q743" s="300"/>
      <c r="R743" s="300"/>
      <c r="S743" s="300"/>
      <c r="T743" s="300"/>
      <c r="U743" s="300"/>
      <c r="V743" s="300"/>
      <c r="W743" s="300"/>
      <c r="X743" s="300"/>
    </row>
    <row r="744">
      <c r="A744" s="300"/>
      <c r="B744" s="300"/>
      <c r="C744" s="300"/>
      <c r="D744" s="300"/>
      <c r="E744" s="300"/>
      <c r="F744" s="300"/>
      <c r="G744" s="300"/>
      <c r="H744" s="300"/>
      <c r="I744" s="300"/>
      <c r="J744" s="300"/>
      <c r="K744" s="300"/>
      <c r="L744" s="300"/>
      <c r="M744" s="300"/>
      <c r="N744" s="300"/>
      <c r="O744" s="300"/>
      <c r="P744" s="300"/>
      <c r="Q744" s="300"/>
      <c r="R744" s="300"/>
      <c r="S744" s="300"/>
      <c r="T744" s="300"/>
      <c r="U744" s="300"/>
      <c r="V744" s="300"/>
      <c r="W744" s="300"/>
      <c r="X744" s="300"/>
    </row>
    <row r="745">
      <c r="A745" s="300"/>
      <c r="B745" s="300"/>
      <c r="C745" s="300"/>
      <c r="D745" s="300"/>
      <c r="E745" s="300"/>
      <c r="F745" s="300"/>
      <c r="G745" s="300"/>
      <c r="H745" s="300"/>
      <c r="I745" s="300"/>
      <c r="J745" s="300"/>
      <c r="K745" s="300"/>
      <c r="L745" s="300"/>
      <c r="M745" s="300"/>
      <c r="N745" s="300"/>
      <c r="O745" s="300"/>
      <c r="P745" s="300"/>
      <c r="Q745" s="300"/>
      <c r="R745" s="300"/>
      <c r="S745" s="300"/>
      <c r="T745" s="300"/>
      <c r="U745" s="300"/>
      <c r="V745" s="300"/>
      <c r="W745" s="300"/>
      <c r="X745" s="300"/>
    </row>
    <row r="746">
      <c r="A746" s="300"/>
      <c r="B746" s="300"/>
      <c r="C746" s="300"/>
      <c r="D746" s="300"/>
      <c r="E746" s="300"/>
      <c r="F746" s="300"/>
      <c r="G746" s="300"/>
      <c r="H746" s="300"/>
      <c r="I746" s="300"/>
      <c r="J746" s="300"/>
      <c r="K746" s="300"/>
      <c r="L746" s="300"/>
      <c r="M746" s="300"/>
      <c r="N746" s="300"/>
      <c r="O746" s="300"/>
      <c r="P746" s="300"/>
      <c r="Q746" s="300"/>
      <c r="R746" s="300"/>
      <c r="S746" s="300"/>
      <c r="T746" s="300"/>
      <c r="U746" s="300"/>
      <c r="V746" s="300"/>
      <c r="W746" s="300"/>
      <c r="X746" s="300"/>
    </row>
    <row r="747">
      <c r="A747" s="300"/>
      <c r="B747" s="300"/>
      <c r="C747" s="300"/>
      <c r="D747" s="300"/>
      <c r="E747" s="300"/>
      <c r="F747" s="300"/>
      <c r="G747" s="300"/>
      <c r="H747" s="300"/>
      <c r="I747" s="300"/>
      <c r="J747" s="300"/>
      <c r="K747" s="300"/>
      <c r="L747" s="300"/>
      <c r="M747" s="300"/>
      <c r="N747" s="300"/>
      <c r="O747" s="300"/>
      <c r="P747" s="300"/>
      <c r="Q747" s="300"/>
      <c r="R747" s="300"/>
      <c r="S747" s="300"/>
      <c r="T747" s="300"/>
      <c r="U747" s="300"/>
      <c r="V747" s="300"/>
      <c r="W747" s="300"/>
      <c r="X747" s="300"/>
    </row>
    <row r="748">
      <c r="A748" s="300"/>
      <c r="B748" s="300"/>
      <c r="C748" s="300"/>
      <c r="D748" s="300"/>
      <c r="E748" s="300"/>
      <c r="F748" s="300"/>
      <c r="G748" s="300"/>
      <c r="H748" s="300"/>
      <c r="I748" s="300"/>
      <c r="J748" s="300"/>
      <c r="K748" s="300"/>
      <c r="L748" s="300"/>
      <c r="M748" s="300"/>
      <c r="N748" s="300"/>
      <c r="O748" s="300"/>
      <c r="P748" s="300"/>
      <c r="Q748" s="300"/>
      <c r="R748" s="300"/>
      <c r="S748" s="300"/>
      <c r="T748" s="300"/>
      <c r="U748" s="300"/>
      <c r="V748" s="300"/>
      <c r="W748" s="300"/>
      <c r="X748" s="300"/>
    </row>
    <row r="749">
      <c r="A749" s="300"/>
      <c r="B749" s="300"/>
      <c r="C749" s="300"/>
      <c r="D749" s="300"/>
      <c r="E749" s="300"/>
      <c r="F749" s="300"/>
      <c r="G749" s="300"/>
      <c r="H749" s="300"/>
      <c r="I749" s="300"/>
      <c r="J749" s="300"/>
      <c r="K749" s="300"/>
      <c r="L749" s="300"/>
      <c r="M749" s="300"/>
      <c r="N749" s="300"/>
      <c r="O749" s="300"/>
      <c r="P749" s="300"/>
      <c r="Q749" s="300"/>
      <c r="R749" s="300"/>
      <c r="S749" s="300"/>
      <c r="T749" s="300"/>
      <c r="U749" s="300"/>
      <c r="V749" s="300"/>
      <c r="W749" s="300"/>
      <c r="X749" s="300"/>
    </row>
    <row r="750">
      <c r="A750" s="300"/>
      <c r="B750" s="300"/>
      <c r="C750" s="300"/>
      <c r="D750" s="300"/>
      <c r="E750" s="300"/>
      <c r="F750" s="300"/>
      <c r="G750" s="300"/>
      <c r="H750" s="300"/>
      <c r="I750" s="300"/>
      <c r="J750" s="300"/>
      <c r="K750" s="300"/>
      <c r="L750" s="300"/>
      <c r="M750" s="300"/>
      <c r="N750" s="300"/>
      <c r="O750" s="300"/>
      <c r="P750" s="300"/>
      <c r="Q750" s="300"/>
      <c r="R750" s="300"/>
      <c r="S750" s="300"/>
      <c r="T750" s="300"/>
      <c r="U750" s="300"/>
      <c r="V750" s="300"/>
      <c r="W750" s="300"/>
      <c r="X750" s="300"/>
    </row>
    <row r="751">
      <c r="A751" s="300"/>
      <c r="B751" s="300"/>
      <c r="C751" s="300"/>
      <c r="D751" s="300"/>
      <c r="E751" s="300"/>
      <c r="F751" s="300"/>
      <c r="G751" s="300"/>
      <c r="H751" s="300"/>
      <c r="I751" s="300"/>
      <c r="J751" s="300"/>
      <c r="K751" s="300"/>
      <c r="L751" s="300"/>
      <c r="M751" s="300"/>
      <c r="N751" s="300"/>
      <c r="O751" s="300"/>
      <c r="P751" s="300"/>
      <c r="Q751" s="300"/>
      <c r="R751" s="300"/>
      <c r="S751" s="300"/>
      <c r="T751" s="300"/>
      <c r="U751" s="300"/>
      <c r="V751" s="300"/>
      <c r="W751" s="300"/>
      <c r="X751" s="300"/>
    </row>
    <row r="752">
      <c r="A752" s="300"/>
      <c r="B752" s="300"/>
      <c r="C752" s="300"/>
      <c r="D752" s="300"/>
      <c r="E752" s="300"/>
      <c r="F752" s="300"/>
      <c r="G752" s="300"/>
      <c r="H752" s="300"/>
      <c r="I752" s="300"/>
      <c r="J752" s="300"/>
      <c r="K752" s="300"/>
      <c r="L752" s="300"/>
      <c r="M752" s="300"/>
      <c r="N752" s="300"/>
      <c r="O752" s="300"/>
      <c r="P752" s="300"/>
      <c r="Q752" s="300"/>
      <c r="R752" s="300"/>
      <c r="S752" s="300"/>
      <c r="T752" s="300"/>
      <c r="U752" s="300"/>
      <c r="V752" s="300"/>
      <c r="W752" s="300"/>
      <c r="X752" s="300"/>
    </row>
    <row r="753">
      <c r="A753" s="300"/>
      <c r="B753" s="300"/>
      <c r="C753" s="300"/>
      <c r="D753" s="300"/>
      <c r="E753" s="300"/>
      <c r="F753" s="300"/>
      <c r="G753" s="300"/>
      <c r="H753" s="300"/>
      <c r="I753" s="300"/>
      <c r="J753" s="300"/>
      <c r="K753" s="300"/>
      <c r="L753" s="300"/>
      <c r="M753" s="300"/>
      <c r="N753" s="300"/>
      <c r="O753" s="300"/>
      <c r="P753" s="300"/>
      <c r="Q753" s="300"/>
      <c r="R753" s="300"/>
      <c r="S753" s="300"/>
      <c r="T753" s="300"/>
      <c r="U753" s="300"/>
      <c r="V753" s="300"/>
      <c r="W753" s="300"/>
      <c r="X753" s="300"/>
    </row>
    <row r="754">
      <c r="A754" s="300"/>
      <c r="B754" s="300"/>
      <c r="C754" s="300"/>
      <c r="D754" s="300"/>
      <c r="E754" s="300"/>
      <c r="F754" s="300"/>
      <c r="G754" s="300"/>
      <c r="H754" s="300"/>
      <c r="I754" s="300"/>
      <c r="J754" s="300"/>
      <c r="K754" s="300"/>
      <c r="L754" s="300"/>
      <c r="M754" s="300"/>
      <c r="N754" s="300"/>
      <c r="O754" s="300"/>
      <c r="P754" s="300"/>
      <c r="Q754" s="300"/>
      <c r="R754" s="300"/>
      <c r="S754" s="300"/>
      <c r="T754" s="300"/>
      <c r="U754" s="300"/>
      <c r="V754" s="300"/>
      <c r="W754" s="300"/>
      <c r="X754" s="300"/>
    </row>
    <row r="755">
      <c r="A755" s="300"/>
      <c r="B755" s="300"/>
      <c r="C755" s="300"/>
      <c r="D755" s="300"/>
      <c r="E755" s="300"/>
      <c r="F755" s="300"/>
      <c r="G755" s="300"/>
      <c r="H755" s="300"/>
      <c r="I755" s="300"/>
      <c r="J755" s="300"/>
      <c r="K755" s="300"/>
      <c r="L755" s="300"/>
      <c r="M755" s="300"/>
      <c r="N755" s="300"/>
      <c r="O755" s="300"/>
      <c r="P755" s="300"/>
      <c r="Q755" s="300"/>
      <c r="R755" s="300"/>
      <c r="S755" s="300"/>
      <c r="T755" s="300"/>
      <c r="U755" s="300"/>
      <c r="V755" s="300"/>
      <c r="W755" s="300"/>
      <c r="X755" s="300"/>
    </row>
    <row r="756">
      <c r="A756" s="300"/>
      <c r="B756" s="300"/>
      <c r="C756" s="300"/>
      <c r="D756" s="300"/>
      <c r="E756" s="300"/>
      <c r="F756" s="300"/>
      <c r="G756" s="300"/>
      <c r="H756" s="300"/>
      <c r="I756" s="300"/>
      <c r="J756" s="300"/>
      <c r="K756" s="300"/>
      <c r="L756" s="300"/>
      <c r="M756" s="300"/>
      <c r="N756" s="300"/>
      <c r="O756" s="300"/>
      <c r="P756" s="300"/>
      <c r="Q756" s="300"/>
      <c r="R756" s="300"/>
      <c r="S756" s="300"/>
      <c r="T756" s="300"/>
      <c r="U756" s="300"/>
      <c r="V756" s="300"/>
      <c r="W756" s="300"/>
      <c r="X756" s="300"/>
    </row>
    <row r="757">
      <c r="A757" s="300"/>
      <c r="B757" s="300"/>
      <c r="C757" s="300"/>
      <c r="D757" s="300"/>
      <c r="E757" s="300"/>
      <c r="F757" s="300"/>
      <c r="G757" s="300"/>
      <c r="H757" s="300"/>
      <c r="I757" s="300"/>
      <c r="J757" s="300"/>
      <c r="K757" s="300"/>
      <c r="L757" s="300"/>
      <c r="M757" s="300"/>
      <c r="N757" s="300"/>
      <c r="O757" s="300"/>
      <c r="P757" s="300"/>
      <c r="Q757" s="300"/>
      <c r="R757" s="300"/>
      <c r="S757" s="300"/>
      <c r="T757" s="300"/>
      <c r="U757" s="300"/>
      <c r="V757" s="300"/>
      <c r="W757" s="300"/>
      <c r="X757" s="300"/>
    </row>
    <row r="758">
      <c r="A758" s="300"/>
      <c r="B758" s="300"/>
      <c r="C758" s="300"/>
      <c r="D758" s="300"/>
      <c r="E758" s="300"/>
      <c r="F758" s="300"/>
      <c r="G758" s="300"/>
      <c r="H758" s="300"/>
      <c r="I758" s="300"/>
      <c r="J758" s="300"/>
      <c r="K758" s="300"/>
      <c r="L758" s="300"/>
      <c r="M758" s="300"/>
      <c r="N758" s="300"/>
      <c r="O758" s="300"/>
      <c r="P758" s="300"/>
      <c r="Q758" s="300"/>
      <c r="R758" s="300"/>
      <c r="S758" s="300"/>
      <c r="T758" s="300"/>
      <c r="U758" s="300"/>
      <c r="V758" s="300"/>
      <c r="W758" s="300"/>
      <c r="X758" s="300"/>
    </row>
    <row r="759">
      <c r="A759" s="300"/>
      <c r="B759" s="300"/>
      <c r="C759" s="300"/>
      <c r="D759" s="300"/>
      <c r="E759" s="300"/>
      <c r="F759" s="300"/>
      <c r="G759" s="300"/>
      <c r="H759" s="300"/>
      <c r="I759" s="300"/>
      <c r="J759" s="300"/>
      <c r="K759" s="300"/>
      <c r="L759" s="300"/>
      <c r="M759" s="300"/>
      <c r="N759" s="300"/>
      <c r="O759" s="300"/>
      <c r="P759" s="300"/>
      <c r="Q759" s="300"/>
      <c r="R759" s="300"/>
      <c r="S759" s="300"/>
      <c r="T759" s="300"/>
      <c r="U759" s="300"/>
      <c r="V759" s="300"/>
      <c r="W759" s="300"/>
      <c r="X759" s="300"/>
    </row>
    <row r="760">
      <c r="A760" s="300"/>
      <c r="B760" s="300"/>
      <c r="C760" s="300"/>
      <c r="D760" s="300"/>
      <c r="E760" s="300"/>
      <c r="F760" s="300"/>
      <c r="G760" s="300"/>
      <c r="H760" s="300"/>
      <c r="I760" s="300"/>
      <c r="J760" s="300"/>
      <c r="K760" s="300"/>
      <c r="L760" s="300"/>
      <c r="M760" s="300"/>
      <c r="N760" s="300"/>
      <c r="O760" s="300"/>
      <c r="P760" s="300"/>
      <c r="Q760" s="300"/>
      <c r="R760" s="300"/>
      <c r="S760" s="300"/>
      <c r="T760" s="300"/>
      <c r="U760" s="300"/>
      <c r="V760" s="300"/>
      <c r="W760" s="300"/>
      <c r="X760" s="300"/>
    </row>
    <row r="761">
      <c r="A761" s="300"/>
      <c r="B761" s="300"/>
      <c r="C761" s="300"/>
      <c r="D761" s="300"/>
      <c r="E761" s="300"/>
      <c r="F761" s="300"/>
      <c r="G761" s="300"/>
      <c r="H761" s="300"/>
      <c r="I761" s="300"/>
      <c r="J761" s="300"/>
      <c r="K761" s="300"/>
      <c r="L761" s="300"/>
      <c r="M761" s="300"/>
      <c r="N761" s="300"/>
      <c r="O761" s="300"/>
      <c r="P761" s="300"/>
      <c r="Q761" s="300"/>
      <c r="R761" s="300"/>
      <c r="S761" s="300"/>
      <c r="T761" s="300"/>
      <c r="U761" s="300"/>
      <c r="V761" s="300"/>
      <c r="W761" s="300"/>
      <c r="X761" s="300"/>
    </row>
    <row r="762">
      <c r="A762" s="300"/>
      <c r="B762" s="300"/>
      <c r="C762" s="300"/>
      <c r="D762" s="300"/>
      <c r="E762" s="300"/>
      <c r="F762" s="300"/>
      <c r="G762" s="300"/>
      <c r="H762" s="300"/>
      <c r="I762" s="300"/>
      <c r="J762" s="300"/>
      <c r="K762" s="300"/>
      <c r="L762" s="300"/>
      <c r="M762" s="300"/>
      <c r="N762" s="300"/>
      <c r="O762" s="300"/>
      <c r="P762" s="300"/>
      <c r="Q762" s="300"/>
      <c r="R762" s="300"/>
      <c r="S762" s="300"/>
      <c r="T762" s="300"/>
      <c r="U762" s="300"/>
      <c r="V762" s="300"/>
      <c r="W762" s="300"/>
      <c r="X762" s="300"/>
    </row>
    <row r="763">
      <c r="A763" s="300"/>
      <c r="B763" s="300"/>
      <c r="C763" s="300"/>
      <c r="D763" s="300"/>
      <c r="E763" s="300"/>
      <c r="F763" s="300"/>
      <c r="G763" s="300"/>
      <c r="H763" s="300"/>
      <c r="I763" s="300"/>
      <c r="J763" s="300"/>
      <c r="K763" s="300"/>
      <c r="L763" s="300"/>
      <c r="M763" s="300"/>
      <c r="N763" s="300"/>
      <c r="O763" s="300"/>
      <c r="P763" s="300"/>
      <c r="Q763" s="300"/>
      <c r="R763" s="300"/>
      <c r="S763" s="300"/>
      <c r="T763" s="300"/>
      <c r="U763" s="300"/>
      <c r="V763" s="300"/>
      <c r="W763" s="300"/>
      <c r="X763" s="300"/>
    </row>
    <row r="764">
      <c r="A764" s="300"/>
      <c r="B764" s="300"/>
      <c r="C764" s="300"/>
      <c r="D764" s="300"/>
      <c r="E764" s="300"/>
      <c r="F764" s="300"/>
      <c r="G764" s="300"/>
      <c r="H764" s="300"/>
      <c r="I764" s="300"/>
      <c r="J764" s="300"/>
      <c r="K764" s="300"/>
      <c r="L764" s="300"/>
      <c r="M764" s="300"/>
      <c r="N764" s="300"/>
      <c r="O764" s="300"/>
      <c r="P764" s="300"/>
      <c r="Q764" s="300"/>
      <c r="R764" s="300"/>
      <c r="S764" s="300"/>
      <c r="T764" s="300"/>
      <c r="U764" s="300"/>
      <c r="V764" s="300"/>
      <c r="W764" s="300"/>
      <c r="X764" s="300"/>
    </row>
    <row r="765">
      <c r="A765" s="300"/>
      <c r="B765" s="300"/>
      <c r="C765" s="300"/>
      <c r="D765" s="300"/>
      <c r="E765" s="300"/>
      <c r="F765" s="300"/>
      <c r="G765" s="300"/>
      <c r="H765" s="300"/>
      <c r="I765" s="300"/>
      <c r="J765" s="300"/>
      <c r="K765" s="300"/>
      <c r="L765" s="300"/>
      <c r="M765" s="300"/>
      <c r="N765" s="300"/>
      <c r="O765" s="300"/>
      <c r="P765" s="300"/>
      <c r="Q765" s="300"/>
      <c r="R765" s="300"/>
      <c r="S765" s="300"/>
      <c r="T765" s="300"/>
      <c r="U765" s="300"/>
      <c r="V765" s="300"/>
      <c r="W765" s="300"/>
      <c r="X765" s="300"/>
    </row>
    <row r="766">
      <c r="A766" s="300"/>
      <c r="B766" s="300"/>
      <c r="C766" s="300"/>
      <c r="D766" s="300"/>
      <c r="E766" s="300"/>
      <c r="F766" s="300"/>
      <c r="G766" s="300"/>
      <c r="H766" s="300"/>
      <c r="I766" s="300"/>
      <c r="J766" s="300"/>
      <c r="K766" s="300"/>
      <c r="L766" s="300"/>
      <c r="M766" s="300"/>
      <c r="N766" s="300"/>
      <c r="O766" s="300"/>
      <c r="P766" s="300"/>
      <c r="Q766" s="300"/>
      <c r="R766" s="300"/>
      <c r="S766" s="300"/>
      <c r="T766" s="300"/>
      <c r="U766" s="300"/>
      <c r="V766" s="300"/>
      <c r="W766" s="300"/>
      <c r="X766" s="300"/>
    </row>
    <row r="767">
      <c r="A767" s="300"/>
      <c r="B767" s="300"/>
      <c r="C767" s="300"/>
      <c r="D767" s="300"/>
      <c r="E767" s="300"/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300"/>
      <c r="S767" s="300"/>
      <c r="T767" s="300"/>
      <c r="U767" s="300"/>
      <c r="V767" s="300"/>
      <c r="W767" s="300"/>
      <c r="X767" s="300"/>
    </row>
    <row r="768">
      <c r="A768" s="300"/>
      <c r="B768" s="300"/>
      <c r="C768" s="300"/>
      <c r="D768" s="300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</row>
    <row r="769">
      <c r="A769" s="300"/>
      <c r="B769" s="300"/>
      <c r="C769" s="300"/>
      <c r="D769" s="300"/>
      <c r="E769" s="300"/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300"/>
      <c r="S769" s="300"/>
      <c r="T769" s="300"/>
      <c r="U769" s="300"/>
      <c r="V769" s="300"/>
      <c r="W769" s="300"/>
      <c r="X769" s="300"/>
    </row>
    <row r="770">
      <c r="A770" s="300"/>
      <c r="B770" s="300"/>
      <c r="C770" s="300"/>
      <c r="D770" s="300"/>
      <c r="E770" s="300"/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300"/>
      <c r="S770" s="300"/>
      <c r="T770" s="300"/>
      <c r="U770" s="300"/>
      <c r="V770" s="300"/>
      <c r="W770" s="300"/>
      <c r="X770" s="300"/>
    </row>
    <row r="771">
      <c r="A771" s="300"/>
      <c r="B771" s="300"/>
      <c r="C771" s="300"/>
      <c r="D771" s="300"/>
      <c r="E771" s="300"/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300"/>
      <c r="S771" s="300"/>
      <c r="T771" s="300"/>
      <c r="U771" s="300"/>
      <c r="V771" s="300"/>
      <c r="W771" s="300"/>
      <c r="X771" s="300"/>
    </row>
    <row r="772">
      <c r="A772" s="300"/>
      <c r="B772" s="300"/>
      <c r="C772" s="300"/>
      <c r="D772" s="300"/>
      <c r="E772" s="300"/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300"/>
      <c r="S772" s="300"/>
      <c r="T772" s="300"/>
      <c r="U772" s="300"/>
      <c r="V772" s="300"/>
      <c r="W772" s="300"/>
      <c r="X772" s="300"/>
    </row>
    <row r="773">
      <c r="A773" s="300"/>
      <c r="B773" s="300"/>
      <c r="C773" s="300"/>
      <c r="D773" s="300"/>
      <c r="E773" s="300"/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300"/>
      <c r="S773" s="300"/>
      <c r="T773" s="300"/>
      <c r="U773" s="300"/>
      <c r="V773" s="300"/>
      <c r="W773" s="300"/>
      <c r="X773" s="300"/>
    </row>
    <row r="774">
      <c r="A774" s="300"/>
      <c r="B774" s="300"/>
      <c r="C774" s="300"/>
      <c r="D774" s="300"/>
      <c r="E774" s="300"/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300"/>
      <c r="S774" s="300"/>
      <c r="T774" s="300"/>
      <c r="U774" s="300"/>
      <c r="V774" s="300"/>
      <c r="W774" s="300"/>
      <c r="X774" s="300"/>
    </row>
    <row r="775">
      <c r="A775" s="300"/>
      <c r="B775" s="300"/>
      <c r="C775" s="300"/>
      <c r="D775" s="300"/>
      <c r="E775" s="300"/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300"/>
      <c r="S775" s="300"/>
      <c r="T775" s="300"/>
      <c r="U775" s="300"/>
      <c r="V775" s="300"/>
      <c r="W775" s="300"/>
      <c r="X775" s="300"/>
    </row>
    <row r="776">
      <c r="A776" s="300"/>
      <c r="B776" s="300"/>
      <c r="C776" s="300"/>
      <c r="D776" s="300"/>
      <c r="E776" s="300"/>
      <c r="F776" s="300"/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300"/>
      <c r="S776" s="300"/>
      <c r="T776" s="300"/>
      <c r="U776" s="300"/>
      <c r="V776" s="300"/>
      <c r="W776" s="300"/>
      <c r="X776" s="300"/>
    </row>
    <row r="777">
      <c r="A777" s="300"/>
      <c r="B777" s="300"/>
      <c r="C777" s="300"/>
      <c r="D777" s="300"/>
      <c r="E777" s="300"/>
      <c r="F777" s="300"/>
      <c r="G777" s="300"/>
      <c r="H777" s="300"/>
      <c r="I777" s="300"/>
      <c r="J777" s="300"/>
      <c r="K777" s="300"/>
      <c r="L777" s="300"/>
      <c r="M777" s="300"/>
      <c r="N777" s="300"/>
      <c r="O777" s="300"/>
      <c r="P777" s="300"/>
      <c r="Q777" s="300"/>
      <c r="R777" s="300"/>
      <c r="S777" s="300"/>
      <c r="T777" s="300"/>
      <c r="U777" s="300"/>
      <c r="V777" s="300"/>
      <c r="W777" s="300"/>
      <c r="X777" s="300"/>
    </row>
    <row r="778">
      <c r="A778" s="300"/>
      <c r="B778" s="300"/>
      <c r="C778" s="300"/>
      <c r="D778" s="300"/>
      <c r="E778" s="300"/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300"/>
      <c r="S778" s="300"/>
      <c r="T778" s="300"/>
      <c r="U778" s="300"/>
      <c r="V778" s="300"/>
      <c r="W778" s="300"/>
      <c r="X778" s="300"/>
    </row>
    <row r="779">
      <c r="A779" s="300"/>
      <c r="B779" s="300"/>
      <c r="C779" s="300"/>
      <c r="D779" s="300"/>
      <c r="E779" s="300"/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300"/>
      <c r="S779" s="300"/>
      <c r="T779" s="300"/>
      <c r="U779" s="300"/>
      <c r="V779" s="300"/>
      <c r="W779" s="300"/>
      <c r="X779" s="300"/>
    </row>
    <row r="780">
      <c r="A780" s="300"/>
      <c r="B780" s="300"/>
      <c r="C780" s="300"/>
      <c r="D780" s="300"/>
      <c r="E780" s="300"/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300"/>
      <c r="S780" s="300"/>
      <c r="T780" s="300"/>
      <c r="U780" s="300"/>
      <c r="V780" s="300"/>
      <c r="W780" s="300"/>
      <c r="X780" s="300"/>
    </row>
    <row r="781">
      <c r="A781" s="300"/>
      <c r="B781" s="300"/>
      <c r="C781" s="300"/>
      <c r="D781" s="300"/>
      <c r="E781" s="300"/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300"/>
      <c r="S781" s="300"/>
      <c r="T781" s="300"/>
      <c r="U781" s="300"/>
      <c r="V781" s="300"/>
      <c r="W781" s="300"/>
      <c r="X781" s="300"/>
    </row>
    <row r="782">
      <c r="A782" s="300"/>
      <c r="B782" s="300"/>
      <c r="C782" s="300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300"/>
      <c r="S782" s="300"/>
      <c r="T782" s="300"/>
      <c r="U782" s="300"/>
      <c r="V782" s="300"/>
      <c r="W782" s="300"/>
      <c r="X782" s="300"/>
    </row>
    <row r="783">
      <c r="A783" s="300"/>
      <c r="B783" s="300"/>
      <c r="C783" s="300"/>
      <c r="D783" s="300"/>
      <c r="E783" s="300"/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300"/>
      <c r="S783" s="300"/>
      <c r="T783" s="300"/>
      <c r="U783" s="300"/>
      <c r="V783" s="300"/>
      <c r="W783" s="300"/>
      <c r="X783" s="300"/>
    </row>
    <row r="784">
      <c r="A784" s="300"/>
      <c r="B784" s="300"/>
      <c r="C784" s="300"/>
      <c r="D784" s="300"/>
      <c r="E784" s="300"/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300"/>
      <c r="S784" s="300"/>
      <c r="T784" s="300"/>
      <c r="U784" s="300"/>
      <c r="V784" s="300"/>
      <c r="W784" s="300"/>
      <c r="X784" s="300"/>
    </row>
    <row r="785">
      <c r="A785" s="300"/>
      <c r="B785" s="300"/>
      <c r="C785" s="300"/>
      <c r="D785" s="300"/>
      <c r="E785" s="300"/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300"/>
      <c r="S785" s="300"/>
      <c r="T785" s="300"/>
      <c r="U785" s="300"/>
      <c r="V785" s="300"/>
      <c r="W785" s="300"/>
      <c r="X785" s="300"/>
    </row>
    <row r="786">
      <c r="A786" s="300"/>
      <c r="B786" s="300"/>
      <c r="C786" s="300"/>
      <c r="D786" s="300"/>
      <c r="E786" s="300"/>
      <c r="F786" s="300"/>
      <c r="G786" s="300"/>
      <c r="H786" s="300"/>
      <c r="I786" s="300"/>
      <c r="J786" s="300"/>
      <c r="K786" s="300"/>
      <c r="L786" s="300"/>
      <c r="M786" s="300"/>
      <c r="N786" s="300"/>
      <c r="O786" s="300"/>
      <c r="P786" s="300"/>
      <c r="Q786" s="300"/>
      <c r="R786" s="300"/>
      <c r="S786" s="300"/>
      <c r="T786" s="300"/>
      <c r="U786" s="300"/>
      <c r="V786" s="300"/>
      <c r="W786" s="300"/>
      <c r="X786" s="300"/>
    </row>
    <row r="787">
      <c r="A787" s="300"/>
      <c r="B787" s="300"/>
      <c r="C787" s="300"/>
      <c r="D787" s="300"/>
      <c r="E787" s="300"/>
      <c r="F787" s="300"/>
      <c r="G787" s="300"/>
      <c r="H787" s="300"/>
      <c r="I787" s="300"/>
      <c r="J787" s="300"/>
      <c r="K787" s="300"/>
      <c r="L787" s="300"/>
      <c r="M787" s="300"/>
      <c r="N787" s="300"/>
      <c r="O787" s="300"/>
      <c r="P787" s="300"/>
      <c r="Q787" s="300"/>
      <c r="R787" s="300"/>
      <c r="S787" s="300"/>
      <c r="T787" s="300"/>
      <c r="U787" s="300"/>
      <c r="V787" s="300"/>
      <c r="W787" s="300"/>
      <c r="X787" s="300"/>
    </row>
    <row r="788">
      <c r="A788" s="300"/>
      <c r="B788" s="300"/>
      <c r="C788" s="300"/>
      <c r="D788" s="300"/>
      <c r="E788" s="300"/>
      <c r="F788" s="300"/>
      <c r="G788" s="300"/>
      <c r="H788" s="300"/>
      <c r="I788" s="300"/>
      <c r="J788" s="300"/>
      <c r="K788" s="300"/>
      <c r="L788" s="300"/>
      <c r="M788" s="300"/>
      <c r="N788" s="300"/>
      <c r="O788" s="300"/>
      <c r="P788" s="300"/>
      <c r="Q788" s="300"/>
      <c r="R788" s="300"/>
      <c r="S788" s="300"/>
      <c r="T788" s="300"/>
      <c r="U788" s="300"/>
      <c r="V788" s="300"/>
      <c r="W788" s="300"/>
      <c r="X788" s="300"/>
    </row>
    <row r="789">
      <c r="A789" s="300"/>
      <c r="B789" s="300"/>
      <c r="C789" s="300"/>
      <c r="D789" s="300"/>
      <c r="E789" s="300"/>
      <c r="F789" s="300"/>
      <c r="G789" s="300"/>
      <c r="H789" s="300"/>
      <c r="I789" s="300"/>
      <c r="J789" s="300"/>
      <c r="K789" s="300"/>
      <c r="L789" s="300"/>
      <c r="M789" s="300"/>
      <c r="N789" s="300"/>
      <c r="O789" s="300"/>
      <c r="P789" s="300"/>
      <c r="Q789" s="300"/>
      <c r="R789" s="300"/>
      <c r="S789" s="300"/>
      <c r="T789" s="300"/>
      <c r="U789" s="300"/>
      <c r="V789" s="300"/>
      <c r="W789" s="300"/>
      <c r="X789" s="300"/>
    </row>
    <row r="790">
      <c r="A790" s="300"/>
      <c r="B790" s="300"/>
      <c r="C790" s="300"/>
      <c r="D790" s="300"/>
      <c r="E790" s="300"/>
      <c r="F790" s="300"/>
      <c r="G790" s="300"/>
      <c r="H790" s="300"/>
      <c r="I790" s="300"/>
      <c r="J790" s="300"/>
      <c r="K790" s="300"/>
      <c r="L790" s="300"/>
      <c r="M790" s="300"/>
      <c r="N790" s="300"/>
      <c r="O790" s="300"/>
      <c r="P790" s="300"/>
      <c r="Q790" s="300"/>
      <c r="R790" s="300"/>
      <c r="S790" s="300"/>
      <c r="T790" s="300"/>
      <c r="U790" s="300"/>
      <c r="V790" s="300"/>
      <c r="W790" s="300"/>
      <c r="X790" s="300"/>
    </row>
    <row r="791">
      <c r="A791" s="300"/>
      <c r="B791" s="300"/>
      <c r="C791" s="300"/>
      <c r="D791" s="300"/>
      <c r="E791" s="300"/>
      <c r="F791" s="300"/>
      <c r="G791" s="300"/>
      <c r="H791" s="300"/>
      <c r="I791" s="300"/>
      <c r="J791" s="300"/>
      <c r="K791" s="300"/>
      <c r="L791" s="300"/>
      <c r="M791" s="300"/>
      <c r="N791" s="300"/>
      <c r="O791" s="300"/>
      <c r="P791" s="300"/>
      <c r="Q791" s="300"/>
      <c r="R791" s="300"/>
      <c r="S791" s="300"/>
      <c r="T791" s="300"/>
      <c r="U791" s="300"/>
      <c r="V791" s="300"/>
      <c r="W791" s="300"/>
      <c r="X791" s="300"/>
    </row>
    <row r="792">
      <c r="A792" s="300"/>
      <c r="B792" s="300"/>
      <c r="C792" s="300"/>
      <c r="D792" s="300"/>
      <c r="E792" s="300"/>
      <c r="F792" s="300"/>
      <c r="G792" s="300"/>
      <c r="H792" s="300"/>
      <c r="I792" s="300"/>
      <c r="J792" s="300"/>
      <c r="K792" s="300"/>
      <c r="L792" s="300"/>
      <c r="M792" s="300"/>
      <c r="N792" s="300"/>
      <c r="O792" s="300"/>
      <c r="P792" s="300"/>
      <c r="Q792" s="300"/>
      <c r="R792" s="300"/>
      <c r="S792" s="300"/>
      <c r="T792" s="300"/>
      <c r="U792" s="300"/>
      <c r="V792" s="300"/>
      <c r="W792" s="300"/>
      <c r="X792" s="300"/>
    </row>
    <row r="793">
      <c r="A793" s="300"/>
      <c r="B793" s="300"/>
      <c r="C793" s="300"/>
      <c r="D793" s="300"/>
      <c r="E793" s="300"/>
      <c r="F793" s="300"/>
      <c r="G793" s="300"/>
      <c r="H793" s="300"/>
      <c r="I793" s="300"/>
      <c r="J793" s="300"/>
      <c r="K793" s="300"/>
      <c r="L793" s="300"/>
      <c r="M793" s="300"/>
      <c r="N793" s="300"/>
      <c r="O793" s="300"/>
      <c r="P793" s="300"/>
      <c r="Q793" s="300"/>
      <c r="R793" s="300"/>
      <c r="S793" s="300"/>
      <c r="T793" s="300"/>
      <c r="U793" s="300"/>
      <c r="V793" s="300"/>
      <c r="W793" s="300"/>
      <c r="X793" s="300"/>
    </row>
    <row r="794">
      <c r="A794" s="300"/>
      <c r="B794" s="300"/>
      <c r="C794" s="300"/>
      <c r="D794" s="300"/>
      <c r="E794" s="300"/>
      <c r="F794" s="300"/>
      <c r="G794" s="300"/>
      <c r="H794" s="300"/>
      <c r="I794" s="300"/>
      <c r="J794" s="300"/>
      <c r="K794" s="300"/>
      <c r="L794" s="300"/>
      <c r="M794" s="300"/>
      <c r="N794" s="300"/>
      <c r="O794" s="300"/>
      <c r="P794" s="300"/>
      <c r="Q794" s="300"/>
      <c r="R794" s="300"/>
      <c r="S794" s="300"/>
      <c r="T794" s="300"/>
      <c r="U794" s="300"/>
      <c r="V794" s="300"/>
      <c r="W794" s="300"/>
      <c r="X794" s="300"/>
    </row>
    <row r="795">
      <c r="A795" s="300"/>
      <c r="B795" s="300"/>
      <c r="C795" s="300"/>
      <c r="D795" s="300"/>
      <c r="E795" s="300"/>
      <c r="F795" s="300"/>
      <c r="G795" s="300"/>
      <c r="H795" s="300"/>
      <c r="I795" s="300"/>
      <c r="J795" s="300"/>
      <c r="K795" s="300"/>
      <c r="L795" s="300"/>
      <c r="M795" s="300"/>
      <c r="N795" s="300"/>
      <c r="O795" s="300"/>
      <c r="P795" s="300"/>
      <c r="Q795" s="300"/>
      <c r="R795" s="300"/>
      <c r="S795" s="300"/>
      <c r="T795" s="300"/>
      <c r="U795" s="300"/>
      <c r="V795" s="300"/>
      <c r="W795" s="300"/>
      <c r="X795" s="300"/>
    </row>
    <row r="796">
      <c r="A796" s="300"/>
      <c r="B796" s="300"/>
      <c r="C796" s="300"/>
      <c r="D796" s="300"/>
      <c r="E796" s="300"/>
      <c r="F796" s="300"/>
      <c r="G796" s="300"/>
      <c r="H796" s="300"/>
      <c r="I796" s="300"/>
      <c r="J796" s="300"/>
      <c r="K796" s="300"/>
      <c r="L796" s="300"/>
      <c r="M796" s="300"/>
      <c r="N796" s="300"/>
      <c r="O796" s="300"/>
      <c r="P796" s="300"/>
      <c r="Q796" s="300"/>
      <c r="R796" s="300"/>
      <c r="S796" s="300"/>
      <c r="T796" s="300"/>
      <c r="U796" s="300"/>
      <c r="V796" s="300"/>
      <c r="W796" s="300"/>
      <c r="X796" s="300"/>
    </row>
    <row r="797">
      <c r="A797" s="300"/>
      <c r="B797" s="300"/>
      <c r="C797" s="300"/>
      <c r="D797" s="300"/>
      <c r="E797" s="300"/>
      <c r="F797" s="300"/>
      <c r="G797" s="300"/>
      <c r="H797" s="300"/>
      <c r="I797" s="300"/>
      <c r="J797" s="300"/>
      <c r="K797" s="300"/>
      <c r="L797" s="300"/>
      <c r="M797" s="300"/>
      <c r="N797" s="300"/>
      <c r="O797" s="300"/>
      <c r="P797" s="300"/>
      <c r="Q797" s="300"/>
      <c r="R797" s="300"/>
      <c r="S797" s="300"/>
      <c r="T797" s="300"/>
      <c r="U797" s="300"/>
      <c r="V797" s="300"/>
      <c r="W797" s="300"/>
      <c r="X797" s="300"/>
    </row>
    <row r="798">
      <c r="A798" s="300"/>
      <c r="B798" s="300"/>
      <c r="C798" s="300"/>
      <c r="D798" s="300"/>
      <c r="E798" s="300"/>
      <c r="F798" s="300"/>
      <c r="G798" s="300"/>
      <c r="H798" s="300"/>
      <c r="I798" s="300"/>
      <c r="J798" s="300"/>
      <c r="K798" s="300"/>
      <c r="L798" s="300"/>
      <c r="M798" s="300"/>
      <c r="N798" s="300"/>
      <c r="O798" s="300"/>
      <c r="P798" s="300"/>
      <c r="Q798" s="300"/>
      <c r="R798" s="300"/>
      <c r="S798" s="300"/>
      <c r="T798" s="300"/>
      <c r="U798" s="300"/>
      <c r="V798" s="300"/>
      <c r="W798" s="300"/>
      <c r="X798" s="300"/>
    </row>
    <row r="799">
      <c r="A799" s="300"/>
      <c r="B799" s="300"/>
      <c r="C799" s="300"/>
      <c r="D799" s="300"/>
      <c r="E799" s="300"/>
      <c r="F799" s="300"/>
      <c r="G799" s="300"/>
      <c r="H799" s="300"/>
      <c r="I799" s="300"/>
      <c r="J799" s="300"/>
      <c r="K799" s="300"/>
      <c r="L799" s="300"/>
      <c r="M799" s="300"/>
      <c r="N799" s="300"/>
      <c r="O799" s="300"/>
      <c r="P799" s="300"/>
      <c r="Q799" s="300"/>
      <c r="R799" s="300"/>
      <c r="S799" s="300"/>
      <c r="T799" s="300"/>
      <c r="U799" s="300"/>
      <c r="V799" s="300"/>
      <c r="W799" s="300"/>
      <c r="X799" s="300"/>
    </row>
    <row r="800">
      <c r="A800" s="300"/>
      <c r="B800" s="300"/>
      <c r="C800" s="300"/>
      <c r="D800" s="300"/>
      <c r="E800" s="300"/>
      <c r="F800" s="300"/>
      <c r="G800" s="300"/>
      <c r="H800" s="300"/>
      <c r="I800" s="300"/>
      <c r="J800" s="300"/>
      <c r="K800" s="300"/>
      <c r="L800" s="300"/>
      <c r="M800" s="300"/>
      <c r="N800" s="300"/>
      <c r="O800" s="300"/>
      <c r="P800" s="300"/>
      <c r="Q800" s="300"/>
      <c r="R800" s="300"/>
      <c r="S800" s="300"/>
      <c r="T800" s="300"/>
      <c r="U800" s="300"/>
      <c r="V800" s="300"/>
      <c r="W800" s="300"/>
      <c r="X800" s="300"/>
    </row>
    <row r="801">
      <c r="A801" s="300"/>
      <c r="B801" s="300"/>
      <c r="C801" s="300"/>
      <c r="D801" s="300"/>
      <c r="E801" s="300"/>
      <c r="F801" s="300"/>
      <c r="G801" s="300"/>
      <c r="H801" s="300"/>
      <c r="I801" s="300"/>
      <c r="J801" s="300"/>
      <c r="K801" s="300"/>
      <c r="L801" s="300"/>
      <c r="M801" s="300"/>
      <c r="N801" s="300"/>
      <c r="O801" s="300"/>
      <c r="P801" s="300"/>
      <c r="Q801" s="300"/>
      <c r="R801" s="300"/>
      <c r="S801" s="300"/>
      <c r="T801" s="300"/>
      <c r="U801" s="300"/>
      <c r="V801" s="300"/>
      <c r="W801" s="300"/>
      <c r="X801" s="300"/>
    </row>
    <row r="802">
      <c r="A802" s="300"/>
      <c r="B802" s="300"/>
      <c r="C802" s="300"/>
      <c r="D802" s="300"/>
      <c r="E802" s="300"/>
      <c r="F802" s="300"/>
      <c r="G802" s="300"/>
      <c r="H802" s="300"/>
      <c r="I802" s="300"/>
      <c r="J802" s="300"/>
      <c r="K802" s="300"/>
      <c r="L802" s="300"/>
      <c r="M802" s="300"/>
      <c r="N802" s="300"/>
      <c r="O802" s="300"/>
      <c r="P802" s="300"/>
      <c r="Q802" s="300"/>
      <c r="R802" s="300"/>
      <c r="S802" s="300"/>
      <c r="T802" s="300"/>
      <c r="U802" s="300"/>
      <c r="V802" s="300"/>
      <c r="W802" s="300"/>
      <c r="X802" s="300"/>
    </row>
    <row r="803">
      <c r="A803" s="300"/>
      <c r="B803" s="300"/>
      <c r="C803" s="300"/>
      <c r="D803" s="300"/>
      <c r="E803" s="300"/>
      <c r="F803" s="300"/>
      <c r="G803" s="300"/>
      <c r="H803" s="300"/>
      <c r="I803" s="300"/>
      <c r="J803" s="300"/>
      <c r="K803" s="300"/>
      <c r="L803" s="300"/>
      <c r="M803" s="300"/>
      <c r="N803" s="300"/>
      <c r="O803" s="300"/>
      <c r="P803" s="300"/>
      <c r="Q803" s="300"/>
      <c r="R803" s="300"/>
      <c r="S803" s="300"/>
      <c r="T803" s="300"/>
      <c r="U803" s="300"/>
      <c r="V803" s="300"/>
      <c r="W803" s="300"/>
      <c r="X803" s="300"/>
    </row>
    <row r="804">
      <c r="A804" s="300"/>
      <c r="B804" s="300"/>
      <c r="C804" s="300"/>
      <c r="D804" s="300"/>
      <c r="E804" s="300"/>
      <c r="F804" s="300"/>
      <c r="G804" s="300"/>
      <c r="H804" s="300"/>
      <c r="I804" s="300"/>
      <c r="J804" s="300"/>
      <c r="K804" s="300"/>
      <c r="L804" s="300"/>
      <c r="M804" s="300"/>
      <c r="N804" s="300"/>
      <c r="O804" s="300"/>
      <c r="P804" s="300"/>
      <c r="Q804" s="300"/>
      <c r="R804" s="300"/>
      <c r="S804" s="300"/>
      <c r="T804" s="300"/>
      <c r="U804" s="300"/>
      <c r="V804" s="300"/>
      <c r="W804" s="300"/>
      <c r="X804" s="300"/>
    </row>
    <row r="805">
      <c r="A805" s="300"/>
      <c r="B805" s="300"/>
      <c r="C805" s="300"/>
      <c r="D805" s="300"/>
      <c r="E805" s="300"/>
      <c r="F805" s="300"/>
      <c r="G805" s="300"/>
      <c r="H805" s="300"/>
      <c r="I805" s="300"/>
      <c r="J805" s="300"/>
      <c r="K805" s="300"/>
      <c r="L805" s="300"/>
      <c r="M805" s="300"/>
      <c r="N805" s="300"/>
      <c r="O805" s="300"/>
      <c r="P805" s="300"/>
      <c r="Q805" s="300"/>
      <c r="R805" s="300"/>
      <c r="S805" s="300"/>
      <c r="T805" s="300"/>
      <c r="U805" s="300"/>
      <c r="V805" s="300"/>
      <c r="W805" s="300"/>
      <c r="X805" s="300"/>
    </row>
    <row r="806">
      <c r="A806" s="300"/>
      <c r="B806" s="300"/>
      <c r="C806" s="300"/>
      <c r="D806" s="300"/>
      <c r="E806" s="300"/>
      <c r="F806" s="300"/>
      <c r="G806" s="300"/>
      <c r="H806" s="300"/>
      <c r="I806" s="300"/>
      <c r="J806" s="300"/>
      <c r="K806" s="300"/>
      <c r="L806" s="300"/>
      <c r="M806" s="300"/>
      <c r="N806" s="300"/>
      <c r="O806" s="300"/>
      <c r="P806" s="300"/>
      <c r="Q806" s="300"/>
      <c r="R806" s="300"/>
      <c r="S806" s="300"/>
      <c r="T806" s="300"/>
      <c r="U806" s="300"/>
      <c r="V806" s="300"/>
      <c r="W806" s="300"/>
      <c r="X806" s="300"/>
    </row>
    <row r="807">
      <c r="A807" s="300"/>
      <c r="B807" s="300"/>
      <c r="C807" s="300"/>
      <c r="D807" s="300"/>
      <c r="E807" s="300"/>
      <c r="F807" s="300"/>
      <c r="G807" s="300"/>
      <c r="H807" s="300"/>
      <c r="I807" s="300"/>
      <c r="J807" s="300"/>
      <c r="K807" s="300"/>
      <c r="L807" s="300"/>
      <c r="M807" s="300"/>
      <c r="N807" s="300"/>
      <c r="O807" s="300"/>
      <c r="P807" s="300"/>
      <c r="Q807" s="300"/>
      <c r="R807" s="300"/>
      <c r="S807" s="300"/>
      <c r="T807" s="300"/>
      <c r="U807" s="300"/>
      <c r="V807" s="300"/>
      <c r="W807" s="300"/>
      <c r="X807" s="300"/>
    </row>
    <row r="808">
      <c r="A808" s="300"/>
      <c r="B808" s="300"/>
      <c r="C808" s="300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</row>
    <row r="809">
      <c r="A809" s="300"/>
      <c r="B809" s="300"/>
      <c r="C809" s="300"/>
      <c r="D809" s="300"/>
      <c r="E809" s="300"/>
      <c r="F809" s="300"/>
      <c r="G809" s="300"/>
      <c r="H809" s="300"/>
      <c r="I809" s="300"/>
      <c r="J809" s="300"/>
      <c r="K809" s="300"/>
      <c r="L809" s="300"/>
      <c r="M809" s="300"/>
      <c r="N809" s="300"/>
      <c r="O809" s="300"/>
      <c r="P809" s="300"/>
      <c r="Q809" s="300"/>
      <c r="R809" s="300"/>
      <c r="S809" s="300"/>
      <c r="T809" s="300"/>
      <c r="U809" s="300"/>
      <c r="V809" s="300"/>
      <c r="W809" s="300"/>
      <c r="X809" s="300"/>
    </row>
    <row r="810">
      <c r="A810" s="300"/>
      <c r="B810" s="300"/>
      <c r="C810" s="300"/>
      <c r="D810" s="300"/>
      <c r="E810" s="300"/>
      <c r="F810" s="300"/>
      <c r="G810" s="300"/>
      <c r="H810" s="300"/>
      <c r="I810" s="300"/>
      <c r="J810" s="300"/>
      <c r="K810" s="300"/>
      <c r="L810" s="300"/>
      <c r="M810" s="300"/>
      <c r="N810" s="300"/>
      <c r="O810" s="300"/>
      <c r="P810" s="300"/>
      <c r="Q810" s="300"/>
      <c r="R810" s="300"/>
      <c r="S810" s="300"/>
      <c r="T810" s="300"/>
      <c r="U810" s="300"/>
      <c r="V810" s="300"/>
      <c r="W810" s="300"/>
      <c r="X810" s="300"/>
    </row>
    <row r="811">
      <c r="A811" s="300"/>
      <c r="B811" s="300"/>
      <c r="C811" s="300"/>
      <c r="D811" s="300"/>
      <c r="E811" s="300"/>
      <c r="F811" s="300"/>
      <c r="G811" s="300"/>
      <c r="H811" s="300"/>
      <c r="I811" s="300"/>
      <c r="J811" s="300"/>
      <c r="K811" s="300"/>
      <c r="L811" s="300"/>
      <c r="M811" s="300"/>
      <c r="N811" s="300"/>
      <c r="O811" s="300"/>
      <c r="P811" s="300"/>
      <c r="Q811" s="300"/>
      <c r="R811" s="300"/>
      <c r="S811" s="300"/>
      <c r="T811" s="300"/>
      <c r="U811" s="300"/>
      <c r="V811" s="300"/>
      <c r="W811" s="300"/>
      <c r="X811" s="300"/>
    </row>
    <row r="812">
      <c r="A812" s="300"/>
      <c r="B812" s="300"/>
      <c r="C812" s="300"/>
      <c r="D812" s="300"/>
      <c r="E812" s="300"/>
      <c r="F812" s="300"/>
      <c r="G812" s="300"/>
      <c r="H812" s="300"/>
      <c r="I812" s="300"/>
      <c r="J812" s="300"/>
      <c r="K812" s="300"/>
      <c r="L812" s="300"/>
      <c r="M812" s="300"/>
      <c r="N812" s="300"/>
      <c r="O812" s="300"/>
      <c r="P812" s="300"/>
      <c r="Q812" s="300"/>
      <c r="R812" s="300"/>
      <c r="S812" s="300"/>
      <c r="T812" s="300"/>
      <c r="U812" s="300"/>
      <c r="V812" s="300"/>
      <c r="W812" s="300"/>
      <c r="X812" s="300"/>
    </row>
    <row r="813">
      <c r="A813" s="300"/>
      <c r="B813" s="300"/>
      <c r="C813" s="300"/>
      <c r="D813" s="300"/>
      <c r="E813" s="300"/>
      <c r="F813" s="300"/>
      <c r="G813" s="300"/>
      <c r="H813" s="300"/>
      <c r="I813" s="300"/>
      <c r="J813" s="300"/>
      <c r="K813" s="300"/>
      <c r="L813" s="300"/>
      <c r="M813" s="300"/>
      <c r="N813" s="300"/>
      <c r="O813" s="300"/>
      <c r="P813" s="300"/>
      <c r="Q813" s="300"/>
      <c r="R813" s="300"/>
      <c r="S813" s="300"/>
      <c r="T813" s="300"/>
      <c r="U813" s="300"/>
      <c r="V813" s="300"/>
      <c r="W813" s="300"/>
      <c r="X813" s="300"/>
    </row>
    <row r="814">
      <c r="A814" s="300"/>
      <c r="B814" s="300"/>
      <c r="C814" s="300"/>
      <c r="D814" s="300"/>
      <c r="E814" s="300"/>
      <c r="F814" s="300"/>
      <c r="G814" s="300"/>
      <c r="H814" s="300"/>
      <c r="I814" s="300"/>
      <c r="J814" s="300"/>
      <c r="K814" s="300"/>
      <c r="L814" s="300"/>
      <c r="M814" s="300"/>
      <c r="N814" s="300"/>
      <c r="O814" s="300"/>
      <c r="P814" s="300"/>
      <c r="Q814" s="300"/>
      <c r="R814" s="300"/>
      <c r="S814" s="300"/>
      <c r="T814" s="300"/>
      <c r="U814" s="300"/>
      <c r="V814" s="300"/>
      <c r="W814" s="300"/>
      <c r="X814" s="300"/>
    </row>
    <row r="815">
      <c r="A815" s="300"/>
      <c r="B815" s="300"/>
      <c r="C815" s="300"/>
      <c r="D815" s="300"/>
      <c r="E815" s="300"/>
      <c r="F815" s="300"/>
      <c r="G815" s="300"/>
      <c r="H815" s="300"/>
      <c r="I815" s="300"/>
      <c r="J815" s="300"/>
      <c r="K815" s="300"/>
      <c r="L815" s="300"/>
      <c r="M815" s="300"/>
      <c r="N815" s="300"/>
      <c r="O815" s="300"/>
      <c r="P815" s="300"/>
      <c r="Q815" s="300"/>
      <c r="R815" s="300"/>
      <c r="S815" s="300"/>
      <c r="T815" s="300"/>
      <c r="U815" s="300"/>
      <c r="V815" s="300"/>
      <c r="W815" s="300"/>
      <c r="X815" s="300"/>
    </row>
    <row r="816">
      <c r="A816" s="300"/>
      <c r="B816" s="300"/>
      <c r="C816" s="300"/>
      <c r="D816" s="300"/>
      <c r="E816" s="300"/>
      <c r="F816" s="300"/>
      <c r="G816" s="300"/>
      <c r="H816" s="300"/>
      <c r="I816" s="300"/>
      <c r="J816" s="300"/>
      <c r="K816" s="300"/>
      <c r="L816" s="300"/>
      <c r="M816" s="300"/>
      <c r="N816" s="300"/>
      <c r="O816" s="300"/>
      <c r="P816" s="300"/>
      <c r="Q816" s="300"/>
      <c r="R816" s="300"/>
      <c r="S816" s="300"/>
      <c r="T816" s="300"/>
      <c r="U816" s="300"/>
      <c r="V816" s="300"/>
      <c r="W816" s="300"/>
      <c r="X816" s="300"/>
    </row>
    <row r="817">
      <c r="A817" s="300"/>
      <c r="B817" s="300"/>
      <c r="C817" s="300"/>
      <c r="D817" s="300"/>
      <c r="E817" s="300"/>
      <c r="F817" s="300"/>
      <c r="G817" s="300"/>
      <c r="H817" s="300"/>
      <c r="I817" s="300"/>
      <c r="J817" s="300"/>
      <c r="K817" s="300"/>
      <c r="L817" s="300"/>
      <c r="M817" s="300"/>
      <c r="N817" s="300"/>
      <c r="O817" s="300"/>
      <c r="P817" s="300"/>
      <c r="Q817" s="300"/>
      <c r="R817" s="300"/>
      <c r="S817" s="300"/>
      <c r="T817" s="300"/>
      <c r="U817" s="300"/>
      <c r="V817" s="300"/>
      <c r="W817" s="300"/>
      <c r="X817" s="300"/>
    </row>
    <row r="818">
      <c r="A818" s="300"/>
      <c r="B818" s="300"/>
      <c r="C818" s="300"/>
      <c r="D818" s="300"/>
      <c r="E818" s="300"/>
      <c r="F818" s="300"/>
      <c r="G818" s="300"/>
      <c r="H818" s="300"/>
      <c r="I818" s="300"/>
      <c r="J818" s="300"/>
      <c r="K818" s="300"/>
      <c r="L818" s="300"/>
      <c r="M818" s="300"/>
      <c r="N818" s="300"/>
      <c r="O818" s="300"/>
      <c r="P818" s="300"/>
      <c r="Q818" s="300"/>
      <c r="R818" s="300"/>
      <c r="S818" s="300"/>
      <c r="T818" s="300"/>
      <c r="U818" s="300"/>
      <c r="V818" s="300"/>
      <c r="W818" s="300"/>
      <c r="X818" s="300"/>
    </row>
    <row r="819">
      <c r="A819" s="300"/>
      <c r="B819" s="300"/>
      <c r="C819" s="300"/>
      <c r="D819" s="300"/>
      <c r="E819" s="300"/>
      <c r="F819" s="300"/>
      <c r="G819" s="300"/>
      <c r="H819" s="300"/>
      <c r="I819" s="300"/>
      <c r="J819" s="300"/>
      <c r="K819" s="300"/>
      <c r="L819" s="300"/>
      <c r="M819" s="300"/>
      <c r="N819" s="300"/>
      <c r="O819" s="300"/>
      <c r="P819" s="300"/>
      <c r="Q819" s="300"/>
      <c r="R819" s="300"/>
      <c r="S819" s="300"/>
      <c r="T819" s="300"/>
      <c r="U819" s="300"/>
      <c r="V819" s="300"/>
      <c r="W819" s="300"/>
      <c r="X819" s="300"/>
    </row>
    <row r="820">
      <c r="A820" s="300"/>
      <c r="B820" s="300"/>
      <c r="C820" s="300"/>
      <c r="D820" s="300"/>
      <c r="E820" s="300"/>
      <c r="F820" s="300"/>
      <c r="G820" s="300"/>
      <c r="H820" s="300"/>
      <c r="I820" s="300"/>
      <c r="J820" s="300"/>
      <c r="K820" s="300"/>
      <c r="L820" s="300"/>
      <c r="M820" s="300"/>
      <c r="N820" s="300"/>
      <c r="O820" s="300"/>
      <c r="P820" s="300"/>
      <c r="Q820" s="300"/>
      <c r="R820" s="300"/>
      <c r="S820" s="300"/>
      <c r="T820" s="300"/>
      <c r="U820" s="300"/>
      <c r="V820" s="300"/>
      <c r="W820" s="300"/>
      <c r="X820" s="300"/>
    </row>
    <row r="821">
      <c r="A821" s="300"/>
      <c r="B821" s="300"/>
      <c r="C821" s="300"/>
      <c r="D821" s="300"/>
      <c r="E821" s="300"/>
      <c r="F821" s="300"/>
      <c r="G821" s="300"/>
      <c r="H821" s="300"/>
      <c r="I821" s="300"/>
      <c r="J821" s="300"/>
      <c r="K821" s="300"/>
      <c r="L821" s="300"/>
      <c r="M821" s="300"/>
      <c r="N821" s="300"/>
      <c r="O821" s="300"/>
      <c r="P821" s="300"/>
      <c r="Q821" s="300"/>
      <c r="R821" s="300"/>
      <c r="S821" s="300"/>
      <c r="T821" s="300"/>
      <c r="U821" s="300"/>
      <c r="V821" s="300"/>
      <c r="W821" s="300"/>
      <c r="X821" s="300"/>
    </row>
    <row r="822">
      <c r="A822" s="300"/>
      <c r="B822" s="300"/>
      <c r="C822" s="300"/>
      <c r="D822" s="300"/>
      <c r="E822" s="300"/>
      <c r="F822" s="300"/>
      <c r="G822" s="300"/>
      <c r="H822" s="300"/>
      <c r="I822" s="300"/>
      <c r="J822" s="300"/>
      <c r="K822" s="300"/>
      <c r="L822" s="300"/>
      <c r="M822" s="300"/>
      <c r="N822" s="300"/>
      <c r="O822" s="300"/>
      <c r="P822" s="300"/>
      <c r="Q822" s="300"/>
      <c r="R822" s="300"/>
      <c r="S822" s="300"/>
      <c r="T822" s="300"/>
      <c r="U822" s="300"/>
      <c r="V822" s="300"/>
      <c r="W822" s="300"/>
      <c r="X822" s="300"/>
    </row>
    <row r="823">
      <c r="A823" s="300"/>
      <c r="B823" s="300"/>
      <c r="C823" s="300"/>
      <c r="D823" s="300"/>
      <c r="E823" s="300"/>
      <c r="F823" s="300"/>
      <c r="G823" s="300"/>
      <c r="H823" s="300"/>
      <c r="I823" s="300"/>
      <c r="J823" s="300"/>
      <c r="K823" s="300"/>
      <c r="L823" s="300"/>
      <c r="M823" s="300"/>
      <c r="N823" s="300"/>
      <c r="O823" s="300"/>
      <c r="P823" s="300"/>
      <c r="Q823" s="300"/>
      <c r="R823" s="300"/>
      <c r="S823" s="300"/>
      <c r="T823" s="300"/>
      <c r="U823" s="300"/>
      <c r="V823" s="300"/>
      <c r="W823" s="300"/>
      <c r="X823" s="300"/>
    </row>
    <row r="824">
      <c r="A824" s="300"/>
      <c r="B824" s="300"/>
      <c r="C824" s="300"/>
      <c r="D824" s="300"/>
      <c r="E824" s="300"/>
      <c r="F824" s="300"/>
      <c r="G824" s="300"/>
      <c r="H824" s="300"/>
      <c r="I824" s="300"/>
      <c r="J824" s="300"/>
      <c r="K824" s="300"/>
      <c r="L824" s="300"/>
      <c r="M824" s="300"/>
      <c r="N824" s="300"/>
      <c r="O824" s="300"/>
      <c r="P824" s="300"/>
      <c r="Q824" s="300"/>
      <c r="R824" s="300"/>
      <c r="S824" s="300"/>
      <c r="T824" s="300"/>
      <c r="U824" s="300"/>
      <c r="V824" s="300"/>
      <c r="W824" s="300"/>
      <c r="X824" s="300"/>
    </row>
    <row r="825">
      <c r="A825" s="300"/>
      <c r="B825" s="300"/>
      <c r="C825" s="300"/>
      <c r="D825" s="300"/>
      <c r="E825" s="300"/>
      <c r="F825" s="300"/>
      <c r="G825" s="300"/>
      <c r="H825" s="300"/>
      <c r="I825" s="300"/>
      <c r="J825" s="300"/>
      <c r="K825" s="300"/>
      <c r="L825" s="300"/>
      <c r="M825" s="300"/>
      <c r="N825" s="300"/>
      <c r="O825" s="300"/>
      <c r="P825" s="300"/>
      <c r="Q825" s="300"/>
      <c r="R825" s="300"/>
      <c r="S825" s="300"/>
      <c r="T825" s="300"/>
      <c r="U825" s="300"/>
      <c r="V825" s="300"/>
      <c r="W825" s="300"/>
      <c r="X825" s="300"/>
    </row>
    <row r="826">
      <c r="A826" s="300"/>
      <c r="B826" s="300"/>
      <c r="C826" s="300"/>
      <c r="D826" s="300"/>
      <c r="E826" s="300"/>
      <c r="F826" s="300"/>
      <c r="G826" s="300"/>
      <c r="H826" s="300"/>
      <c r="I826" s="300"/>
      <c r="J826" s="300"/>
      <c r="K826" s="300"/>
      <c r="L826" s="300"/>
      <c r="M826" s="300"/>
      <c r="N826" s="300"/>
      <c r="O826" s="300"/>
      <c r="P826" s="300"/>
      <c r="Q826" s="300"/>
      <c r="R826" s="300"/>
      <c r="S826" s="300"/>
      <c r="T826" s="300"/>
      <c r="U826" s="300"/>
      <c r="V826" s="300"/>
      <c r="W826" s="300"/>
      <c r="X826" s="300"/>
    </row>
    <row r="827">
      <c r="A827" s="300"/>
      <c r="B827" s="300"/>
      <c r="C827" s="300"/>
      <c r="D827" s="300"/>
      <c r="E827" s="300"/>
      <c r="F827" s="300"/>
      <c r="G827" s="300"/>
      <c r="H827" s="300"/>
      <c r="I827" s="300"/>
      <c r="J827" s="300"/>
      <c r="K827" s="300"/>
      <c r="L827" s="300"/>
      <c r="M827" s="300"/>
      <c r="N827" s="300"/>
      <c r="O827" s="300"/>
      <c r="P827" s="300"/>
      <c r="Q827" s="300"/>
      <c r="R827" s="300"/>
      <c r="S827" s="300"/>
      <c r="T827" s="300"/>
      <c r="U827" s="300"/>
      <c r="V827" s="300"/>
      <c r="W827" s="300"/>
      <c r="X827" s="300"/>
    </row>
    <row r="828">
      <c r="A828" s="300"/>
      <c r="B828" s="300"/>
      <c r="C828" s="300"/>
      <c r="D828" s="300"/>
      <c r="E828" s="300"/>
      <c r="F828" s="300"/>
      <c r="G828" s="300"/>
      <c r="H828" s="300"/>
      <c r="I828" s="300"/>
      <c r="J828" s="300"/>
      <c r="K828" s="300"/>
      <c r="L828" s="300"/>
      <c r="M828" s="300"/>
      <c r="N828" s="300"/>
      <c r="O828" s="300"/>
      <c r="P828" s="300"/>
      <c r="Q828" s="300"/>
      <c r="R828" s="300"/>
      <c r="S828" s="300"/>
      <c r="T828" s="300"/>
      <c r="U828" s="300"/>
      <c r="V828" s="300"/>
      <c r="W828" s="300"/>
      <c r="X828" s="300"/>
    </row>
    <row r="829">
      <c r="A829" s="300"/>
      <c r="B829" s="300"/>
      <c r="C829" s="300"/>
      <c r="D829" s="300"/>
      <c r="E829" s="300"/>
      <c r="F829" s="300"/>
      <c r="G829" s="300"/>
      <c r="H829" s="300"/>
      <c r="I829" s="300"/>
      <c r="J829" s="300"/>
      <c r="K829" s="300"/>
      <c r="L829" s="300"/>
      <c r="M829" s="300"/>
      <c r="N829" s="300"/>
      <c r="O829" s="300"/>
      <c r="P829" s="300"/>
      <c r="Q829" s="300"/>
      <c r="R829" s="300"/>
      <c r="S829" s="300"/>
      <c r="T829" s="300"/>
      <c r="U829" s="300"/>
      <c r="V829" s="300"/>
      <c r="W829" s="300"/>
      <c r="X829" s="300"/>
    </row>
    <row r="830">
      <c r="A830" s="300"/>
      <c r="B830" s="300"/>
      <c r="C830" s="300"/>
      <c r="D830" s="300"/>
      <c r="E830" s="300"/>
      <c r="F830" s="300"/>
      <c r="G830" s="300"/>
      <c r="H830" s="300"/>
      <c r="I830" s="300"/>
      <c r="J830" s="300"/>
      <c r="K830" s="300"/>
      <c r="L830" s="300"/>
      <c r="M830" s="300"/>
      <c r="N830" s="300"/>
      <c r="O830" s="300"/>
      <c r="P830" s="300"/>
      <c r="Q830" s="300"/>
      <c r="R830" s="300"/>
      <c r="S830" s="300"/>
      <c r="T830" s="300"/>
      <c r="U830" s="300"/>
      <c r="V830" s="300"/>
      <c r="W830" s="300"/>
      <c r="X830" s="300"/>
    </row>
    <row r="831">
      <c r="A831" s="300"/>
      <c r="B831" s="300"/>
      <c r="C831" s="300"/>
      <c r="D831" s="300"/>
      <c r="E831" s="300"/>
      <c r="F831" s="300"/>
      <c r="G831" s="300"/>
      <c r="H831" s="300"/>
      <c r="I831" s="300"/>
      <c r="J831" s="300"/>
      <c r="K831" s="300"/>
      <c r="L831" s="300"/>
      <c r="M831" s="300"/>
      <c r="N831" s="300"/>
      <c r="O831" s="300"/>
      <c r="P831" s="300"/>
      <c r="Q831" s="300"/>
      <c r="R831" s="300"/>
      <c r="S831" s="300"/>
      <c r="T831" s="300"/>
      <c r="U831" s="300"/>
      <c r="V831" s="300"/>
      <c r="W831" s="300"/>
      <c r="X831" s="300"/>
    </row>
    <row r="832">
      <c r="A832" s="300"/>
      <c r="B832" s="300"/>
      <c r="C832" s="300"/>
      <c r="D832" s="300"/>
      <c r="E832" s="300"/>
      <c r="F832" s="300"/>
      <c r="G832" s="300"/>
      <c r="H832" s="300"/>
      <c r="I832" s="300"/>
      <c r="J832" s="300"/>
      <c r="K832" s="300"/>
      <c r="L832" s="300"/>
      <c r="M832" s="300"/>
      <c r="N832" s="300"/>
      <c r="O832" s="300"/>
      <c r="P832" s="300"/>
      <c r="Q832" s="300"/>
      <c r="R832" s="300"/>
      <c r="S832" s="300"/>
      <c r="T832" s="300"/>
      <c r="U832" s="300"/>
      <c r="V832" s="300"/>
      <c r="W832" s="300"/>
      <c r="X832" s="300"/>
    </row>
    <row r="833">
      <c r="A833" s="300"/>
      <c r="B833" s="300"/>
      <c r="C833" s="300"/>
      <c r="D833" s="300"/>
      <c r="E833" s="300"/>
      <c r="F833" s="300"/>
      <c r="G833" s="300"/>
      <c r="H833" s="300"/>
      <c r="I833" s="300"/>
      <c r="J833" s="300"/>
      <c r="K833" s="300"/>
      <c r="L833" s="300"/>
      <c r="M833" s="300"/>
      <c r="N833" s="300"/>
      <c r="O833" s="300"/>
      <c r="P833" s="300"/>
      <c r="Q833" s="300"/>
      <c r="R833" s="300"/>
      <c r="S833" s="300"/>
      <c r="T833" s="300"/>
      <c r="U833" s="300"/>
      <c r="V833" s="300"/>
      <c r="W833" s="300"/>
      <c r="X833" s="300"/>
    </row>
    <row r="834">
      <c r="A834" s="300"/>
      <c r="B834" s="300"/>
      <c r="C834" s="300"/>
      <c r="D834" s="300"/>
      <c r="E834" s="300"/>
      <c r="F834" s="300"/>
      <c r="G834" s="300"/>
      <c r="H834" s="300"/>
      <c r="I834" s="300"/>
      <c r="J834" s="300"/>
      <c r="K834" s="300"/>
      <c r="L834" s="300"/>
      <c r="M834" s="300"/>
      <c r="N834" s="300"/>
      <c r="O834" s="300"/>
      <c r="P834" s="300"/>
      <c r="Q834" s="300"/>
      <c r="R834" s="300"/>
      <c r="S834" s="300"/>
      <c r="T834" s="300"/>
      <c r="U834" s="300"/>
      <c r="V834" s="300"/>
      <c r="W834" s="300"/>
      <c r="X834" s="300"/>
    </row>
    <row r="835">
      <c r="A835" s="300"/>
      <c r="B835" s="300"/>
      <c r="C835" s="300"/>
      <c r="D835" s="300"/>
      <c r="E835" s="300"/>
      <c r="F835" s="300"/>
      <c r="G835" s="300"/>
      <c r="H835" s="300"/>
      <c r="I835" s="300"/>
      <c r="J835" s="300"/>
      <c r="K835" s="300"/>
      <c r="L835" s="300"/>
      <c r="M835" s="300"/>
      <c r="N835" s="300"/>
      <c r="O835" s="300"/>
      <c r="P835" s="300"/>
      <c r="Q835" s="300"/>
      <c r="R835" s="300"/>
      <c r="S835" s="300"/>
      <c r="T835" s="300"/>
      <c r="U835" s="300"/>
      <c r="V835" s="300"/>
      <c r="W835" s="300"/>
      <c r="X835" s="300"/>
    </row>
    <row r="836">
      <c r="A836" s="300"/>
      <c r="B836" s="300"/>
      <c r="C836" s="300"/>
      <c r="D836" s="300"/>
      <c r="E836" s="300"/>
      <c r="F836" s="300"/>
      <c r="G836" s="300"/>
      <c r="H836" s="300"/>
      <c r="I836" s="300"/>
      <c r="J836" s="300"/>
      <c r="K836" s="300"/>
      <c r="L836" s="300"/>
      <c r="M836" s="300"/>
      <c r="N836" s="300"/>
      <c r="O836" s="300"/>
      <c r="P836" s="300"/>
      <c r="Q836" s="300"/>
      <c r="R836" s="300"/>
      <c r="S836" s="300"/>
      <c r="T836" s="300"/>
      <c r="U836" s="300"/>
      <c r="V836" s="300"/>
      <c r="W836" s="300"/>
      <c r="X836" s="300"/>
    </row>
    <row r="837">
      <c r="A837" s="300"/>
      <c r="B837" s="300"/>
      <c r="C837" s="300"/>
      <c r="D837" s="300"/>
      <c r="E837" s="300"/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300"/>
      <c r="S837" s="300"/>
      <c r="T837" s="300"/>
      <c r="U837" s="300"/>
      <c r="V837" s="300"/>
      <c r="W837" s="300"/>
      <c r="X837" s="300"/>
    </row>
    <row r="838">
      <c r="A838" s="300"/>
      <c r="B838" s="300"/>
      <c r="C838" s="300"/>
      <c r="D838" s="300"/>
      <c r="E838" s="300"/>
      <c r="F838" s="300"/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300"/>
      <c r="S838" s="300"/>
      <c r="T838" s="300"/>
      <c r="U838" s="300"/>
      <c r="V838" s="300"/>
      <c r="W838" s="300"/>
      <c r="X838" s="300"/>
    </row>
    <row r="839">
      <c r="A839" s="300"/>
      <c r="B839" s="300"/>
      <c r="C839" s="300"/>
      <c r="D839" s="300"/>
      <c r="E839" s="300"/>
      <c r="F839" s="300"/>
      <c r="G839" s="300"/>
      <c r="H839" s="300"/>
      <c r="I839" s="300"/>
      <c r="J839" s="300"/>
      <c r="K839" s="300"/>
      <c r="L839" s="300"/>
      <c r="M839" s="300"/>
      <c r="N839" s="300"/>
      <c r="O839" s="300"/>
      <c r="P839" s="300"/>
      <c r="Q839" s="300"/>
      <c r="R839" s="300"/>
      <c r="S839" s="300"/>
      <c r="T839" s="300"/>
      <c r="U839" s="300"/>
      <c r="V839" s="300"/>
      <c r="W839" s="300"/>
      <c r="X839" s="300"/>
    </row>
    <row r="840">
      <c r="A840" s="300"/>
      <c r="B840" s="300"/>
      <c r="C840" s="300"/>
      <c r="D840" s="300"/>
      <c r="E840" s="300"/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300"/>
      <c r="S840" s="300"/>
      <c r="T840" s="300"/>
      <c r="U840" s="300"/>
      <c r="V840" s="300"/>
      <c r="W840" s="300"/>
      <c r="X840" s="300"/>
    </row>
    <row r="841">
      <c r="A841" s="300"/>
      <c r="B841" s="300"/>
      <c r="C841" s="300"/>
      <c r="D841" s="300"/>
      <c r="E841" s="300"/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300"/>
      <c r="S841" s="300"/>
      <c r="T841" s="300"/>
      <c r="U841" s="300"/>
      <c r="V841" s="300"/>
      <c r="W841" s="300"/>
      <c r="X841" s="300"/>
    </row>
    <row r="842">
      <c r="A842" s="300"/>
      <c r="B842" s="300"/>
      <c r="C842" s="300"/>
      <c r="D842" s="300"/>
      <c r="E842" s="300"/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300"/>
      <c r="S842" s="300"/>
      <c r="T842" s="300"/>
      <c r="U842" s="300"/>
      <c r="V842" s="300"/>
      <c r="W842" s="300"/>
      <c r="X842" s="300"/>
    </row>
    <row r="843">
      <c r="A843" s="300"/>
      <c r="B843" s="300"/>
      <c r="C843" s="300"/>
      <c r="D843" s="300"/>
      <c r="E843" s="300"/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300"/>
      <c r="S843" s="300"/>
      <c r="T843" s="300"/>
      <c r="U843" s="300"/>
      <c r="V843" s="300"/>
      <c r="W843" s="300"/>
      <c r="X843" s="300"/>
    </row>
    <row r="844">
      <c r="A844" s="300"/>
      <c r="B844" s="300"/>
      <c r="C844" s="300"/>
      <c r="D844" s="300"/>
      <c r="E844" s="300"/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300"/>
      <c r="S844" s="300"/>
      <c r="T844" s="300"/>
      <c r="U844" s="300"/>
      <c r="V844" s="300"/>
      <c r="W844" s="300"/>
      <c r="X844" s="300"/>
    </row>
    <row r="845">
      <c r="A845" s="300"/>
      <c r="B845" s="300"/>
      <c r="C845" s="300"/>
      <c r="D845" s="300"/>
      <c r="E845" s="300"/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300"/>
      <c r="S845" s="300"/>
      <c r="T845" s="300"/>
      <c r="U845" s="300"/>
      <c r="V845" s="300"/>
      <c r="W845" s="300"/>
      <c r="X845" s="300"/>
    </row>
    <row r="846">
      <c r="A846" s="300"/>
      <c r="B846" s="300"/>
      <c r="C846" s="300"/>
      <c r="D846" s="300"/>
      <c r="E846" s="300"/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300"/>
      <c r="S846" s="300"/>
      <c r="T846" s="300"/>
      <c r="U846" s="300"/>
      <c r="V846" s="300"/>
      <c r="W846" s="300"/>
      <c r="X846" s="300"/>
    </row>
    <row r="847">
      <c r="A847" s="300"/>
      <c r="B847" s="300"/>
      <c r="C847" s="300"/>
      <c r="D847" s="300"/>
      <c r="E847" s="300"/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300"/>
      <c r="S847" s="300"/>
      <c r="T847" s="300"/>
      <c r="U847" s="300"/>
      <c r="V847" s="300"/>
      <c r="W847" s="300"/>
      <c r="X847" s="300"/>
    </row>
    <row r="848">
      <c r="A848" s="300"/>
      <c r="B848" s="300"/>
      <c r="C848" s="300"/>
      <c r="D848" s="300"/>
      <c r="E848" s="300"/>
      <c r="F848" s="300"/>
      <c r="G848" s="300"/>
      <c r="H848" s="300"/>
      <c r="I848" s="300"/>
      <c r="J848" s="300"/>
      <c r="K848" s="300"/>
      <c r="L848" s="300"/>
      <c r="M848" s="300"/>
      <c r="N848" s="300"/>
      <c r="O848" s="300"/>
      <c r="P848" s="300"/>
      <c r="Q848" s="300"/>
      <c r="R848" s="300"/>
      <c r="S848" s="300"/>
      <c r="T848" s="300"/>
      <c r="U848" s="300"/>
      <c r="V848" s="300"/>
      <c r="W848" s="300"/>
      <c r="X848" s="300"/>
    </row>
    <row r="849">
      <c r="A849" s="300"/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</row>
    <row r="850">
      <c r="A850" s="300"/>
      <c r="B850" s="300"/>
      <c r="C850" s="300"/>
      <c r="D850" s="300"/>
      <c r="E850" s="300"/>
      <c r="F850" s="300"/>
      <c r="G850" s="300"/>
      <c r="H850" s="300"/>
      <c r="I850" s="300"/>
      <c r="J850" s="300"/>
      <c r="K850" s="300"/>
      <c r="L850" s="300"/>
      <c r="M850" s="300"/>
      <c r="N850" s="300"/>
      <c r="O850" s="300"/>
      <c r="P850" s="300"/>
      <c r="Q850" s="300"/>
      <c r="R850" s="300"/>
      <c r="S850" s="300"/>
      <c r="T850" s="300"/>
      <c r="U850" s="300"/>
      <c r="V850" s="300"/>
      <c r="W850" s="300"/>
      <c r="X850" s="300"/>
    </row>
    <row r="851">
      <c r="A851" s="300"/>
      <c r="B851" s="300"/>
      <c r="C851" s="300"/>
      <c r="D851" s="300"/>
      <c r="E851" s="300"/>
      <c r="F851" s="300"/>
      <c r="G851" s="300"/>
      <c r="H851" s="300"/>
      <c r="I851" s="300"/>
      <c r="J851" s="300"/>
      <c r="K851" s="300"/>
      <c r="L851" s="300"/>
      <c r="M851" s="300"/>
      <c r="N851" s="300"/>
      <c r="O851" s="300"/>
      <c r="P851" s="300"/>
      <c r="Q851" s="300"/>
      <c r="R851" s="300"/>
      <c r="S851" s="300"/>
      <c r="T851" s="300"/>
      <c r="U851" s="300"/>
      <c r="V851" s="300"/>
      <c r="W851" s="300"/>
      <c r="X851" s="300"/>
    </row>
    <row r="852">
      <c r="A852" s="300"/>
      <c r="B852" s="300"/>
      <c r="C852" s="300"/>
      <c r="D852" s="300"/>
      <c r="E852" s="300"/>
      <c r="F852" s="300"/>
      <c r="G852" s="300"/>
      <c r="H852" s="300"/>
      <c r="I852" s="300"/>
      <c r="J852" s="300"/>
      <c r="K852" s="300"/>
      <c r="L852" s="300"/>
      <c r="M852" s="300"/>
      <c r="N852" s="300"/>
      <c r="O852" s="300"/>
      <c r="P852" s="300"/>
      <c r="Q852" s="300"/>
      <c r="R852" s="300"/>
      <c r="S852" s="300"/>
      <c r="T852" s="300"/>
      <c r="U852" s="300"/>
      <c r="V852" s="300"/>
      <c r="W852" s="300"/>
      <c r="X852" s="300"/>
    </row>
    <row r="853">
      <c r="A853" s="300"/>
      <c r="B853" s="300"/>
      <c r="C853" s="300"/>
      <c r="D853" s="300"/>
      <c r="E853" s="300"/>
      <c r="F853" s="300"/>
      <c r="G853" s="300"/>
      <c r="H853" s="300"/>
      <c r="I853" s="300"/>
      <c r="J853" s="300"/>
      <c r="K853" s="300"/>
      <c r="L853" s="300"/>
      <c r="M853" s="300"/>
      <c r="N853" s="300"/>
      <c r="O853" s="300"/>
      <c r="P853" s="300"/>
      <c r="Q853" s="300"/>
      <c r="R853" s="300"/>
      <c r="S853" s="300"/>
      <c r="T853" s="300"/>
      <c r="U853" s="300"/>
      <c r="V853" s="300"/>
      <c r="W853" s="300"/>
      <c r="X853" s="300"/>
    </row>
    <row r="854">
      <c r="A854" s="300"/>
      <c r="B854" s="300"/>
      <c r="C854" s="300"/>
      <c r="D854" s="300"/>
      <c r="E854" s="300"/>
      <c r="F854" s="300"/>
      <c r="G854" s="300"/>
      <c r="H854" s="300"/>
      <c r="I854" s="300"/>
      <c r="J854" s="300"/>
      <c r="K854" s="300"/>
      <c r="L854" s="300"/>
      <c r="M854" s="300"/>
      <c r="N854" s="300"/>
      <c r="O854" s="300"/>
      <c r="P854" s="300"/>
      <c r="Q854" s="300"/>
      <c r="R854" s="300"/>
      <c r="S854" s="300"/>
      <c r="T854" s="300"/>
      <c r="U854" s="300"/>
      <c r="V854" s="300"/>
      <c r="W854" s="300"/>
      <c r="X854" s="300"/>
    </row>
    <row r="855">
      <c r="A855" s="300"/>
      <c r="B855" s="300"/>
      <c r="C855" s="300"/>
      <c r="D855" s="300"/>
      <c r="E855" s="300"/>
      <c r="F855" s="300"/>
      <c r="G855" s="300"/>
      <c r="H855" s="300"/>
      <c r="I855" s="300"/>
      <c r="J855" s="300"/>
      <c r="K855" s="300"/>
      <c r="L855" s="300"/>
      <c r="M855" s="300"/>
      <c r="N855" s="300"/>
      <c r="O855" s="300"/>
      <c r="P855" s="300"/>
      <c r="Q855" s="300"/>
      <c r="R855" s="300"/>
      <c r="S855" s="300"/>
      <c r="T855" s="300"/>
      <c r="U855" s="300"/>
      <c r="V855" s="300"/>
      <c r="W855" s="300"/>
      <c r="X855" s="300"/>
    </row>
    <row r="856">
      <c r="A856" s="300"/>
      <c r="B856" s="300"/>
      <c r="C856" s="300"/>
      <c r="D856" s="300"/>
      <c r="E856" s="300"/>
      <c r="F856" s="300"/>
      <c r="G856" s="300"/>
      <c r="H856" s="300"/>
      <c r="I856" s="300"/>
      <c r="J856" s="300"/>
      <c r="K856" s="300"/>
      <c r="L856" s="300"/>
      <c r="M856" s="300"/>
      <c r="N856" s="300"/>
      <c r="O856" s="300"/>
      <c r="P856" s="300"/>
      <c r="Q856" s="300"/>
      <c r="R856" s="300"/>
      <c r="S856" s="300"/>
      <c r="T856" s="300"/>
      <c r="U856" s="300"/>
      <c r="V856" s="300"/>
      <c r="W856" s="300"/>
      <c r="X856" s="300"/>
    </row>
    <row r="857">
      <c r="A857" s="300"/>
      <c r="B857" s="300"/>
      <c r="C857" s="300"/>
      <c r="D857" s="300"/>
      <c r="E857" s="300"/>
      <c r="F857" s="300"/>
      <c r="G857" s="300"/>
      <c r="H857" s="300"/>
      <c r="I857" s="300"/>
      <c r="J857" s="300"/>
      <c r="K857" s="300"/>
      <c r="L857" s="300"/>
      <c r="M857" s="300"/>
      <c r="N857" s="300"/>
      <c r="O857" s="300"/>
      <c r="P857" s="300"/>
      <c r="Q857" s="300"/>
      <c r="R857" s="300"/>
      <c r="S857" s="300"/>
      <c r="T857" s="300"/>
      <c r="U857" s="300"/>
      <c r="V857" s="300"/>
      <c r="W857" s="300"/>
      <c r="X857" s="300"/>
    </row>
    <row r="858">
      <c r="A858" s="300"/>
      <c r="B858" s="300"/>
      <c r="C858" s="300"/>
      <c r="D858" s="300"/>
      <c r="E858" s="300"/>
      <c r="F858" s="300"/>
      <c r="G858" s="300"/>
      <c r="H858" s="300"/>
      <c r="I858" s="300"/>
      <c r="J858" s="300"/>
      <c r="K858" s="300"/>
      <c r="L858" s="300"/>
      <c r="M858" s="300"/>
      <c r="N858" s="300"/>
      <c r="O858" s="300"/>
      <c r="P858" s="300"/>
      <c r="Q858" s="300"/>
      <c r="R858" s="300"/>
      <c r="S858" s="300"/>
      <c r="T858" s="300"/>
      <c r="U858" s="300"/>
      <c r="V858" s="300"/>
      <c r="W858" s="300"/>
      <c r="X858" s="300"/>
    </row>
    <row r="859">
      <c r="A859" s="300"/>
      <c r="B859" s="300"/>
      <c r="C859" s="300"/>
      <c r="D859" s="300"/>
      <c r="E859" s="300"/>
      <c r="F859" s="300"/>
      <c r="G859" s="300"/>
      <c r="H859" s="300"/>
      <c r="I859" s="300"/>
      <c r="J859" s="300"/>
      <c r="K859" s="300"/>
      <c r="L859" s="300"/>
      <c r="M859" s="300"/>
      <c r="N859" s="300"/>
      <c r="O859" s="300"/>
      <c r="P859" s="300"/>
      <c r="Q859" s="300"/>
      <c r="R859" s="300"/>
      <c r="S859" s="300"/>
      <c r="T859" s="300"/>
      <c r="U859" s="300"/>
      <c r="V859" s="300"/>
      <c r="W859" s="300"/>
      <c r="X859" s="300"/>
    </row>
    <row r="860">
      <c r="A860" s="300"/>
      <c r="B860" s="300"/>
      <c r="C860" s="300"/>
      <c r="D860" s="300"/>
      <c r="E860" s="300"/>
      <c r="F860" s="300"/>
      <c r="G860" s="300"/>
      <c r="H860" s="300"/>
      <c r="I860" s="300"/>
      <c r="J860" s="300"/>
      <c r="K860" s="300"/>
      <c r="L860" s="300"/>
      <c r="M860" s="300"/>
      <c r="N860" s="300"/>
      <c r="O860" s="300"/>
      <c r="P860" s="300"/>
      <c r="Q860" s="300"/>
      <c r="R860" s="300"/>
      <c r="S860" s="300"/>
      <c r="T860" s="300"/>
      <c r="U860" s="300"/>
      <c r="V860" s="300"/>
      <c r="W860" s="300"/>
      <c r="X860" s="300"/>
    </row>
    <row r="861">
      <c r="A861" s="300"/>
      <c r="B861" s="300"/>
      <c r="C861" s="300"/>
      <c r="D861" s="300"/>
      <c r="E861" s="300"/>
      <c r="F861" s="300"/>
      <c r="G861" s="300"/>
      <c r="H861" s="300"/>
      <c r="I861" s="300"/>
      <c r="J861" s="300"/>
      <c r="K861" s="300"/>
      <c r="L861" s="300"/>
      <c r="M861" s="300"/>
      <c r="N861" s="300"/>
      <c r="O861" s="300"/>
      <c r="P861" s="300"/>
      <c r="Q861" s="300"/>
      <c r="R861" s="300"/>
      <c r="S861" s="300"/>
      <c r="T861" s="300"/>
      <c r="U861" s="300"/>
      <c r="V861" s="300"/>
      <c r="W861" s="300"/>
      <c r="X861" s="300"/>
    </row>
    <row r="862">
      <c r="A862" s="300"/>
      <c r="B862" s="300"/>
      <c r="C862" s="300"/>
      <c r="D862" s="300"/>
      <c r="E862" s="300"/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300"/>
      <c r="S862" s="300"/>
      <c r="T862" s="300"/>
      <c r="U862" s="300"/>
      <c r="V862" s="300"/>
      <c r="W862" s="300"/>
      <c r="X862" s="300"/>
    </row>
    <row r="863">
      <c r="A863" s="300"/>
      <c r="B863" s="300"/>
      <c r="C863" s="300"/>
      <c r="D863" s="300"/>
      <c r="E863" s="300"/>
      <c r="F863" s="300"/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300"/>
      <c r="S863" s="300"/>
      <c r="T863" s="300"/>
      <c r="U863" s="300"/>
      <c r="V863" s="300"/>
      <c r="W863" s="300"/>
      <c r="X863" s="300"/>
    </row>
    <row r="864">
      <c r="A864" s="300"/>
      <c r="B864" s="300"/>
      <c r="C864" s="300"/>
      <c r="D864" s="300"/>
      <c r="E864" s="300"/>
      <c r="F864" s="300"/>
      <c r="G864" s="300"/>
      <c r="H864" s="300"/>
      <c r="I864" s="300"/>
      <c r="J864" s="300"/>
      <c r="K864" s="300"/>
      <c r="L864" s="300"/>
      <c r="M864" s="300"/>
      <c r="N864" s="300"/>
      <c r="O864" s="300"/>
      <c r="P864" s="300"/>
      <c r="Q864" s="300"/>
      <c r="R864" s="300"/>
      <c r="S864" s="300"/>
      <c r="T864" s="300"/>
      <c r="U864" s="300"/>
      <c r="V864" s="300"/>
      <c r="W864" s="300"/>
      <c r="X864" s="300"/>
    </row>
    <row r="865">
      <c r="A865" s="300"/>
      <c r="B865" s="300"/>
      <c r="C865" s="300"/>
      <c r="D865" s="300"/>
      <c r="E865" s="300"/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300"/>
      <c r="S865" s="300"/>
      <c r="T865" s="300"/>
      <c r="U865" s="300"/>
      <c r="V865" s="300"/>
      <c r="W865" s="300"/>
      <c r="X865" s="300"/>
    </row>
    <row r="866">
      <c r="A866" s="300"/>
      <c r="B866" s="300"/>
      <c r="C866" s="300"/>
      <c r="D866" s="300"/>
      <c r="E866" s="300"/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300"/>
      <c r="S866" s="300"/>
      <c r="T866" s="300"/>
      <c r="U866" s="300"/>
      <c r="V866" s="300"/>
      <c r="W866" s="300"/>
      <c r="X866" s="300"/>
    </row>
    <row r="867">
      <c r="A867" s="300"/>
      <c r="B867" s="300"/>
      <c r="C867" s="300"/>
      <c r="D867" s="300"/>
      <c r="E867" s="300"/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300"/>
      <c r="S867" s="300"/>
      <c r="T867" s="300"/>
      <c r="U867" s="300"/>
      <c r="V867" s="300"/>
      <c r="W867" s="300"/>
      <c r="X867" s="300"/>
    </row>
    <row r="868">
      <c r="A868" s="300"/>
      <c r="B868" s="300"/>
      <c r="C868" s="300"/>
      <c r="D868" s="300"/>
      <c r="E868" s="300"/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300"/>
      <c r="S868" s="300"/>
      <c r="T868" s="300"/>
      <c r="U868" s="300"/>
      <c r="V868" s="300"/>
      <c r="W868" s="300"/>
      <c r="X868" s="300"/>
    </row>
    <row r="869">
      <c r="A869" s="300"/>
      <c r="B869" s="300"/>
      <c r="C869" s="300"/>
      <c r="D869" s="300"/>
      <c r="E869" s="300"/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300"/>
      <c r="S869" s="300"/>
      <c r="T869" s="300"/>
      <c r="U869" s="300"/>
      <c r="V869" s="300"/>
      <c r="W869" s="300"/>
      <c r="X869" s="300"/>
    </row>
    <row r="870">
      <c r="A870" s="300"/>
      <c r="B870" s="300"/>
      <c r="C870" s="300"/>
      <c r="D870" s="300"/>
      <c r="E870" s="300"/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300"/>
      <c r="S870" s="300"/>
      <c r="T870" s="300"/>
      <c r="U870" s="300"/>
      <c r="V870" s="300"/>
      <c r="W870" s="300"/>
      <c r="X870" s="300"/>
    </row>
    <row r="871">
      <c r="A871" s="300"/>
      <c r="B871" s="300"/>
      <c r="C871" s="300"/>
      <c r="D871" s="300"/>
      <c r="E871" s="300"/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300"/>
      <c r="S871" s="300"/>
      <c r="T871" s="300"/>
      <c r="U871" s="300"/>
      <c r="V871" s="300"/>
      <c r="W871" s="300"/>
      <c r="X871" s="300"/>
    </row>
    <row r="872">
      <c r="A872" s="300"/>
      <c r="B872" s="300"/>
      <c r="C872" s="300"/>
      <c r="D872" s="300"/>
      <c r="E872" s="300"/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300"/>
      <c r="S872" s="300"/>
      <c r="T872" s="300"/>
      <c r="U872" s="300"/>
      <c r="V872" s="300"/>
      <c r="W872" s="300"/>
      <c r="X872" s="300"/>
    </row>
    <row r="873">
      <c r="A873" s="300"/>
      <c r="B873" s="300"/>
      <c r="C873" s="300"/>
      <c r="D873" s="300"/>
      <c r="E873" s="300"/>
      <c r="F873" s="300"/>
      <c r="G873" s="300"/>
      <c r="H873" s="300"/>
      <c r="I873" s="300"/>
      <c r="J873" s="300"/>
      <c r="K873" s="300"/>
      <c r="L873" s="300"/>
      <c r="M873" s="300"/>
      <c r="N873" s="300"/>
      <c r="O873" s="300"/>
      <c r="P873" s="300"/>
      <c r="Q873" s="300"/>
      <c r="R873" s="300"/>
      <c r="S873" s="300"/>
      <c r="T873" s="300"/>
      <c r="U873" s="300"/>
      <c r="V873" s="300"/>
      <c r="W873" s="300"/>
      <c r="X873" s="300"/>
    </row>
    <row r="874">
      <c r="A874" s="300"/>
      <c r="B874" s="300"/>
      <c r="C874" s="300"/>
      <c r="D874" s="300"/>
      <c r="E874" s="300"/>
      <c r="F874" s="300"/>
      <c r="G874" s="300"/>
      <c r="H874" s="300"/>
      <c r="I874" s="300"/>
      <c r="J874" s="300"/>
      <c r="K874" s="300"/>
      <c r="L874" s="300"/>
      <c r="M874" s="300"/>
      <c r="N874" s="300"/>
      <c r="O874" s="300"/>
      <c r="P874" s="300"/>
      <c r="Q874" s="300"/>
      <c r="R874" s="300"/>
      <c r="S874" s="300"/>
      <c r="T874" s="300"/>
      <c r="U874" s="300"/>
      <c r="V874" s="300"/>
      <c r="W874" s="300"/>
      <c r="X874" s="300"/>
    </row>
    <row r="875">
      <c r="A875" s="300"/>
      <c r="B875" s="300"/>
      <c r="C875" s="300"/>
      <c r="D875" s="300"/>
      <c r="E875" s="300"/>
      <c r="F875" s="300"/>
      <c r="G875" s="300"/>
      <c r="H875" s="300"/>
      <c r="I875" s="300"/>
      <c r="J875" s="300"/>
      <c r="K875" s="300"/>
      <c r="L875" s="300"/>
      <c r="M875" s="300"/>
      <c r="N875" s="300"/>
      <c r="O875" s="300"/>
      <c r="P875" s="300"/>
      <c r="Q875" s="300"/>
      <c r="R875" s="300"/>
      <c r="S875" s="300"/>
      <c r="T875" s="300"/>
      <c r="U875" s="300"/>
      <c r="V875" s="300"/>
      <c r="W875" s="300"/>
      <c r="X875" s="300"/>
    </row>
    <row r="876">
      <c r="A876" s="300"/>
      <c r="B876" s="300"/>
      <c r="C876" s="300"/>
      <c r="D876" s="300"/>
      <c r="E876" s="300"/>
      <c r="F876" s="300"/>
      <c r="G876" s="300"/>
      <c r="H876" s="300"/>
      <c r="I876" s="300"/>
      <c r="J876" s="300"/>
      <c r="K876" s="300"/>
      <c r="L876" s="300"/>
      <c r="M876" s="300"/>
      <c r="N876" s="300"/>
      <c r="O876" s="300"/>
      <c r="P876" s="300"/>
      <c r="Q876" s="300"/>
      <c r="R876" s="300"/>
      <c r="S876" s="300"/>
      <c r="T876" s="300"/>
      <c r="U876" s="300"/>
      <c r="V876" s="300"/>
      <c r="W876" s="300"/>
      <c r="X876" s="300"/>
    </row>
    <row r="877">
      <c r="A877" s="300"/>
      <c r="B877" s="300"/>
      <c r="C877" s="300"/>
      <c r="D877" s="300"/>
      <c r="E877" s="300"/>
      <c r="F877" s="300"/>
      <c r="G877" s="300"/>
      <c r="H877" s="300"/>
      <c r="I877" s="300"/>
      <c r="J877" s="300"/>
      <c r="K877" s="300"/>
      <c r="L877" s="300"/>
      <c r="M877" s="300"/>
      <c r="N877" s="300"/>
      <c r="O877" s="300"/>
      <c r="P877" s="300"/>
      <c r="Q877" s="300"/>
      <c r="R877" s="300"/>
      <c r="S877" s="300"/>
      <c r="T877" s="300"/>
      <c r="U877" s="300"/>
      <c r="V877" s="300"/>
      <c r="W877" s="300"/>
      <c r="X877" s="300"/>
    </row>
    <row r="878">
      <c r="A878" s="300"/>
      <c r="B878" s="300"/>
      <c r="C878" s="300"/>
      <c r="D878" s="300"/>
      <c r="E878" s="300"/>
      <c r="F878" s="300"/>
      <c r="G878" s="300"/>
      <c r="H878" s="300"/>
      <c r="I878" s="300"/>
      <c r="J878" s="300"/>
      <c r="K878" s="300"/>
      <c r="L878" s="300"/>
      <c r="M878" s="300"/>
      <c r="N878" s="300"/>
      <c r="O878" s="300"/>
      <c r="P878" s="300"/>
      <c r="Q878" s="300"/>
      <c r="R878" s="300"/>
      <c r="S878" s="300"/>
      <c r="T878" s="300"/>
      <c r="U878" s="300"/>
      <c r="V878" s="300"/>
      <c r="W878" s="300"/>
      <c r="X878" s="300"/>
    </row>
    <row r="879">
      <c r="A879" s="300"/>
      <c r="B879" s="300"/>
      <c r="C879" s="300"/>
      <c r="D879" s="300"/>
      <c r="E879" s="300"/>
      <c r="F879" s="300"/>
      <c r="G879" s="300"/>
      <c r="H879" s="300"/>
      <c r="I879" s="300"/>
      <c r="J879" s="300"/>
      <c r="K879" s="300"/>
      <c r="L879" s="300"/>
      <c r="M879" s="300"/>
      <c r="N879" s="300"/>
      <c r="O879" s="300"/>
      <c r="P879" s="300"/>
      <c r="Q879" s="300"/>
      <c r="R879" s="300"/>
      <c r="S879" s="300"/>
      <c r="T879" s="300"/>
      <c r="U879" s="300"/>
      <c r="V879" s="300"/>
      <c r="W879" s="300"/>
      <c r="X879" s="300"/>
    </row>
    <row r="880">
      <c r="A880" s="300"/>
      <c r="B880" s="300"/>
      <c r="C880" s="300"/>
      <c r="D880" s="300"/>
      <c r="E880" s="300"/>
      <c r="F880" s="300"/>
      <c r="G880" s="300"/>
      <c r="H880" s="300"/>
      <c r="I880" s="300"/>
      <c r="J880" s="300"/>
      <c r="K880" s="300"/>
      <c r="L880" s="300"/>
      <c r="M880" s="300"/>
      <c r="N880" s="300"/>
      <c r="O880" s="300"/>
      <c r="P880" s="300"/>
      <c r="Q880" s="300"/>
      <c r="R880" s="300"/>
      <c r="S880" s="300"/>
      <c r="T880" s="300"/>
      <c r="U880" s="300"/>
      <c r="V880" s="300"/>
      <c r="W880" s="300"/>
      <c r="X880" s="300"/>
    </row>
    <row r="881">
      <c r="A881" s="300"/>
      <c r="B881" s="300"/>
      <c r="C881" s="300"/>
      <c r="D881" s="300"/>
      <c r="E881" s="300"/>
      <c r="F881" s="300"/>
      <c r="G881" s="300"/>
      <c r="H881" s="300"/>
      <c r="I881" s="300"/>
      <c r="J881" s="300"/>
      <c r="K881" s="300"/>
      <c r="L881" s="300"/>
      <c r="M881" s="300"/>
      <c r="N881" s="300"/>
      <c r="O881" s="300"/>
      <c r="P881" s="300"/>
      <c r="Q881" s="300"/>
      <c r="R881" s="300"/>
      <c r="S881" s="300"/>
      <c r="T881" s="300"/>
      <c r="U881" s="300"/>
      <c r="V881" s="300"/>
      <c r="W881" s="300"/>
      <c r="X881" s="300"/>
    </row>
    <row r="882">
      <c r="A882" s="300"/>
      <c r="B882" s="300"/>
      <c r="C882" s="300"/>
      <c r="D882" s="300"/>
      <c r="E882" s="300"/>
      <c r="F882" s="300"/>
      <c r="G882" s="300"/>
      <c r="H882" s="300"/>
      <c r="I882" s="300"/>
      <c r="J882" s="300"/>
      <c r="K882" s="300"/>
      <c r="L882" s="300"/>
      <c r="M882" s="300"/>
      <c r="N882" s="300"/>
      <c r="O882" s="300"/>
      <c r="P882" s="300"/>
      <c r="Q882" s="300"/>
      <c r="R882" s="300"/>
      <c r="S882" s="300"/>
      <c r="T882" s="300"/>
      <c r="U882" s="300"/>
      <c r="V882" s="300"/>
      <c r="W882" s="300"/>
      <c r="X882" s="300"/>
    </row>
    <row r="883">
      <c r="A883" s="300"/>
      <c r="B883" s="300"/>
      <c r="C883" s="300"/>
      <c r="D883" s="300"/>
      <c r="E883" s="300"/>
      <c r="F883" s="300"/>
      <c r="G883" s="300"/>
      <c r="H883" s="300"/>
      <c r="I883" s="300"/>
      <c r="J883" s="300"/>
      <c r="K883" s="300"/>
      <c r="L883" s="300"/>
      <c r="M883" s="300"/>
      <c r="N883" s="300"/>
      <c r="O883" s="300"/>
      <c r="P883" s="300"/>
      <c r="Q883" s="300"/>
      <c r="R883" s="300"/>
      <c r="S883" s="300"/>
      <c r="T883" s="300"/>
      <c r="U883" s="300"/>
      <c r="V883" s="300"/>
      <c r="W883" s="300"/>
      <c r="X883" s="300"/>
    </row>
    <row r="884">
      <c r="A884" s="300"/>
      <c r="B884" s="300"/>
      <c r="C884" s="300"/>
      <c r="D884" s="300"/>
      <c r="E884" s="300"/>
      <c r="F884" s="300"/>
      <c r="G884" s="300"/>
      <c r="H884" s="300"/>
      <c r="I884" s="300"/>
      <c r="J884" s="300"/>
      <c r="K884" s="300"/>
      <c r="L884" s="300"/>
      <c r="M884" s="300"/>
      <c r="N884" s="300"/>
      <c r="O884" s="300"/>
      <c r="P884" s="300"/>
      <c r="Q884" s="300"/>
      <c r="R884" s="300"/>
      <c r="S884" s="300"/>
      <c r="T884" s="300"/>
      <c r="U884" s="300"/>
      <c r="V884" s="300"/>
      <c r="W884" s="300"/>
      <c r="X884" s="300"/>
    </row>
    <row r="885">
      <c r="A885" s="300"/>
      <c r="B885" s="300"/>
      <c r="C885" s="300"/>
      <c r="D885" s="300"/>
      <c r="E885" s="300"/>
      <c r="F885" s="300"/>
      <c r="G885" s="300"/>
      <c r="H885" s="300"/>
      <c r="I885" s="300"/>
      <c r="J885" s="300"/>
      <c r="K885" s="300"/>
      <c r="L885" s="300"/>
      <c r="M885" s="300"/>
      <c r="N885" s="300"/>
      <c r="O885" s="300"/>
      <c r="P885" s="300"/>
      <c r="Q885" s="300"/>
      <c r="R885" s="300"/>
      <c r="S885" s="300"/>
      <c r="T885" s="300"/>
      <c r="U885" s="300"/>
      <c r="V885" s="300"/>
      <c r="W885" s="300"/>
      <c r="X885" s="300"/>
    </row>
    <row r="886">
      <c r="A886" s="300"/>
      <c r="B886" s="300"/>
      <c r="C886" s="300"/>
      <c r="D886" s="300"/>
      <c r="E886" s="300"/>
      <c r="F886" s="300"/>
      <c r="G886" s="300"/>
      <c r="H886" s="300"/>
      <c r="I886" s="300"/>
      <c r="J886" s="300"/>
      <c r="K886" s="300"/>
      <c r="L886" s="300"/>
      <c r="M886" s="300"/>
      <c r="N886" s="300"/>
      <c r="O886" s="300"/>
      <c r="P886" s="300"/>
      <c r="Q886" s="300"/>
      <c r="R886" s="300"/>
      <c r="S886" s="300"/>
      <c r="T886" s="300"/>
      <c r="U886" s="300"/>
      <c r="V886" s="300"/>
      <c r="W886" s="300"/>
      <c r="X886" s="300"/>
    </row>
    <row r="887">
      <c r="A887" s="300"/>
      <c r="B887" s="300"/>
      <c r="C887" s="300"/>
      <c r="D887" s="300"/>
      <c r="E887" s="300"/>
      <c r="F887" s="300"/>
      <c r="G887" s="300"/>
      <c r="H887" s="300"/>
      <c r="I887" s="300"/>
      <c r="J887" s="300"/>
      <c r="K887" s="300"/>
      <c r="L887" s="300"/>
      <c r="M887" s="300"/>
      <c r="N887" s="300"/>
      <c r="O887" s="300"/>
      <c r="P887" s="300"/>
      <c r="Q887" s="300"/>
      <c r="R887" s="300"/>
      <c r="S887" s="300"/>
      <c r="T887" s="300"/>
      <c r="U887" s="300"/>
      <c r="V887" s="300"/>
      <c r="W887" s="300"/>
      <c r="X887" s="300"/>
    </row>
    <row r="888">
      <c r="A888" s="300"/>
      <c r="B888" s="300"/>
      <c r="C888" s="300"/>
      <c r="D888" s="300"/>
      <c r="E888" s="300"/>
      <c r="F888" s="300"/>
      <c r="G888" s="300"/>
      <c r="H888" s="300"/>
      <c r="I888" s="300"/>
      <c r="J888" s="300"/>
      <c r="K888" s="300"/>
      <c r="L888" s="300"/>
      <c r="M888" s="300"/>
      <c r="N888" s="300"/>
      <c r="O888" s="300"/>
      <c r="P888" s="300"/>
      <c r="Q888" s="300"/>
      <c r="R888" s="300"/>
      <c r="S888" s="300"/>
      <c r="T888" s="300"/>
      <c r="U888" s="300"/>
      <c r="V888" s="300"/>
      <c r="W888" s="300"/>
      <c r="X888" s="300"/>
    </row>
    <row r="889">
      <c r="A889" s="300"/>
      <c r="B889" s="300"/>
      <c r="C889" s="300"/>
      <c r="D889" s="300"/>
      <c r="E889" s="300"/>
      <c r="F889" s="300"/>
      <c r="G889" s="300"/>
      <c r="H889" s="300"/>
      <c r="I889" s="300"/>
      <c r="J889" s="300"/>
      <c r="K889" s="300"/>
      <c r="L889" s="300"/>
      <c r="M889" s="300"/>
      <c r="N889" s="300"/>
      <c r="O889" s="300"/>
      <c r="P889" s="300"/>
      <c r="Q889" s="300"/>
      <c r="R889" s="300"/>
      <c r="S889" s="300"/>
      <c r="T889" s="300"/>
      <c r="U889" s="300"/>
      <c r="V889" s="300"/>
      <c r="W889" s="300"/>
      <c r="X889" s="300"/>
    </row>
    <row r="890">
      <c r="A890" s="300"/>
      <c r="B890" s="300"/>
      <c r="C890" s="300"/>
      <c r="D890" s="300"/>
      <c r="E890" s="300"/>
      <c r="F890" s="300"/>
      <c r="G890" s="300"/>
      <c r="H890" s="300"/>
      <c r="I890" s="300"/>
      <c r="J890" s="300"/>
      <c r="K890" s="300"/>
      <c r="L890" s="300"/>
      <c r="M890" s="300"/>
      <c r="N890" s="300"/>
      <c r="O890" s="300"/>
      <c r="P890" s="300"/>
      <c r="Q890" s="300"/>
      <c r="R890" s="300"/>
      <c r="S890" s="300"/>
      <c r="T890" s="300"/>
      <c r="U890" s="300"/>
      <c r="V890" s="300"/>
      <c r="W890" s="300"/>
      <c r="X890" s="300"/>
    </row>
    <row r="891">
      <c r="A891" s="300"/>
      <c r="B891" s="300"/>
      <c r="C891" s="300"/>
      <c r="D891" s="300"/>
      <c r="E891" s="300"/>
      <c r="F891" s="300"/>
      <c r="G891" s="300"/>
      <c r="H891" s="300"/>
      <c r="I891" s="300"/>
      <c r="J891" s="300"/>
      <c r="K891" s="300"/>
      <c r="L891" s="300"/>
      <c r="M891" s="300"/>
      <c r="N891" s="300"/>
      <c r="O891" s="300"/>
      <c r="P891" s="300"/>
      <c r="Q891" s="300"/>
      <c r="R891" s="300"/>
      <c r="S891" s="300"/>
      <c r="T891" s="300"/>
      <c r="U891" s="300"/>
      <c r="V891" s="300"/>
      <c r="W891" s="300"/>
      <c r="X891" s="300"/>
    </row>
    <row r="892">
      <c r="A892" s="300"/>
      <c r="B892" s="300"/>
      <c r="C892" s="300"/>
      <c r="D892" s="300"/>
      <c r="E892" s="300"/>
      <c r="F892" s="300"/>
      <c r="G892" s="300"/>
      <c r="H892" s="300"/>
      <c r="I892" s="300"/>
      <c r="J892" s="300"/>
      <c r="K892" s="300"/>
      <c r="L892" s="300"/>
      <c r="M892" s="300"/>
      <c r="N892" s="300"/>
      <c r="O892" s="300"/>
      <c r="P892" s="300"/>
      <c r="Q892" s="300"/>
      <c r="R892" s="300"/>
      <c r="S892" s="300"/>
      <c r="T892" s="300"/>
      <c r="U892" s="300"/>
      <c r="V892" s="300"/>
      <c r="W892" s="300"/>
      <c r="X892" s="300"/>
    </row>
    <row r="893">
      <c r="A893" s="300"/>
      <c r="B893" s="300"/>
      <c r="C893" s="300"/>
      <c r="D893" s="300"/>
      <c r="E893" s="300"/>
      <c r="F893" s="300"/>
      <c r="G893" s="300"/>
      <c r="H893" s="300"/>
      <c r="I893" s="300"/>
      <c r="J893" s="300"/>
      <c r="K893" s="300"/>
      <c r="L893" s="300"/>
      <c r="M893" s="300"/>
      <c r="N893" s="300"/>
      <c r="O893" s="300"/>
      <c r="P893" s="300"/>
      <c r="Q893" s="300"/>
      <c r="R893" s="300"/>
      <c r="S893" s="300"/>
      <c r="T893" s="300"/>
      <c r="U893" s="300"/>
      <c r="V893" s="300"/>
      <c r="W893" s="300"/>
      <c r="X893" s="300"/>
    </row>
    <row r="894">
      <c r="A894" s="300"/>
      <c r="B894" s="300"/>
      <c r="C894" s="300"/>
      <c r="D894" s="300"/>
      <c r="E894" s="300"/>
      <c r="F894" s="300"/>
      <c r="G894" s="300"/>
      <c r="H894" s="300"/>
      <c r="I894" s="300"/>
      <c r="J894" s="300"/>
      <c r="K894" s="300"/>
      <c r="L894" s="300"/>
      <c r="M894" s="300"/>
      <c r="N894" s="300"/>
      <c r="O894" s="300"/>
      <c r="P894" s="300"/>
      <c r="Q894" s="300"/>
      <c r="R894" s="300"/>
      <c r="S894" s="300"/>
      <c r="T894" s="300"/>
      <c r="U894" s="300"/>
      <c r="V894" s="300"/>
      <c r="W894" s="300"/>
      <c r="X894" s="300"/>
    </row>
    <row r="895">
      <c r="A895" s="300"/>
      <c r="B895" s="300"/>
      <c r="C895" s="300"/>
      <c r="D895" s="300"/>
      <c r="E895" s="300"/>
      <c r="F895" s="300"/>
      <c r="G895" s="300"/>
      <c r="H895" s="300"/>
      <c r="I895" s="300"/>
      <c r="J895" s="300"/>
      <c r="K895" s="300"/>
      <c r="L895" s="300"/>
      <c r="M895" s="300"/>
      <c r="N895" s="300"/>
      <c r="O895" s="300"/>
      <c r="P895" s="300"/>
      <c r="Q895" s="300"/>
      <c r="R895" s="300"/>
      <c r="S895" s="300"/>
      <c r="T895" s="300"/>
      <c r="U895" s="300"/>
      <c r="V895" s="300"/>
      <c r="W895" s="300"/>
      <c r="X895" s="300"/>
    </row>
    <row r="896">
      <c r="A896" s="300"/>
      <c r="B896" s="300"/>
      <c r="C896" s="300"/>
      <c r="D896" s="300"/>
      <c r="E896" s="300"/>
      <c r="F896" s="300"/>
      <c r="G896" s="300"/>
      <c r="H896" s="300"/>
      <c r="I896" s="300"/>
      <c r="J896" s="300"/>
      <c r="K896" s="300"/>
      <c r="L896" s="300"/>
      <c r="M896" s="300"/>
      <c r="N896" s="300"/>
      <c r="O896" s="300"/>
      <c r="P896" s="300"/>
      <c r="Q896" s="300"/>
      <c r="R896" s="300"/>
      <c r="S896" s="300"/>
      <c r="T896" s="300"/>
      <c r="U896" s="300"/>
      <c r="V896" s="300"/>
      <c r="W896" s="300"/>
      <c r="X896" s="300"/>
    </row>
    <row r="897">
      <c r="A897" s="300"/>
      <c r="B897" s="300"/>
      <c r="C897" s="300"/>
      <c r="D897" s="300"/>
      <c r="E897" s="300"/>
      <c r="F897" s="300"/>
      <c r="G897" s="300"/>
      <c r="H897" s="300"/>
      <c r="I897" s="300"/>
      <c r="J897" s="300"/>
      <c r="K897" s="300"/>
      <c r="L897" s="300"/>
      <c r="M897" s="300"/>
      <c r="N897" s="300"/>
      <c r="O897" s="300"/>
      <c r="P897" s="300"/>
      <c r="Q897" s="300"/>
      <c r="R897" s="300"/>
      <c r="S897" s="300"/>
      <c r="T897" s="300"/>
      <c r="U897" s="300"/>
      <c r="V897" s="300"/>
      <c r="W897" s="300"/>
      <c r="X897" s="300"/>
    </row>
    <row r="898">
      <c r="A898" s="300"/>
      <c r="B898" s="300"/>
      <c r="C898" s="300"/>
      <c r="D898" s="300"/>
      <c r="E898" s="300"/>
      <c r="F898" s="300"/>
      <c r="G898" s="300"/>
      <c r="H898" s="300"/>
      <c r="I898" s="300"/>
      <c r="J898" s="300"/>
      <c r="K898" s="300"/>
      <c r="L898" s="300"/>
      <c r="M898" s="300"/>
      <c r="N898" s="300"/>
      <c r="O898" s="300"/>
      <c r="P898" s="300"/>
      <c r="Q898" s="300"/>
      <c r="R898" s="300"/>
      <c r="S898" s="300"/>
      <c r="T898" s="300"/>
      <c r="U898" s="300"/>
      <c r="V898" s="300"/>
      <c r="W898" s="300"/>
      <c r="X898" s="300"/>
    </row>
    <row r="899">
      <c r="A899" s="300"/>
      <c r="B899" s="300"/>
      <c r="C899" s="300"/>
      <c r="D899" s="300"/>
      <c r="E899" s="300"/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300"/>
      <c r="S899" s="300"/>
      <c r="T899" s="300"/>
      <c r="U899" s="300"/>
      <c r="V899" s="300"/>
      <c r="W899" s="300"/>
      <c r="X899" s="300"/>
    </row>
    <row r="900">
      <c r="A900" s="300"/>
      <c r="B900" s="300"/>
      <c r="C900" s="300"/>
      <c r="D900" s="300"/>
      <c r="E900" s="300"/>
      <c r="F900" s="300"/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300"/>
      <c r="S900" s="300"/>
      <c r="T900" s="300"/>
      <c r="U900" s="300"/>
      <c r="V900" s="300"/>
      <c r="W900" s="300"/>
      <c r="X900" s="300"/>
    </row>
    <row r="901">
      <c r="A901" s="300"/>
      <c r="B901" s="300"/>
      <c r="C901" s="300"/>
      <c r="D901" s="300"/>
      <c r="E901" s="300"/>
      <c r="F901" s="300"/>
      <c r="G901" s="300"/>
      <c r="H901" s="300"/>
      <c r="I901" s="300"/>
      <c r="J901" s="300"/>
      <c r="K901" s="300"/>
      <c r="L901" s="300"/>
      <c r="M901" s="300"/>
      <c r="N901" s="300"/>
      <c r="O901" s="300"/>
      <c r="P901" s="300"/>
      <c r="Q901" s="300"/>
      <c r="R901" s="300"/>
      <c r="S901" s="300"/>
      <c r="T901" s="300"/>
      <c r="U901" s="300"/>
      <c r="V901" s="300"/>
      <c r="W901" s="300"/>
      <c r="X901" s="300"/>
    </row>
    <row r="902">
      <c r="A902" s="300"/>
      <c r="B902" s="300"/>
      <c r="C902" s="300"/>
      <c r="D902" s="300"/>
      <c r="E902" s="300"/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300"/>
      <c r="S902" s="300"/>
      <c r="T902" s="300"/>
      <c r="U902" s="300"/>
      <c r="V902" s="300"/>
      <c r="W902" s="300"/>
      <c r="X902" s="300"/>
    </row>
    <row r="903">
      <c r="A903" s="300"/>
      <c r="B903" s="300"/>
      <c r="C903" s="300"/>
      <c r="D903" s="300"/>
      <c r="E903" s="300"/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300"/>
      <c r="S903" s="300"/>
      <c r="T903" s="300"/>
      <c r="U903" s="300"/>
      <c r="V903" s="300"/>
      <c r="W903" s="300"/>
      <c r="X903" s="300"/>
    </row>
    <row r="904">
      <c r="A904" s="300"/>
      <c r="B904" s="300"/>
      <c r="C904" s="300"/>
      <c r="D904" s="300"/>
      <c r="E904" s="300"/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300"/>
      <c r="S904" s="300"/>
      <c r="T904" s="300"/>
      <c r="U904" s="300"/>
      <c r="V904" s="300"/>
      <c r="W904" s="300"/>
      <c r="X904" s="300"/>
    </row>
    <row r="905">
      <c r="A905" s="300"/>
      <c r="B905" s="300"/>
      <c r="C905" s="300"/>
      <c r="D905" s="300"/>
      <c r="E905" s="300"/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300"/>
      <c r="S905" s="300"/>
      <c r="T905" s="300"/>
      <c r="U905" s="300"/>
      <c r="V905" s="300"/>
      <c r="W905" s="300"/>
      <c r="X905" s="300"/>
    </row>
    <row r="906">
      <c r="A906" s="300"/>
      <c r="B906" s="300"/>
      <c r="C906" s="300"/>
      <c r="D906" s="300"/>
      <c r="E906" s="300"/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300"/>
      <c r="S906" s="300"/>
      <c r="T906" s="300"/>
      <c r="U906" s="300"/>
      <c r="V906" s="300"/>
      <c r="W906" s="300"/>
      <c r="X906" s="300"/>
    </row>
    <row r="907">
      <c r="A907" s="300"/>
      <c r="B907" s="300"/>
      <c r="C907" s="300"/>
      <c r="D907" s="300"/>
      <c r="E907" s="300"/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300"/>
      <c r="S907" s="300"/>
      <c r="T907" s="300"/>
      <c r="U907" s="300"/>
      <c r="V907" s="300"/>
      <c r="W907" s="300"/>
      <c r="X907" s="300"/>
    </row>
    <row r="908">
      <c r="A908" s="300"/>
      <c r="B908" s="300"/>
      <c r="C908" s="300"/>
      <c r="D908" s="300"/>
      <c r="E908" s="300"/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300"/>
      <c r="S908" s="300"/>
      <c r="T908" s="300"/>
      <c r="U908" s="300"/>
      <c r="V908" s="300"/>
      <c r="W908" s="300"/>
      <c r="X908" s="300"/>
    </row>
    <row r="909">
      <c r="A909" s="300"/>
      <c r="B909" s="300"/>
      <c r="C909" s="300"/>
      <c r="D909" s="300"/>
      <c r="E909" s="300"/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300"/>
      <c r="S909" s="300"/>
      <c r="T909" s="300"/>
      <c r="U909" s="300"/>
      <c r="V909" s="300"/>
      <c r="W909" s="300"/>
      <c r="X909" s="300"/>
    </row>
    <row r="910">
      <c r="A910" s="300"/>
      <c r="B910" s="300"/>
      <c r="C910" s="300"/>
      <c r="D910" s="300"/>
      <c r="E910" s="300"/>
      <c r="F910" s="300"/>
      <c r="G910" s="300"/>
      <c r="H910" s="300"/>
      <c r="I910" s="300"/>
      <c r="J910" s="300"/>
      <c r="K910" s="300"/>
      <c r="L910" s="300"/>
      <c r="M910" s="300"/>
      <c r="N910" s="300"/>
      <c r="O910" s="300"/>
      <c r="P910" s="300"/>
      <c r="Q910" s="300"/>
      <c r="R910" s="300"/>
      <c r="S910" s="300"/>
      <c r="T910" s="300"/>
      <c r="U910" s="300"/>
      <c r="V910" s="300"/>
      <c r="W910" s="300"/>
      <c r="X910" s="300"/>
    </row>
    <row r="911">
      <c r="A911" s="300"/>
      <c r="B911" s="300"/>
      <c r="C911" s="300"/>
      <c r="D911" s="300"/>
      <c r="E911" s="300"/>
      <c r="F911" s="300"/>
      <c r="G911" s="300"/>
      <c r="H911" s="300"/>
      <c r="I911" s="300"/>
      <c r="J911" s="300"/>
      <c r="K911" s="300"/>
      <c r="L911" s="300"/>
      <c r="M911" s="300"/>
      <c r="N911" s="300"/>
      <c r="O911" s="300"/>
      <c r="P911" s="300"/>
      <c r="Q911" s="300"/>
      <c r="R911" s="300"/>
      <c r="S911" s="300"/>
      <c r="T911" s="300"/>
      <c r="U911" s="300"/>
      <c r="V911" s="300"/>
      <c r="W911" s="300"/>
      <c r="X911" s="300"/>
    </row>
    <row r="912">
      <c r="A912" s="300"/>
      <c r="B912" s="300"/>
      <c r="C912" s="300"/>
      <c r="D912" s="300"/>
      <c r="E912" s="300"/>
      <c r="F912" s="300"/>
      <c r="G912" s="300"/>
      <c r="H912" s="300"/>
      <c r="I912" s="300"/>
      <c r="J912" s="300"/>
      <c r="K912" s="300"/>
      <c r="L912" s="300"/>
      <c r="M912" s="300"/>
      <c r="N912" s="300"/>
      <c r="O912" s="300"/>
      <c r="P912" s="300"/>
      <c r="Q912" s="300"/>
      <c r="R912" s="300"/>
      <c r="S912" s="300"/>
      <c r="T912" s="300"/>
      <c r="U912" s="300"/>
      <c r="V912" s="300"/>
      <c r="W912" s="300"/>
      <c r="X912" s="300"/>
    </row>
    <row r="913">
      <c r="A913" s="300"/>
      <c r="B913" s="300"/>
      <c r="C913" s="300"/>
      <c r="D913" s="300"/>
      <c r="E913" s="300"/>
      <c r="F913" s="300"/>
      <c r="G913" s="300"/>
      <c r="H913" s="300"/>
      <c r="I913" s="300"/>
      <c r="J913" s="300"/>
      <c r="K913" s="300"/>
      <c r="L913" s="300"/>
      <c r="M913" s="300"/>
      <c r="N913" s="300"/>
      <c r="O913" s="300"/>
      <c r="P913" s="300"/>
      <c r="Q913" s="300"/>
      <c r="R913" s="300"/>
      <c r="S913" s="300"/>
      <c r="T913" s="300"/>
      <c r="U913" s="300"/>
      <c r="V913" s="300"/>
      <c r="W913" s="300"/>
      <c r="X913" s="300"/>
    </row>
    <row r="914">
      <c r="A914" s="300"/>
      <c r="B914" s="300"/>
      <c r="C914" s="300"/>
      <c r="D914" s="300"/>
      <c r="E914" s="300"/>
      <c r="F914" s="300"/>
      <c r="G914" s="300"/>
      <c r="H914" s="300"/>
      <c r="I914" s="300"/>
      <c r="J914" s="300"/>
      <c r="K914" s="300"/>
      <c r="L914" s="300"/>
      <c r="M914" s="300"/>
      <c r="N914" s="300"/>
      <c r="O914" s="300"/>
      <c r="P914" s="300"/>
      <c r="Q914" s="300"/>
      <c r="R914" s="300"/>
      <c r="S914" s="300"/>
      <c r="T914" s="300"/>
      <c r="U914" s="300"/>
      <c r="V914" s="300"/>
      <c r="W914" s="300"/>
      <c r="X914" s="300"/>
    </row>
    <row r="915">
      <c r="A915" s="300"/>
      <c r="B915" s="300"/>
      <c r="C915" s="300"/>
      <c r="D915" s="300"/>
      <c r="E915" s="300"/>
      <c r="F915" s="300"/>
      <c r="G915" s="300"/>
      <c r="H915" s="300"/>
      <c r="I915" s="300"/>
      <c r="J915" s="300"/>
      <c r="K915" s="300"/>
      <c r="L915" s="300"/>
      <c r="M915" s="300"/>
      <c r="N915" s="300"/>
      <c r="O915" s="300"/>
      <c r="P915" s="300"/>
      <c r="Q915" s="300"/>
      <c r="R915" s="300"/>
      <c r="S915" s="300"/>
      <c r="T915" s="300"/>
      <c r="U915" s="300"/>
      <c r="V915" s="300"/>
      <c r="W915" s="300"/>
      <c r="X915" s="300"/>
    </row>
    <row r="916">
      <c r="A916" s="300"/>
      <c r="B916" s="300"/>
      <c r="C916" s="300"/>
      <c r="D916" s="300"/>
      <c r="E916" s="300"/>
      <c r="F916" s="300"/>
      <c r="G916" s="300"/>
      <c r="H916" s="300"/>
      <c r="I916" s="300"/>
      <c r="J916" s="300"/>
      <c r="K916" s="300"/>
      <c r="L916" s="300"/>
      <c r="M916" s="300"/>
      <c r="N916" s="300"/>
      <c r="O916" s="300"/>
      <c r="P916" s="300"/>
      <c r="Q916" s="300"/>
      <c r="R916" s="300"/>
      <c r="S916" s="300"/>
      <c r="T916" s="300"/>
      <c r="U916" s="300"/>
      <c r="V916" s="300"/>
      <c r="W916" s="300"/>
      <c r="X916" s="300"/>
    </row>
    <row r="917">
      <c r="A917" s="300"/>
      <c r="B917" s="300"/>
      <c r="C917" s="300"/>
      <c r="D917" s="300"/>
      <c r="E917" s="300"/>
      <c r="F917" s="300"/>
      <c r="G917" s="300"/>
      <c r="H917" s="300"/>
      <c r="I917" s="300"/>
      <c r="J917" s="300"/>
      <c r="K917" s="300"/>
      <c r="L917" s="300"/>
      <c r="M917" s="300"/>
      <c r="N917" s="300"/>
      <c r="O917" s="300"/>
      <c r="P917" s="300"/>
      <c r="Q917" s="300"/>
      <c r="R917" s="300"/>
      <c r="S917" s="300"/>
      <c r="T917" s="300"/>
      <c r="U917" s="300"/>
      <c r="V917" s="300"/>
      <c r="W917" s="300"/>
      <c r="X917" s="300"/>
    </row>
    <row r="918">
      <c r="A918" s="300"/>
      <c r="B918" s="300"/>
      <c r="C918" s="300"/>
      <c r="D918" s="300"/>
      <c r="E918" s="300"/>
      <c r="F918" s="300"/>
      <c r="G918" s="300"/>
      <c r="H918" s="300"/>
      <c r="I918" s="300"/>
      <c r="J918" s="300"/>
      <c r="K918" s="300"/>
      <c r="L918" s="300"/>
      <c r="M918" s="300"/>
      <c r="N918" s="300"/>
      <c r="O918" s="300"/>
      <c r="P918" s="300"/>
      <c r="Q918" s="300"/>
      <c r="R918" s="300"/>
      <c r="S918" s="300"/>
      <c r="T918" s="300"/>
      <c r="U918" s="300"/>
      <c r="V918" s="300"/>
      <c r="W918" s="300"/>
      <c r="X918" s="300"/>
    </row>
    <row r="919">
      <c r="A919" s="300"/>
      <c r="B919" s="300"/>
      <c r="C919" s="300"/>
      <c r="D919" s="300"/>
      <c r="E919" s="300"/>
      <c r="F919" s="300"/>
      <c r="G919" s="300"/>
      <c r="H919" s="300"/>
      <c r="I919" s="300"/>
      <c r="J919" s="300"/>
      <c r="K919" s="300"/>
      <c r="L919" s="300"/>
      <c r="M919" s="300"/>
      <c r="N919" s="300"/>
      <c r="O919" s="300"/>
      <c r="P919" s="300"/>
      <c r="Q919" s="300"/>
      <c r="R919" s="300"/>
      <c r="S919" s="300"/>
      <c r="T919" s="300"/>
      <c r="U919" s="300"/>
      <c r="V919" s="300"/>
      <c r="W919" s="300"/>
      <c r="X919" s="300"/>
    </row>
    <row r="920">
      <c r="A920" s="300"/>
      <c r="B920" s="300"/>
      <c r="C920" s="300"/>
      <c r="D920" s="300"/>
      <c r="E920" s="300"/>
      <c r="F920" s="300"/>
      <c r="G920" s="300"/>
      <c r="H920" s="300"/>
      <c r="I920" s="300"/>
      <c r="J920" s="300"/>
      <c r="K920" s="300"/>
      <c r="L920" s="300"/>
      <c r="M920" s="300"/>
      <c r="N920" s="300"/>
      <c r="O920" s="300"/>
      <c r="P920" s="300"/>
      <c r="Q920" s="300"/>
      <c r="R920" s="300"/>
      <c r="S920" s="300"/>
      <c r="T920" s="300"/>
      <c r="U920" s="300"/>
      <c r="V920" s="300"/>
      <c r="W920" s="300"/>
      <c r="X920" s="300"/>
    </row>
    <row r="921">
      <c r="A921" s="300"/>
      <c r="B921" s="300"/>
      <c r="C921" s="300"/>
      <c r="D921" s="300"/>
      <c r="E921" s="300"/>
      <c r="F921" s="300"/>
      <c r="G921" s="300"/>
      <c r="H921" s="300"/>
      <c r="I921" s="300"/>
      <c r="J921" s="300"/>
      <c r="K921" s="300"/>
      <c r="L921" s="300"/>
      <c r="M921" s="300"/>
      <c r="N921" s="300"/>
      <c r="O921" s="300"/>
      <c r="P921" s="300"/>
      <c r="Q921" s="300"/>
      <c r="R921" s="300"/>
      <c r="S921" s="300"/>
      <c r="T921" s="300"/>
      <c r="U921" s="300"/>
      <c r="V921" s="300"/>
      <c r="W921" s="300"/>
      <c r="X921" s="300"/>
    </row>
    <row r="922">
      <c r="A922" s="300"/>
      <c r="B922" s="300"/>
      <c r="C922" s="300"/>
      <c r="D922" s="300"/>
      <c r="E922" s="300"/>
      <c r="F922" s="300"/>
      <c r="G922" s="300"/>
      <c r="H922" s="300"/>
      <c r="I922" s="300"/>
      <c r="J922" s="300"/>
      <c r="K922" s="300"/>
      <c r="L922" s="300"/>
      <c r="M922" s="300"/>
      <c r="N922" s="300"/>
      <c r="O922" s="300"/>
      <c r="P922" s="300"/>
      <c r="Q922" s="300"/>
      <c r="R922" s="300"/>
      <c r="S922" s="300"/>
      <c r="T922" s="300"/>
      <c r="U922" s="300"/>
      <c r="V922" s="300"/>
      <c r="W922" s="300"/>
      <c r="X922" s="300"/>
    </row>
    <row r="923">
      <c r="A923" s="300"/>
      <c r="B923" s="300"/>
      <c r="C923" s="300"/>
      <c r="D923" s="300"/>
      <c r="E923" s="300"/>
      <c r="F923" s="300"/>
      <c r="G923" s="300"/>
      <c r="H923" s="300"/>
      <c r="I923" s="300"/>
      <c r="J923" s="300"/>
      <c r="K923" s="300"/>
      <c r="L923" s="300"/>
      <c r="M923" s="300"/>
      <c r="N923" s="300"/>
      <c r="O923" s="300"/>
      <c r="P923" s="300"/>
      <c r="Q923" s="300"/>
      <c r="R923" s="300"/>
      <c r="S923" s="300"/>
      <c r="T923" s="300"/>
      <c r="U923" s="300"/>
      <c r="V923" s="300"/>
      <c r="W923" s="300"/>
      <c r="X923" s="300"/>
    </row>
    <row r="924">
      <c r="A924" s="300"/>
      <c r="B924" s="300"/>
      <c r="C924" s="300"/>
      <c r="D924" s="300"/>
      <c r="E924" s="300"/>
      <c r="F924" s="300"/>
      <c r="G924" s="300"/>
      <c r="H924" s="300"/>
      <c r="I924" s="300"/>
      <c r="J924" s="300"/>
      <c r="K924" s="300"/>
      <c r="L924" s="300"/>
      <c r="M924" s="300"/>
      <c r="N924" s="300"/>
      <c r="O924" s="300"/>
      <c r="P924" s="300"/>
      <c r="Q924" s="300"/>
      <c r="R924" s="300"/>
      <c r="S924" s="300"/>
      <c r="T924" s="300"/>
      <c r="U924" s="300"/>
      <c r="V924" s="300"/>
      <c r="W924" s="300"/>
      <c r="X924" s="300"/>
    </row>
    <row r="925">
      <c r="A925" s="300"/>
      <c r="B925" s="300"/>
      <c r="C925" s="300"/>
      <c r="D925" s="300"/>
      <c r="E925" s="300"/>
      <c r="F925" s="300"/>
      <c r="G925" s="300"/>
      <c r="H925" s="300"/>
      <c r="I925" s="300"/>
      <c r="J925" s="300"/>
      <c r="K925" s="300"/>
      <c r="L925" s="300"/>
      <c r="M925" s="300"/>
      <c r="N925" s="300"/>
      <c r="O925" s="300"/>
      <c r="P925" s="300"/>
      <c r="Q925" s="300"/>
      <c r="R925" s="300"/>
      <c r="S925" s="300"/>
      <c r="T925" s="300"/>
      <c r="U925" s="300"/>
      <c r="V925" s="300"/>
      <c r="W925" s="300"/>
      <c r="X925" s="300"/>
    </row>
    <row r="926">
      <c r="A926" s="300"/>
      <c r="B926" s="300"/>
      <c r="C926" s="300"/>
      <c r="D926" s="300"/>
      <c r="E926" s="300"/>
      <c r="F926" s="300"/>
      <c r="G926" s="300"/>
      <c r="H926" s="300"/>
      <c r="I926" s="300"/>
      <c r="J926" s="300"/>
      <c r="K926" s="300"/>
      <c r="L926" s="300"/>
      <c r="M926" s="300"/>
      <c r="N926" s="300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</row>
    <row r="927">
      <c r="A927" s="300"/>
      <c r="B927" s="300"/>
      <c r="C927" s="300"/>
      <c r="D927" s="300"/>
      <c r="E927" s="300"/>
      <c r="F927" s="300"/>
      <c r="G927" s="300"/>
      <c r="H927" s="300"/>
      <c r="I927" s="300"/>
      <c r="J927" s="300"/>
      <c r="K927" s="300"/>
      <c r="L927" s="300"/>
      <c r="M927" s="300"/>
      <c r="N927" s="300"/>
      <c r="O927" s="300"/>
      <c r="P927" s="300"/>
      <c r="Q927" s="300"/>
      <c r="R927" s="300"/>
      <c r="S927" s="300"/>
      <c r="T927" s="300"/>
      <c r="U927" s="300"/>
      <c r="V927" s="300"/>
      <c r="W927" s="300"/>
      <c r="X927" s="300"/>
    </row>
    <row r="928">
      <c r="A928" s="300"/>
      <c r="B928" s="300"/>
      <c r="C928" s="300"/>
      <c r="D928" s="300"/>
      <c r="E928" s="300"/>
      <c r="F928" s="300"/>
      <c r="G928" s="300"/>
      <c r="H928" s="300"/>
      <c r="I928" s="300"/>
      <c r="J928" s="300"/>
      <c r="K928" s="300"/>
      <c r="L928" s="300"/>
      <c r="M928" s="300"/>
      <c r="N928" s="300"/>
      <c r="O928" s="300"/>
      <c r="P928" s="300"/>
      <c r="Q928" s="300"/>
      <c r="R928" s="300"/>
      <c r="S928" s="300"/>
      <c r="T928" s="300"/>
      <c r="U928" s="300"/>
      <c r="V928" s="300"/>
      <c r="W928" s="300"/>
      <c r="X928" s="300"/>
    </row>
    <row r="929">
      <c r="A929" s="300"/>
      <c r="B929" s="300"/>
      <c r="C929" s="300"/>
      <c r="D929" s="300"/>
      <c r="E929" s="300"/>
      <c r="F929" s="300"/>
      <c r="G929" s="300"/>
      <c r="H929" s="300"/>
      <c r="I929" s="300"/>
      <c r="J929" s="300"/>
      <c r="K929" s="300"/>
      <c r="L929" s="300"/>
      <c r="M929" s="300"/>
      <c r="N929" s="300"/>
      <c r="O929" s="300"/>
      <c r="P929" s="300"/>
      <c r="Q929" s="300"/>
      <c r="R929" s="300"/>
      <c r="S929" s="300"/>
      <c r="T929" s="300"/>
      <c r="U929" s="300"/>
      <c r="V929" s="300"/>
      <c r="W929" s="300"/>
      <c r="X929" s="300"/>
    </row>
    <row r="930">
      <c r="A930" s="300"/>
      <c r="B930" s="300"/>
      <c r="C930" s="300"/>
      <c r="D930" s="300"/>
      <c r="E930" s="300"/>
      <c r="F930" s="300"/>
      <c r="G930" s="300"/>
      <c r="H930" s="300"/>
      <c r="I930" s="300"/>
      <c r="J930" s="300"/>
      <c r="K930" s="300"/>
      <c r="L930" s="300"/>
      <c r="M930" s="300"/>
      <c r="N930" s="300"/>
      <c r="O930" s="300"/>
      <c r="P930" s="300"/>
      <c r="Q930" s="300"/>
      <c r="R930" s="300"/>
      <c r="S930" s="300"/>
      <c r="T930" s="300"/>
      <c r="U930" s="300"/>
      <c r="V930" s="300"/>
      <c r="W930" s="300"/>
      <c r="X930" s="300"/>
    </row>
    <row r="931">
      <c r="A931" s="300"/>
      <c r="B931" s="300"/>
      <c r="C931" s="300"/>
      <c r="D931" s="300"/>
      <c r="E931" s="300"/>
      <c r="F931" s="300"/>
      <c r="G931" s="300"/>
      <c r="H931" s="300"/>
      <c r="I931" s="300"/>
      <c r="J931" s="300"/>
      <c r="K931" s="300"/>
      <c r="L931" s="300"/>
      <c r="M931" s="300"/>
      <c r="N931" s="300"/>
      <c r="O931" s="300"/>
      <c r="P931" s="300"/>
      <c r="Q931" s="300"/>
      <c r="R931" s="300"/>
      <c r="S931" s="300"/>
      <c r="T931" s="300"/>
      <c r="U931" s="300"/>
      <c r="V931" s="300"/>
      <c r="W931" s="300"/>
      <c r="X931" s="300"/>
    </row>
    <row r="932">
      <c r="A932" s="300"/>
      <c r="B932" s="300"/>
      <c r="C932" s="300"/>
      <c r="D932" s="300"/>
      <c r="E932" s="300"/>
      <c r="F932" s="300"/>
      <c r="G932" s="300"/>
      <c r="H932" s="300"/>
      <c r="I932" s="300"/>
      <c r="J932" s="300"/>
      <c r="K932" s="300"/>
      <c r="L932" s="300"/>
      <c r="M932" s="300"/>
      <c r="N932" s="300"/>
      <c r="O932" s="300"/>
      <c r="P932" s="300"/>
      <c r="Q932" s="300"/>
      <c r="R932" s="300"/>
      <c r="S932" s="300"/>
      <c r="T932" s="300"/>
      <c r="U932" s="300"/>
      <c r="V932" s="300"/>
      <c r="W932" s="300"/>
      <c r="X932" s="300"/>
    </row>
    <row r="933">
      <c r="A933" s="300"/>
      <c r="B933" s="300"/>
      <c r="C933" s="300"/>
      <c r="D933" s="300"/>
      <c r="E933" s="300"/>
      <c r="F933" s="300"/>
      <c r="G933" s="300"/>
      <c r="H933" s="300"/>
      <c r="I933" s="300"/>
      <c r="J933" s="300"/>
      <c r="K933" s="300"/>
      <c r="L933" s="300"/>
      <c r="M933" s="300"/>
      <c r="N933" s="300"/>
      <c r="O933" s="300"/>
      <c r="P933" s="300"/>
      <c r="Q933" s="300"/>
      <c r="R933" s="300"/>
      <c r="S933" s="300"/>
      <c r="T933" s="300"/>
      <c r="U933" s="300"/>
      <c r="V933" s="300"/>
      <c r="W933" s="300"/>
      <c r="X933" s="300"/>
    </row>
    <row r="934">
      <c r="A934" s="300"/>
      <c r="B934" s="300"/>
      <c r="C934" s="300"/>
      <c r="D934" s="300"/>
      <c r="E934" s="300"/>
      <c r="F934" s="300"/>
      <c r="G934" s="300"/>
      <c r="H934" s="300"/>
      <c r="I934" s="300"/>
      <c r="J934" s="300"/>
      <c r="K934" s="300"/>
      <c r="L934" s="300"/>
      <c r="M934" s="300"/>
      <c r="N934" s="300"/>
      <c r="O934" s="300"/>
      <c r="P934" s="300"/>
      <c r="Q934" s="300"/>
      <c r="R934" s="300"/>
      <c r="S934" s="300"/>
      <c r="T934" s="300"/>
      <c r="U934" s="300"/>
      <c r="V934" s="300"/>
      <c r="W934" s="300"/>
      <c r="X934" s="300"/>
    </row>
    <row r="935">
      <c r="A935" s="300"/>
      <c r="B935" s="300"/>
      <c r="C935" s="300"/>
      <c r="D935" s="300"/>
      <c r="E935" s="300"/>
      <c r="F935" s="300"/>
      <c r="G935" s="300"/>
      <c r="H935" s="300"/>
      <c r="I935" s="300"/>
      <c r="J935" s="300"/>
      <c r="K935" s="300"/>
      <c r="L935" s="300"/>
      <c r="M935" s="300"/>
      <c r="N935" s="300"/>
      <c r="O935" s="300"/>
      <c r="P935" s="300"/>
      <c r="Q935" s="300"/>
      <c r="R935" s="300"/>
      <c r="S935" s="300"/>
      <c r="T935" s="300"/>
      <c r="U935" s="300"/>
      <c r="V935" s="300"/>
      <c r="W935" s="300"/>
      <c r="X935" s="300"/>
    </row>
    <row r="936">
      <c r="A936" s="300"/>
      <c r="B936" s="300"/>
      <c r="C936" s="300"/>
      <c r="D936" s="300"/>
      <c r="E936" s="300"/>
      <c r="F936" s="300"/>
      <c r="G936" s="300"/>
      <c r="H936" s="300"/>
      <c r="I936" s="300"/>
      <c r="J936" s="300"/>
      <c r="K936" s="300"/>
      <c r="L936" s="300"/>
      <c r="M936" s="300"/>
      <c r="N936" s="300"/>
      <c r="O936" s="300"/>
      <c r="P936" s="300"/>
      <c r="Q936" s="300"/>
      <c r="R936" s="300"/>
      <c r="S936" s="300"/>
      <c r="T936" s="300"/>
      <c r="U936" s="300"/>
      <c r="V936" s="300"/>
      <c r="W936" s="300"/>
      <c r="X936" s="300"/>
    </row>
    <row r="937">
      <c r="A937" s="300"/>
      <c r="B937" s="300"/>
      <c r="C937" s="300"/>
      <c r="D937" s="300"/>
      <c r="E937" s="300"/>
      <c r="F937" s="300"/>
      <c r="G937" s="300"/>
      <c r="H937" s="300"/>
      <c r="I937" s="300"/>
      <c r="J937" s="300"/>
      <c r="K937" s="300"/>
      <c r="L937" s="300"/>
      <c r="M937" s="300"/>
      <c r="N937" s="300"/>
      <c r="O937" s="300"/>
      <c r="P937" s="300"/>
      <c r="Q937" s="300"/>
      <c r="R937" s="300"/>
      <c r="S937" s="300"/>
      <c r="T937" s="300"/>
      <c r="U937" s="300"/>
      <c r="V937" s="300"/>
      <c r="W937" s="300"/>
      <c r="X937" s="300"/>
    </row>
    <row r="938">
      <c r="A938" s="300"/>
      <c r="B938" s="300"/>
      <c r="C938" s="300"/>
      <c r="D938" s="300"/>
      <c r="E938" s="300"/>
      <c r="F938" s="300"/>
      <c r="G938" s="300"/>
      <c r="H938" s="300"/>
      <c r="I938" s="300"/>
      <c r="J938" s="300"/>
      <c r="K938" s="300"/>
      <c r="L938" s="300"/>
      <c r="M938" s="300"/>
      <c r="N938" s="300"/>
      <c r="O938" s="300"/>
      <c r="P938" s="300"/>
      <c r="Q938" s="300"/>
      <c r="R938" s="300"/>
      <c r="S938" s="300"/>
      <c r="T938" s="300"/>
      <c r="U938" s="300"/>
      <c r="V938" s="300"/>
      <c r="W938" s="300"/>
      <c r="X938" s="300"/>
    </row>
    <row r="939">
      <c r="A939" s="300"/>
      <c r="B939" s="300"/>
      <c r="C939" s="300"/>
      <c r="D939" s="300"/>
      <c r="E939" s="300"/>
      <c r="F939" s="300"/>
      <c r="G939" s="300"/>
      <c r="H939" s="300"/>
      <c r="I939" s="300"/>
      <c r="J939" s="300"/>
      <c r="K939" s="300"/>
      <c r="L939" s="300"/>
      <c r="M939" s="300"/>
      <c r="N939" s="300"/>
      <c r="O939" s="300"/>
      <c r="P939" s="300"/>
      <c r="Q939" s="300"/>
      <c r="R939" s="300"/>
      <c r="S939" s="300"/>
      <c r="T939" s="300"/>
      <c r="U939" s="300"/>
      <c r="V939" s="300"/>
      <c r="W939" s="300"/>
      <c r="X939" s="300"/>
    </row>
    <row r="940">
      <c r="A940" s="300"/>
      <c r="B940" s="300"/>
      <c r="C940" s="300"/>
      <c r="D940" s="300"/>
      <c r="E940" s="300"/>
      <c r="F940" s="300"/>
      <c r="G940" s="300"/>
      <c r="H940" s="300"/>
      <c r="I940" s="300"/>
      <c r="J940" s="300"/>
      <c r="K940" s="300"/>
      <c r="L940" s="300"/>
      <c r="M940" s="300"/>
      <c r="N940" s="300"/>
      <c r="O940" s="300"/>
      <c r="P940" s="300"/>
      <c r="Q940" s="300"/>
      <c r="R940" s="300"/>
      <c r="S940" s="300"/>
      <c r="T940" s="300"/>
      <c r="U940" s="300"/>
      <c r="V940" s="300"/>
      <c r="W940" s="300"/>
      <c r="X940" s="300"/>
    </row>
    <row r="941">
      <c r="A941" s="300"/>
      <c r="B941" s="300"/>
      <c r="C941" s="300"/>
      <c r="D941" s="300"/>
      <c r="E941" s="300"/>
      <c r="F941" s="300"/>
      <c r="G941" s="300"/>
      <c r="H941" s="300"/>
      <c r="I941" s="300"/>
      <c r="J941" s="300"/>
      <c r="K941" s="300"/>
      <c r="L941" s="300"/>
      <c r="M941" s="300"/>
      <c r="N941" s="300"/>
      <c r="O941" s="300"/>
      <c r="P941" s="300"/>
      <c r="Q941" s="300"/>
      <c r="R941" s="300"/>
      <c r="S941" s="300"/>
      <c r="T941" s="300"/>
      <c r="U941" s="300"/>
      <c r="V941" s="300"/>
      <c r="W941" s="300"/>
      <c r="X941" s="300"/>
    </row>
    <row r="942">
      <c r="A942" s="300"/>
      <c r="B942" s="300"/>
      <c r="C942" s="300"/>
      <c r="D942" s="300"/>
      <c r="E942" s="300"/>
      <c r="F942" s="300"/>
      <c r="G942" s="300"/>
      <c r="H942" s="300"/>
      <c r="I942" s="300"/>
      <c r="J942" s="300"/>
      <c r="K942" s="300"/>
      <c r="L942" s="300"/>
      <c r="M942" s="300"/>
      <c r="N942" s="300"/>
      <c r="O942" s="300"/>
      <c r="P942" s="300"/>
      <c r="Q942" s="300"/>
      <c r="R942" s="300"/>
      <c r="S942" s="300"/>
      <c r="T942" s="300"/>
      <c r="U942" s="300"/>
      <c r="V942" s="300"/>
      <c r="W942" s="300"/>
      <c r="X942" s="300"/>
    </row>
    <row r="943">
      <c r="A943" s="300"/>
      <c r="B943" s="300"/>
      <c r="C943" s="300"/>
      <c r="D943" s="300"/>
      <c r="E943" s="300"/>
      <c r="F943" s="300"/>
      <c r="G943" s="300"/>
      <c r="H943" s="300"/>
      <c r="I943" s="300"/>
      <c r="J943" s="300"/>
      <c r="K943" s="300"/>
      <c r="L943" s="300"/>
      <c r="M943" s="300"/>
      <c r="N943" s="300"/>
      <c r="O943" s="300"/>
      <c r="P943" s="300"/>
      <c r="Q943" s="300"/>
      <c r="R943" s="300"/>
      <c r="S943" s="300"/>
      <c r="T943" s="300"/>
      <c r="U943" s="300"/>
      <c r="V943" s="300"/>
      <c r="W943" s="300"/>
      <c r="X943" s="300"/>
    </row>
    <row r="944">
      <c r="A944" s="300"/>
      <c r="B944" s="300"/>
      <c r="C944" s="300"/>
      <c r="D944" s="300"/>
      <c r="E944" s="300"/>
      <c r="F944" s="300"/>
      <c r="G944" s="300"/>
      <c r="H944" s="300"/>
      <c r="I944" s="300"/>
      <c r="J944" s="300"/>
      <c r="K944" s="300"/>
      <c r="L944" s="300"/>
      <c r="M944" s="300"/>
      <c r="N944" s="300"/>
      <c r="O944" s="300"/>
      <c r="P944" s="300"/>
      <c r="Q944" s="300"/>
      <c r="R944" s="300"/>
      <c r="S944" s="300"/>
      <c r="T944" s="300"/>
      <c r="U944" s="300"/>
      <c r="V944" s="300"/>
      <c r="W944" s="300"/>
      <c r="X944" s="300"/>
    </row>
    <row r="945">
      <c r="A945" s="300"/>
      <c r="B945" s="300"/>
      <c r="C945" s="300"/>
      <c r="D945" s="300"/>
      <c r="E945" s="300"/>
      <c r="F945" s="300"/>
      <c r="G945" s="300"/>
      <c r="H945" s="300"/>
      <c r="I945" s="300"/>
      <c r="J945" s="300"/>
      <c r="K945" s="300"/>
      <c r="L945" s="300"/>
      <c r="M945" s="300"/>
      <c r="N945" s="300"/>
      <c r="O945" s="300"/>
      <c r="P945" s="300"/>
      <c r="Q945" s="300"/>
      <c r="R945" s="300"/>
      <c r="S945" s="300"/>
      <c r="T945" s="300"/>
      <c r="U945" s="300"/>
      <c r="V945" s="300"/>
      <c r="W945" s="300"/>
      <c r="X945" s="300"/>
    </row>
    <row r="946">
      <c r="A946" s="300"/>
      <c r="B946" s="300"/>
      <c r="C946" s="300"/>
      <c r="D946" s="300"/>
      <c r="E946" s="300"/>
      <c r="F946" s="300"/>
      <c r="G946" s="300"/>
      <c r="H946" s="300"/>
      <c r="I946" s="300"/>
      <c r="J946" s="300"/>
      <c r="K946" s="300"/>
      <c r="L946" s="300"/>
      <c r="M946" s="300"/>
      <c r="N946" s="300"/>
      <c r="O946" s="300"/>
      <c r="P946" s="300"/>
      <c r="Q946" s="300"/>
      <c r="R946" s="300"/>
      <c r="S946" s="300"/>
      <c r="T946" s="300"/>
      <c r="U946" s="300"/>
      <c r="V946" s="300"/>
      <c r="W946" s="300"/>
      <c r="X946" s="300"/>
    </row>
    <row r="947">
      <c r="A947" s="300"/>
      <c r="B947" s="300"/>
      <c r="C947" s="300"/>
      <c r="D947" s="300"/>
      <c r="E947" s="300"/>
      <c r="F947" s="300"/>
      <c r="G947" s="300"/>
      <c r="H947" s="300"/>
      <c r="I947" s="300"/>
      <c r="J947" s="300"/>
      <c r="K947" s="300"/>
      <c r="L947" s="300"/>
      <c r="M947" s="300"/>
      <c r="N947" s="300"/>
      <c r="O947" s="300"/>
      <c r="P947" s="300"/>
      <c r="Q947" s="300"/>
      <c r="R947" s="300"/>
      <c r="S947" s="300"/>
      <c r="T947" s="300"/>
      <c r="U947" s="300"/>
      <c r="V947" s="300"/>
      <c r="W947" s="300"/>
      <c r="X947" s="300"/>
    </row>
    <row r="948">
      <c r="A948" s="300"/>
      <c r="B948" s="300"/>
      <c r="C948" s="300"/>
      <c r="D948" s="300"/>
      <c r="E948" s="300"/>
      <c r="F948" s="300"/>
      <c r="G948" s="300"/>
      <c r="H948" s="300"/>
      <c r="I948" s="300"/>
      <c r="J948" s="300"/>
      <c r="K948" s="300"/>
      <c r="L948" s="300"/>
      <c r="M948" s="300"/>
      <c r="N948" s="300"/>
      <c r="O948" s="300"/>
      <c r="P948" s="300"/>
      <c r="Q948" s="300"/>
      <c r="R948" s="300"/>
      <c r="S948" s="300"/>
      <c r="T948" s="300"/>
      <c r="U948" s="300"/>
      <c r="V948" s="300"/>
      <c r="W948" s="300"/>
      <c r="X948" s="300"/>
    </row>
    <row r="949">
      <c r="A949" s="300"/>
      <c r="B949" s="300"/>
      <c r="C949" s="300"/>
      <c r="D949" s="300"/>
      <c r="E949" s="300"/>
      <c r="F949" s="300"/>
      <c r="G949" s="300"/>
      <c r="H949" s="300"/>
      <c r="I949" s="300"/>
      <c r="J949" s="300"/>
      <c r="K949" s="300"/>
      <c r="L949" s="300"/>
      <c r="M949" s="300"/>
      <c r="N949" s="300"/>
      <c r="O949" s="300"/>
      <c r="P949" s="300"/>
      <c r="Q949" s="300"/>
      <c r="R949" s="300"/>
      <c r="S949" s="300"/>
      <c r="T949" s="300"/>
      <c r="U949" s="300"/>
      <c r="V949" s="300"/>
      <c r="W949" s="300"/>
      <c r="X949" s="300"/>
    </row>
    <row r="950">
      <c r="A950" s="300"/>
      <c r="B950" s="300"/>
      <c r="C950" s="300"/>
      <c r="D950" s="300"/>
      <c r="E950" s="300"/>
      <c r="F950" s="300"/>
      <c r="G950" s="300"/>
      <c r="H950" s="300"/>
      <c r="I950" s="300"/>
      <c r="J950" s="300"/>
      <c r="K950" s="300"/>
      <c r="L950" s="300"/>
      <c r="M950" s="300"/>
      <c r="N950" s="300"/>
      <c r="O950" s="300"/>
      <c r="P950" s="300"/>
      <c r="Q950" s="300"/>
      <c r="R950" s="300"/>
      <c r="S950" s="300"/>
      <c r="T950" s="300"/>
      <c r="U950" s="300"/>
      <c r="V950" s="300"/>
      <c r="W950" s="300"/>
      <c r="X950" s="300"/>
    </row>
    <row r="951">
      <c r="A951" s="300"/>
      <c r="B951" s="300"/>
      <c r="C951" s="300"/>
      <c r="D951" s="300"/>
      <c r="E951" s="300"/>
      <c r="F951" s="300"/>
      <c r="G951" s="300"/>
      <c r="H951" s="300"/>
      <c r="I951" s="300"/>
      <c r="J951" s="300"/>
      <c r="K951" s="300"/>
      <c r="L951" s="300"/>
      <c r="M951" s="300"/>
      <c r="N951" s="300"/>
      <c r="O951" s="300"/>
      <c r="P951" s="300"/>
      <c r="Q951" s="300"/>
      <c r="R951" s="300"/>
      <c r="S951" s="300"/>
      <c r="T951" s="300"/>
      <c r="U951" s="300"/>
      <c r="V951" s="300"/>
      <c r="W951" s="300"/>
      <c r="X951" s="300"/>
    </row>
    <row r="952">
      <c r="A952" s="300"/>
      <c r="B952" s="300"/>
      <c r="C952" s="300"/>
      <c r="D952" s="300"/>
      <c r="E952" s="300"/>
      <c r="F952" s="300"/>
      <c r="G952" s="300"/>
      <c r="H952" s="300"/>
      <c r="I952" s="300"/>
      <c r="J952" s="300"/>
      <c r="K952" s="300"/>
      <c r="L952" s="300"/>
      <c r="M952" s="300"/>
      <c r="N952" s="300"/>
      <c r="O952" s="300"/>
      <c r="P952" s="300"/>
      <c r="Q952" s="300"/>
      <c r="R952" s="300"/>
      <c r="S952" s="300"/>
      <c r="T952" s="300"/>
      <c r="U952" s="300"/>
      <c r="V952" s="300"/>
      <c r="W952" s="300"/>
      <c r="X952" s="300"/>
    </row>
    <row r="953">
      <c r="A953" s="300"/>
      <c r="B953" s="300"/>
      <c r="C953" s="300"/>
      <c r="D953" s="300"/>
      <c r="E953" s="300"/>
      <c r="F953" s="300"/>
      <c r="G953" s="300"/>
      <c r="H953" s="300"/>
      <c r="I953" s="300"/>
      <c r="J953" s="300"/>
      <c r="K953" s="300"/>
      <c r="L953" s="300"/>
      <c r="M953" s="300"/>
      <c r="N953" s="300"/>
      <c r="O953" s="300"/>
      <c r="P953" s="300"/>
      <c r="Q953" s="300"/>
      <c r="R953" s="300"/>
      <c r="S953" s="300"/>
      <c r="T953" s="300"/>
      <c r="U953" s="300"/>
      <c r="V953" s="300"/>
      <c r="W953" s="300"/>
      <c r="X953" s="300"/>
    </row>
    <row r="954">
      <c r="A954" s="300"/>
      <c r="B954" s="300"/>
      <c r="C954" s="300"/>
      <c r="D954" s="300"/>
      <c r="E954" s="300"/>
      <c r="F954" s="300"/>
      <c r="G954" s="300"/>
      <c r="H954" s="300"/>
      <c r="I954" s="300"/>
      <c r="J954" s="300"/>
      <c r="K954" s="300"/>
      <c r="L954" s="300"/>
      <c r="M954" s="300"/>
      <c r="N954" s="300"/>
      <c r="O954" s="300"/>
      <c r="P954" s="300"/>
      <c r="Q954" s="300"/>
      <c r="R954" s="300"/>
      <c r="S954" s="300"/>
      <c r="T954" s="300"/>
      <c r="U954" s="300"/>
      <c r="V954" s="300"/>
      <c r="W954" s="300"/>
      <c r="X954" s="300"/>
    </row>
    <row r="955">
      <c r="A955" s="300"/>
      <c r="B955" s="300"/>
      <c r="C955" s="300"/>
      <c r="D955" s="300"/>
      <c r="E955" s="300"/>
      <c r="F955" s="300"/>
      <c r="G955" s="300"/>
      <c r="H955" s="300"/>
      <c r="I955" s="300"/>
      <c r="J955" s="300"/>
      <c r="K955" s="300"/>
      <c r="L955" s="300"/>
      <c r="M955" s="300"/>
      <c r="N955" s="300"/>
      <c r="O955" s="300"/>
      <c r="P955" s="300"/>
      <c r="Q955" s="300"/>
      <c r="R955" s="300"/>
      <c r="S955" s="300"/>
      <c r="T955" s="300"/>
      <c r="U955" s="300"/>
      <c r="V955" s="300"/>
      <c r="W955" s="300"/>
      <c r="X955" s="300"/>
    </row>
    <row r="956">
      <c r="A956" s="300"/>
      <c r="B956" s="300"/>
      <c r="C956" s="300"/>
      <c r="D956" s="300"/>
      <c r="E956" s="300"/>
      <c r="F956" s="300"/>
      <c r="G956" s="300"/>
      <c r="H956" s="300"/>
      <c r="I956" s="300"/>
      <c r="J956" s="300"/>
      <c r="K956" s="300"/>
      <c r="L956" s="300"/>
      <c r="M956" s="300"/>
      <c r="N956" s="300"/>
      <c r="O956" s="300"/>
      <c r="P956" s="300"/>
      <c r="Q956" s="300"/>
      <c r="R956" s="300"/>
      <c r="S956" s="300"/>
      <c r="T956" s="300"/>
      <c r="U956" s="300"/>
      <c r="V956" s="300"/>
      <c r="W956" s="300"/>
      <c r="X956" s="300"/>
    </row>
    <row r="957">
      <c r="A957" s="300"/>
      <c r="B957" s="300"/>
      <c r="C957" s="300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</row>
    <row r="958">
      <c r="A958" s="300"/>
      <c r="B958" s="300"/>
      <c r="C958" s="300"/>
      <c r="D958" s="300"/>
      <c r="E958" s="300"/>
      <c r="F958" s="300"/>
      <c r="G958" s="300"/>
      <c r="H958" s="300"/>
      <c r="I958" s="300"/>
      <c r="J958" s="300"/>
      <c r="K958" s="300"/>
      <c r="L958" s="300"/>
      <c r="M958" s="300"/>
      <c r="N958" s="300"/>
      <c r="O958" s="300"/>
      <c r="P958" s="300"/>
      <c r="Q958" s="300"/>
      <c r="R958" s="300"/>
      <c r="S958" s="300"/>
      <c r="T958" s="300"/>
      <c r="U958" s="300"/>
      <c r="V958" s="300"/>
      <c r="W958" s="300"/>
      <c r="X958" s="300"/>
    </row>
    <row r="959">
      <c r="A959" s="300"/>
      <c r="B959" s="300"/>
      <c r="C959" s="300"/>
      <c r="D959" s="300"/>
      <c r="E959" s="300"/>
      <c r="F959" s="300"/>
      <c r="G959" s="300"/>
      <c r="H959" s="300"/>
      <c r="I959" s="300"/>
      <c r="J959" s="300"/>
      <c r="K959" s="300"/>
      <c r="L959" s="300"/>
      <c r="M959" s="300"/>
      <c r="N959" s="300"/>
      <c r="O959" s="300"/>
      <c r="P959" s="300"/>
      <c r="Q959" s="300"/>
      <c r="R959" s="300"/>
      <c r="S959" s="300"/>
      <c r="T959" s="300"/>
      <c r="U959" s="300"/>
      <c r="V959" s="300"/>
      <c r="W959" s="300"/>
      <c r="X959" s="300"/>
    </row>
    <row r="960">
      <c r="A960" s="300"/>
      <c r="B960" s="300"/>
      <c r="C960" s="300"/>
      <c r="D960" s="300"/>
      <c r="E960" s="300"/>
      <c r="F960" s="300"/>
      <c r="G960" s="300"/>
      <c r="H960" s="300"/>
      <c r="I960" s="300"/>
      <c r="J960" s="300"/>
      <c r="K960" s="300"/>
      <c r="L960" s="300"/>
      <c r="M960" s="300"/>
      <c r="N960" s="300"/>
      <c r="O960" s="300"/>
      <c r="P960" s="300"/>
      <c r="Q960" s="300"/>
      <c r="R960" s="300"/>
      <c r="S960" s="300"/>
      <c r="T960" s="300"/>
      <c r="U960" s="300"/>
      <c r="V960" s="300"/>
      <c r="W960" s="300"/>
      <c r="X960" s="300"/>
    </row>
    <row r="961">
      <c r="A961" s="300"/>
      <c r="B961" s="300"/>
      <c r="C961" s="300"/>
      <c r="D961" s="300"/>
      <c r="E961" s="300"/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300"/>
      <c r="S961" s="300"/>
      <c r="T961" s="300"/>
      <c r="U961" s="300"/>
      <c r="V961" s="300"/>
      <c r="W961" s="300"/>
      <c r="X961" s="300"/>
    </row>
    <row r="962">
      <c r="A962" s="300"/>
      <c r="B962" s="300"/>
      <c r="C962" s="300"/>
      <c r="D962" s="300"/>
      <c r="E962" s="300"/>
      <c r="F962" s="300"/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300"/>
      <c r="S962" s="300"/>
      <c r="T962" s="300"/>
      <c r="U962" s="300"/>
      <c r="V962" s="300"/>
      <c r="W962" s="300"/>
      <c r="X962" s="300"/>
    </row>
    <row r="963">
      <c r="A963" s="300"/>
      <c r="B963" s="300"/>
      <c r="C963" s="300"/>
      <c r="D963" s="300"/>
      <c r="E963" s="300"/>
      <c r="F963" s="300"/>
      <c r="G963" s="300"/>
      <c r="H963" s="300"/>
      <c r="I963" s="300"/>
      <c r="J963" s="300"/>
      <c r="K963" s="300"/>
      <c r="L963" s="300"/>
      <c r="M963" s="300"/>
      <c r="N963" s="300"/>
      <c r="O963" s="300"/>
      <c r="P963" s="300"/>
      <c r="Q963" s="300"/>
      <c r="R963" s="300"/>
      <c r="S963" s="300"/>
      <c r="T963" s="300"/>
      <c r="U963" s="300"/>
      <c r="V963" s="300"/>
      <c r="W963" s="300"/>
      <c r="X963" s="300"/>
    </row>
    <row r="964">
      <c r="A964" s="300"/>
      <c r="B964" s="300"/>
      <c r="C964" s="300"/>
      <c r="D964" s="300"/>
      <c r="E964" s="300"/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300"/>
      <c r="S964" s="300"/>
      <c r="T964" s="300"/>
      <c r="U964" s="300"/>
      <c r="V964" s="300"/>
      <c r="W964" s="300"/>
      <c r="X964" s="300"/>
    </row>
    <row r="965">
      <c r="A965" s="300"/>
      <c r="B965" s="300"/>
      <c r="C965" s="300"/>
      <c r="D965" s="300"/>
      <c r="E965" s="300"/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300"/>
      <c r="S965" s="300"/>
      <c r="T965" s="300"/>
      <c r="U965" s="300"/>
      <c r="V965" s="300"/>
      <c r="W965" s="300"/>
      <c r="X965" s="300"/>
    </row>
    <row r="966">
      <c r="A966" s="300"/>
      <c r="B966" s="300"/>
      <c r="C966" s="300"/>
      <c r="D966" s="300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</row>
    <row r="967">
      <c r="A967" s="300"/>
      <c r="B967" s="300"/>
      <c r="C967" s="300"/>
      <c r="D967" s="300"/>
      <c r="E967" s="300"/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300"/>
      <c r="S967" s="300"/>
      <c r="T967" s="300"/>
      <c r="U967" s="300"/>
      <c r="V967" s="300"/>
      <c r="W967" s="300"/>
      <c r="X967" s="300"/>
    </row>
    <row r="968">
      <c r="A968" s="300"/>
      <c r="B968" s="300"/>
      <c r="C968" s="300"/>
      <c r="D968" s="300"/>
      <c r="E968" s="300"/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300"/>
      <c r="S968" s="300"/>
      <c r="T968" s="300"/>
      <c r="U968" s="300"/>
      <c r="V968" s="300"/>
      <c r="W968" s="300"/>
      <c r="X968" s="300"/>
    </row>
    <row r="969">
      <c r="A969" s="300"/>
      <c r="B969" s="300"/>
      <c r="C969" s="300"/>
      <c r="D969" s="300"/>
      <c r="E969" s="300"/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300"/>
      <c r="S969" s="300"/>
      <c r="T969" s="300"/>
      <c r="U969" s="300"/>
      <c r="V969" s="300"/>
      <c r="W969" s="300"/>
      <c r="X969" s="300"/>
    </row>
    <row r="970">
      <c r="A970" s="300"/>
      <c r="B970" s="300"/>
      <c r="C970" s="300"/>
      <c r="D970" s="300"/>
      <c r="E970" s="300"/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300"/>
      <c r="S970" s="300"/>
      <c r="T970" s="300"/>
      <c r="U970" s="300"/>
      <c r="V970" s="300"/>
      <c r="W970" s="300"/>
      <c r="X970" s="300"/>
    </row>
    <row r="971">
      <c r="A971" s="300"/>
      <c r="B971" s="300"/>
      <c r="C971" s="300"/>
      <c r="D971" s="300"/>
      <c r="E971" s="300"/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300"/>
      <c r="S971" s="300"/>
      <c r="T971" s="300"/>
      <c r="U971" s="300"/>
      <c r="V971" s="300"/>
      <c r="W971" s="300"/>
      <c r="X971" s="300"/>
    </row>
    <row r="972">
      <c r="A972" s="300"/>
      <c r="B972" s="300"/>
      <c r="C972" s="300"/>
      <c r="D972" s="300"/>
      <c r="E972" s="300"/>
      <c r="F972" s="300"/>
      <c r="G972" s="300"/>
      <c r="H972" s="300"/>
      <c r="I972" s="300"/>
      <c r="J972" s="300"/>
      <c r="K972" s="300"/>
      <c r="L972" s="300"/>
      <c r="M972" s="300"/>
      <c r="N972" s="300"/>
      <c r="O972" s="300"/>
      <c r="P972" s="300"/>
      <c r="Q972" s="300"/>
      <c r="R972" s="300"/>
      <c r="S972" s="300"/>
      <c r="T972" s="300"/>
      <c r="U972" s="300"/>
      <c r="V972" s="300"/>
      <c r="W972" s="300"/>
      <c r="X972" s="300"/>
    </row>
    <row r="973">
      <c r="A973" s="300"/>
      <c r="B973" s="300"/>
      <c r="C973" s="300"/>
      <c r="D973" s="300"/>
      <c r="E973" s="300"/>
      <c r="F973" s="300"/>
      <c r="G973" s="300"/>
      <c r="H973" s="300"/>
      <c r="I973" s="300"/>
      <c r="J973" s="300"/>
      <c r="K973" s="300"/>
      <c r="L973" s="300"/>
      <c r="M973" s="300"/>
      <c r="N973" s="300"/>
      <c r="O973" s="300"/>
      <c r="P973" s="300"/>
      <c r="Q973" s="300"/>
      <c r="R973" s="300"/>
      <c r="S973" s="300"/>
      <c r="T973" s="300"/>
      <c r="U973" s="300"/>
      <c r="V973" s="300"/>
      <c r="W973" s="300"/>
      <c r="X973" s="300"/>
    </row>
    <row r="974">
      <c r="A974" s="300"/>
      <c r="B974" s="300"/>
      <c r="C974" s="300"/>
      <c r="D974" s="300"/>
      <c r="E974" s="300"/>
      <c r="F974" s="300"/>
      <c r="G974" s="300"/>
      <c r="H974" s="300"/>
      <c r="I974" s="300"/>
      <c r="J974" s="300"/>
      <c r="K974" s="300"/>
      <c r="L974" s="300"/>
      <c r="M974" s="300"/>
      <c r="N974" s="300"/>
      <c r="O974" s="300"/>
      <c r="P974" s="300"/>
      <c r="Q974" s="300"/>
      <c r="R974" s="300"/>
      <c r="S974" s="300"/>
      <c r="T974" s="300"/>
      <c r="U974" s="300"/>
      <c r="V974" s="300"/>
      <c r="W974" s="300"/>
      <c r="X974" s="300"/>
    </row>
    <row r="975">
      <c r="A975" s="300"/>
      <c r="B975" s="300"/>
      <c r="C975" s="300"/>
      <c r="D975" s="300"/>
      <c r="E975" s="300"/>
      <c r="F975" s="300"/>
      <c r="G975" s="300"/>
      <c r="H975" s="300"/>
      <c r="I975" s="300"/>
      <c r="J975" s="300"/>
      <c r="K975" s="300"/>
      <c r="L975" s="300"/>
      <c r="M975" s="300"/>
      <c r="N975" s="300"/>
      <c r="O975" s="300"/>
      <c r="P975" s="300"/>
      <c r="Q975" s="300"/>
      <c r="R975" s="300"/>
      <c r="S975" s="300"/>
      <c r="T975" s="300"/>
      <c r="U975" s="300"/>
      <c r="V975" s="300"/>
      <c r="W975" s="300"/>
      <c r="X975" s="300"/>
    </row>
    <row r="976">
      <c r="A976" s="300"/>
      <c r="B976" s="300"/>
      <c r="C976" s="300"/>
      <c r="D976" s="30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</row>
    <row r="977">
      <c r="A977" s="300"/>
      <c r="B977" s="300"/>
      <c r="C977" s="300"/>
      <c r="D977" s="30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</row>
    <row r="978">
      <c r="A978" s="300"/>
      <c r="B978" s="300"/>
      <c r="C978" s="300"/>
      <c r="D978" s="30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</row>
    <row r="979">
      <c r="A979" s="300"/>
      <c r="B979" s="300"/>
      <c r="C979" s="300"/>
      <c r="D979" s="30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</row>
    <row r="980">
      <c r="A980" s="300"/>
      <c r="B980" s="300"/>
      <c r="C980" s="300"/>
      <c r="D980" s="30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</row>
    <row r="981">
      <c r="A981" s="300"/>
      <c r="B981" s="300"/>
      <c r="C981" s="300"/>
      <c r="D981" s="30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</row>
    <row r="982">
      <c r="A982" s="300"/>
      <c r="B982" s="300"/>
      <c r="C982" s="300"/>
      <c r="D982" s="30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</row>
    <row r="983">
      <c r="A983" s="300"/>
      <c r="B983" s="300"/>
      <c r="C983" s="300"/>
      <c r="D983" s="30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</row>
    <row r="984">
      <c r="A984" s="300"/>
      <c r="B984" s="300"/>
      <c r="C984" s="300"/>
      <c r="D984" s="30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</row>
    <row r="985">
      <c r="A985" s="300"/>
      <c r="B985" s="300"/>
      <c r="C985" s="300"/>
      <c r="D985" s="30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</row>
    <row r="986">
      <c r="A986" s="300"/>
      <c r="B986" s="300"/>
      <c r="C986" s="300"/>
      <c r="D986" s="300"/>
      <c r="E986" s="300"/>
      <c r="F986" s="300"/>
      <c r="G986" s="300"/>
      <c r="H986" s="300"/>
      <c r="I986" s="300"/>
      <c r="J986" s="300"/>
      <c r="K986" s="300"/>
      <c r="L986" s="300"/>
      <c r="M986" s="300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</row>
    <row r="987">
      <c r="A987" s="300"/>
      <c r="B987" s="300"/>
      <c r="C987" s="300"/>
      <c r="D987" s="300"/>
      <c r="E987" s="300"/>
      <c r="F987" s="300"/>
      <c r="G987" s="300"/>
      <c r="H987" s="300"/>
      <c r="I987" s="300"/>
      <c r="J987" s="300"/>
      <c r="K987" s="300"/>
      <c r="L987" s="300"/>
      <c r="M987" s="300"/>
      <c r="N987" s="300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</row>
    <row r="988">
      <c r="A988" s="300"/>
      <c r="B988" s="300"/>
      <c r="C988" s="300"/>
      <c r="D988" s="300"/>
      <c r="E988" s="300"/>
      <c r="F988" s="300"/>
      <c r="G988" s="300"/>
      <c r="H988" s="300"/>
      <c r="I988" s="300"/>
      <c r="J988" s="300"/>
      <c r="K988" s="300"/>
      <c r="L988" s="300"/>
      <c r="M988" s="300"/>
      <c r="N988" s="300"/>
      <c r="O988" s="300"/>
      <c r="P988" s="300"/>
      <c r="Q988" s="300"/>
      <c r="R988" s="300"/>
      <c r="S988" s="300"/>
      <c r="T988" s="300"/>
      <c r="U988" s="300"/>
      <c r="V988" s="300"/>
      <c r="W988" s="300"/>
      <c r="X988" s="300"/>
    </row>
    <row r="989">
      <c r="A989" s="300"/>
      <c r="B989" s="300"/>
      <c r="C989" s="300"/>
      <c r="D989" s="300"/>
      <c r="E989" s="300"/>
      <c r="F989" s="300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  <c r="Q989" s="300"/>
      <c r="R989" s="300"/>
      <c r="S989" s="300"/>
      <c r="T989" s="300"/>
      <c r="U989" s="300"/>
      <c r="V989" s="300"/>
      <c r="W989" s="300"/>
      <c r="X989" s="300"/>
    </row>
    <row r="990">
      <c r="A990" s="300"/>
      <c r="B990" s="300"/>
      <c r="C990" s="300"/>
      <c r="D990" s="300"/>
      <c r="E990" s="300"/>
      <c r="F990" s="300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  <c r="Q990" s="300"/>
      <c r="R990" s="300"/>
      <c r="S990" s="300"/>
      <c r="T990" s="300"/>
      <c r="U990" s="300"/>
      <c r="V990" s="300"/>
      <c r="W990" s="300"/>
      <c r="X990" s="300"/>
    </row>
    <row r="991">
      <c r="A991" s="300"/>
      <c r="B991" s="300"/>
      <c r="C991" s="300"/>
      <c r="D991" s="300"/>
      <c r="E991" s="300"/>
      <c r="F991" s="300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  <c r="Q991" s="300"/>
      <c r="R991" s="300"/>
      <c r="S991" s="300"/>
      <c r="T991" s="300"/>
      <c r="U991" s="300"/>
      <c r="V991" s="300"/>
      <c r="W991" s="300"/>
      <c r="X991" s="300"/>
    </row>
    <row r="992">
      <c r="A992" s="300"/>
      <c r="B992" s="300"/>
      <c r="C992" s="300"/>
      <c r="D992" s="300"/>
      <c r="E992" s="300"/>
      <c r="F992" s="300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  <c r="Q992" s="300"/>
      <c r="R992" s="300"/>
      <c r="S992" s="300"/>
      <c r="T992" s="300"/>
      <c r="U992" s="300"/>
      <c r="V992" s="300"/>
      <c r="W992" s="300"/>
      <c r="X992" s="300"/>
    </row>
    <row r="993">
      <c r="A993" s="300"/>
      <c r="B993" s="300"/>
      <c r="C993" s="300"/>
      <c r="D993" s="300"/>
      <c r="E993" s="300"/>
      <c r="F993" s="300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  <c r="Q993" s="300"/>
      <c r="R993" s="300"/>
      <c r="S993" s="300"/>
      <c r="T993" s="300"/>
      <c r="U993" s="300"/>
      <c r="V993" s="300"/>
      <c r="W993" s="300"/>
      <c r="X993" s="300"/>
    </row>
    <row r="994">
      <c r="A994" s="300"/>
      <c r="B994" s="300"/>
      <c r="C994" s="300"/>
      <c r="D994" s="300"/>
      <c r="E994" s="300"/>
      <c r="F994" s="300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  <c r="Q994" s="300"/>
      <c r="R994" s="300"/>
      <c r="S994" s="300"/>
      <c r="T994" s="300"/>
      <c r="U994" s="300"/>
      <c r="V994" s="300"/>
      <c r="W994" s="300"/>
      <c r="X994" s="300"/>
    </row>
    <row r="995">
      <c r="A995" s="300"/>
      <c r="B995" s="300"/>
      <c r="C995" s="300"/>
      <c r="D995" s="300"/>
      <c r="E995" s="300"/>
      <c r="F995" s="300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  <c r="Q995" s="300"/>
      <c r="R995" s="300"/>
      <c r="S995" s="300"/>
      <c r="T995" s="300"/>
      <c r="U995" s="300"/>
      <c r="V995" s="300"/>
      <c r="W995" s="300"/>
      <c r="X995" s="300"/>
    </row>
    <row r="996">
      <c r="A996" s="300"/>
      <c r="B996" s="300"/>
      <c r="C996" s="300"/>
      <c r="D996" s="30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</row>
    <row r="997">
      <c r="A997" s="300"/>
      <c r="B997" s="300"/>
      <c r="C997" s="300"/>
      <c r="D997" s="300"/>
      <c r="E997" s="300"/>
      <c r="F997" s="300"/>
      <c r="G997" s="300"/>
      <c r="H997" s="300"/>
      <c r="I997" s="300"/>
      <c r="J997" s="300"/>
      <c r="K997" s="300"/>
      <c r="L997" s="300"/>
      <c r="M997" s="300"/>
      <c r="N997" s="300"/>
      <c r="O997" s="300"/>
      <c r="P997" s="300"/>
      <c r="Q997" s="300"/>
      <c r="R997" s="300"/>
      <c r="S997" s="300"/>
      <c r="T997" s="300"/>
      <c r="U997" s="300"/>
      <c r="V997" s="300"/>
      <c r="W997" s="300"/>
      <c r="X997" s="300"/>
    </row>
    <row r="998">
      <c r="A998" s="300"/>
      <c r="B998" s="300"/>
      <c r="C998" s="300"/>
      <c r="D998" s="300"/>
      <c r="E998" s="300"/>
      <c r="F998" s="300"/>
      <c r="G998" s="300"/>
      <c r="H998" s="300"/>
      <c r="I998" s="300"/>
      <c r="J998" s="300"/>
      <c r="K998" s="300"/>
      <c r="L998" s="300"/>
      <c r="M998" s="300"/>
      <c r="N998" s="300"/>
      <c r="O998" s="300"/>
      <c r="P998" s="300"/>
      <c r="Q998" s="300"/>
      <c r="R998" s="300"/>
      <c r="S998" s="300"/>
      <c r="T998" s="300"/>
      <c r="U998" s="300"/>
      <c r="V998" s="300"/>
      <c r="W998" s="300"/>
      <c r="X998" s="300"/>
    </row>
    <row r="999">
      <c r="A999" s="300"/>
      <c r="B999" s="300"/>
      <c r="C999" s="300"/>
      <c r="D999" s="300"/>
      <c r="E999" s="300"/>
      <c r="F999" s="300"/>
      <c r="G999" s="300"/>
      <c r="H999" s="300"/>
      <c r="I999" s="300"/>
      <c r="J999" s="300"/>
      <c r="K999" s="300"/>
      <c r="L999" s="300"/>
      <c r="M999" s="300"/>
      <c r="N999" s="300"/>
      <c r="O999" s="300"/>
      <c r="P999" s="300"/>
      <c r="Q999" s="300"/>
      <c r="R999" s="300"/>
      <c r="S999" s="300"/>
      <c r="T999" s="300"/>
      <c r="U999" s="300"/>
      <c r="V999" s="300"/>
      <c r="W999" s="300"/>
      <c r="X999" s="300"/>
    </row>
    <row r="1000">
      <c r="A1000" s="300"/>
      <c r="B1000" s="300"/>
      <c r="C1000" s="300"/>
      <c r="D1000" s="300"/>
      <c r="E1000" s="300"/>
      <c r="F1000" s="300"/>
      <c r="G1000" s="300"/>
      <c r="H1000" s="300"/>
      <c r="I1000" s="300"/>
      <c r="J1000" s="300"/>
      <c r="K1000" s="300"/>
      <c r="L1000" s="300"/>
      <c r="M1000" s="300"/>
      <c r="N1000" s="300"/>
      <c r="O1000" s="300"/>
      <c r="P1000" s="300"/>
      <c r="Q1000" s="300"/>
      <c r="R1000" s="300"/>
      <c r="S1000" s="300"/>
      <c r="T1000" s="300"/>
      <c r="U1000" s="300"/>
      <c r="V1000" s="300"/>
      <c r="W1000" s="300"/>
      <c r="X1000" s="300"/>
    </row>
    <row r="1001">
      <c r="A1001" s="300"/>
      <c r="B1001" s="300"/>
      <c r="C1001" s="300"/>
      <c r="D1001" s="300"/>
      <c r="E1001" s="300"/>
      <c r="F1001" s="300"/>
      <c r="G1001" s="300"/>
      <c r="H1001" s="300"/>
      <c r="I1001" s="300"/>
      <c r="J1001" s="300"/>
      <c r="K1001" s="300"/>
      <c r="L1001" s="300"/>
      <c r="M1001" s="300"/>
      <c r="N1001" s="300"/>
      <c r="O1001" s="300"/>
      <c r="P1001" s="300"/>
      <c r="Q1001" s="300"/>
      <c r="R1001" s="300"/>
      <c r="S1001" s="300"/>
      <c r="T1001" s="300"/>
      <c r="U1001" s="300"/>
      <c r="V1001" s="300"/>
      <c r="W1001" s="300"/>
      <c r="X1001" s="300"/>
    </row>
    <row r="1002">
      <c r="A1002" s="300"/>
      <c r="B1002" s="300"/>
      <c r="C1002" s="300"/>
      <c r="D1002" s="300"/>
      <c r="E1002" s="300"/>
      <c r="F1002" s="300"/>
      <c r="G1002" s="300"/>
      <c r="H1002" s="300"/>
      <c r="I1002" s="300"/>
      <c r="J1002" s="300"/>
      <c r="K1002" s="300"/>
      <c r="L1002" s="300"/>
      <c r="M1002" s="300"/>
      <c r="N1002" s="300"/>
      <c r="O1002" s="300"/>
      <c r="P1002" s="300"/>
      <c r="Q1002" s="300"/>
      <c r="R1002" s="300"/>
      <c r="S1002" s="300"/>
      <c r="T1002" s="300"/>
      <c r="U1002" s="300"/>
      <c r="V1002" s="300"/>
      <c r="W1002" s="300"/>
      <c r="X1002" s="300"/>
    </row>
    <row r="1003">
      <c r="A1003" s="300"/>
      <c r="B1003" s="300"/>
      <c r="C1003" s="300"/>
      <c r="D1003" s="300"/>
      <c r="E1003" s="300"/>
      <c r="F1003" s="300"/>
      <c r="G1003" s="300"/>
      <c r="H1003" s="300"/>
      <c r="I1003" s="300"/>
      <c r="J1003" s="300"/>
      <c r="K1003" s="300"/>
      <c r="L1003" s="300"/>
      <c r="M1003" s="300"/>
      <c r="N1003" s="300"/>
      <c r="O1003" s="300"/>
      <c r="P1003" s="300"/>
      <c r="Q1003" s="300"/>
      <c r="R1003" s="300"/>
      <c r="S1003" s="300"/>
      <c r="T1003" s="300"/>
      <c r="U1003" s="300"/>
      <c r="V1003" s="300"/>
      <c r="W1003" s="300"/>
      <c r="X1003" s="300"/>
    </row>
  </sheetData>
  <dataValidations>
    <dataValidation type="list" allowBlank="1" showErrorMessage="1" sqref="B20:D20">
      <formula1>"Done,Pending"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